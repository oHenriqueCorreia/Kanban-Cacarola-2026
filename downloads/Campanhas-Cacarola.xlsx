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d8f8a5869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nhas" sheetId="1" r:id="Ra18b978308c34b70"/>
    <x:sheet xmlns:r="http://schemas.openxmlformats.org/officeDocument/2006/relationships" name="Fichas" sheetId="2" r:id="R6c2202d8fd8c4537"/>
    <x:sheet xmlns:r="http://schemas.openxmlformats.org/officeDocument/2006/relationships" name="Ações" sheetId="3" r:id="Ra37ee540e2ee47a6"/>
    <x:sheet xmlns:r="http://schemas.openxmlformats.org/officeDocument/2006/relationships" name="Locais" sheetId="4" r:id="R9e8aa211cd88413e"/>
    <x:sheet xmlns:r="http://schemas.openxmlformats.org/officeDocument/2006/relationships" name="Dispositivos" sheetId="5" r:id="Rf9a98da4645c4ebd"/>
    <x:sheet xmlns:r="http://schemas.openxmlformats.org/officeDocument/2006/relationships" name="Criativos" sheetId="6" r:id="Rfdf94c60b6e14085"/>
    <x:sheet xmlns:r="http://schemas.openxmlformats.org/officeDocument/2006/relationships" name="Alcance" sheetId="7" r:id="Rd908310aab654ddf"/>
    <x:sheet xmlns:r="http://schemas.openxmlformats.org/officeDocument/2006/relationships" name="Lojas" sheetId="8" r:id="Rc7f4518448ae4b66"/>
    <x:sheet xmlns:r="http://schemas.openxmlformats.org/officeDocument/2006/relationships" name="Diário" sheetId="9" r:id="R2afd1e9da6464590"/>
    <x:sheet xmlns:r="http://schemas.openxmlformats.org/officeDocument/2006/relationships" name="Configuração" sheetId="10" r:id="R2d7731f109224a1c"/>
    <x:sheet xmlns:r="http://schemas.openxmlformats.org/officeDocument/2006/relationships" name="Auditoria" sheetId="11" r:id="R37d918e49a254684"/>
    <x:sheet xmlns:r="http://schemas.openxmlformats.org/officeDocument/2006/relationships" name="Fontes" sheetId="12" r:id="R8aac5675d63645fd"/>
    <x:sheet xmlns:r="http://schemas.openxmlformats.org/officeDocument/2006/relationships" name="Dados originais" sheetId="13" r:id="Rd9f9df8d88a6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/mm/yyyy"/>
    <x:numFmt numFmtId="201" formatCode="#,##0"/>
    <x:numFmt numFmtId="202" formatCode="&quot;R$ &quot;#,##0.00"/>
    <x:numFmt numFmtId="203" formatCode="0.00%"/>
    <x:numFmt numFmtId="204" formatCode="0.0000%"/>
    <x:numFmt numFmtId="205" formatCode="#,##0.0000"/>
    <x:numFmt numFmtId="206" formatCode="#,##0.00"/>
  </x:numFmts>
  <x:fonts count="6">
    <x:font>
      <x:sz val="11"/>
      <x:name val="Carlito"/>
    </x:font>
    <x:font>
      <x:sz val="10"/>
      <x:color rgb="FF26332C"/>
      <x:name val="Arial"/>
    </x:font>
    <x:font>
      <x:b/>
      <x:sz val="14"/>
      <x:color rgb="FF254A39"/>
      <x:name val="Arial"/>
    </x:font>
    <x:font>
      <x:i/>
      <x:sz val="10"/>
      <x:color rgb="FF58666B"/>
      <x:name val="Arial"/>
    </x:font>
    <x:font>
      <x:b/>
      <x:sz val="10"/>
      <x:color rgb="FFFFFFFF"/>
      <x:name val="Arial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4A39"/>
      </x:patternFill>
    </x:fill>
    <x:fill>
      <x:patternFill patternType="solid">
        <x:fgColor rgb="FFFFF3D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4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204" fontId="5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ill>
        <x:patternFill patternType="solid">
          <x:bgColor rgb="FFE4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81374b1464571" /><Relationship Type="http://schemas.openxmlformats.org/officeDocument/2006/relationships/theme" Target="/xl/theme/theme1.xml" Id="R1dee75e1c9774c19" /><Relationship Type="http://schemas.openxmlformats.org/officeDocument/2006/relationships/sharedStrings" Target="/xl/sharedStrings.xml" Id="R7bc4738a879547e6" /><Relationship Type="http://schemas.openxmlformats.org/officeDocument/2006/relationships/worksheet" Target="/xl/worksheets/sheet1.xml" Id="Ra18b978308c34b70" /><Relationship Type="http://schemas.openxmlformats.org/officeDocument/2006/relationships/worksheet" Target="/xl/worksheets/sheet2.xml" Id="R6c2202d8fd8c4537" /><Relationship Type="http://schemas.openxmlformats.org/officeDocument/2006/relationships/worksheet" Target="/xl/worksheets/sheet3.xml" Id="Ra37ee540e2ee47a6" /><Relationship Type="http://schemas.openxmlformats.org/officeDocument/2006/relationships/worksheet" Target="/xl/worksheets/sheet4.xml" Id="R9e8aa211cd88413e" /><Relationship Type="http://schemas.openxmlformats.org/officeDocument/2006/relationships/worksheet" Target="/xl/worksheets/sheet5.xml" Id="Rf9a98da4645c4ebd" /><Relationship Type="http://schemas.openxmlformats.org/officeDocument/2006/relationships/worksheet" Target="/xl/worksheets/sheet6.xml" Id="Rfdf94c60b6e14085" /><Relationship Type="http://schemas.openxmlformats.org/officeDocument/2006/relationships/worksheet" Target="/xl/worksheets/sheet7.xml" Id="Rd908310aab654ddf" /><Relationship Type="http://schemas.openxmlformats.org/officeDocument/2006/relationships/worksheet" Target="/xl/worksheets/sheet8.xml" Id="Rc7f4518448ae4b66" /><Relationship Type="http://schemas.openxmlformats.org/officeDocument/2006/relationships/worksheet" Target="/xl/worksheets/sheet9.xml" Id="R2afd1e9da6464590" /><Relationship Type="http://schemas.openxmlformats.org/officeDocument/2006/relationships/worksheet" Target="/xl/worksheets/sheet10.xml" Id="R2d7731f109224a1c" /><Relationship Type="http://schemas.openxmlformats.org/officeDocument/2006/relationships/worksheet" Target="/xl/worksheets/sheet11.xml" Id="R37d918e49a254684" /><Relationship Type="http://schemas.openxmlformats.org/officeDocument/2006/relationships/worksheet" Target="/xl/worksheets/sheet12.xml" Id="R8aac5675d63645fd" /><Relationship Type="http://schemas.openxmlformats.org/officeDocument/2006/relationships/worksheet" Target="/xl/worksheets/sheet13.xml" Id="Rd9f9df8d88a64a96" /></Relationships>
</file>

<file path=xl/tables/table1.xml><?xml version="1.0" encoding="utf-8"?>
<x:table xmlns:x="http://schemas.openxmlformats.org/spreadsheetml/2006/main" id="3" name="TabelaCampanhas" displayName="TabelaCampanhas" ref="A5:R13" headerRowCount="1" totalsRowCount="0" totalsRowShown="0">
  <x:tableColumns count="18">
    <x:tableColumn id="1" name="ID"/>
    <x:tableColumn id="2" name="Campanha"/>
    <x:tableColumn id="3" name="Grupo"/>
    <x:tableColumn id="4" name="Impressões"/>
    <x:tableColumn id="5" name="Vis. públicas YouTube"/>
    <x:tableColumn id="6" name="TrueView até 13/10"/>
    <x:tableColumn id="7" name="Custo BRL"/>
    <x:tableColumn id="8" name="Cliques"/>
    <x:tableColumn id="9" name="CTR"/>
    <x:tableColumn id="10" name="CPM calculado BRL"/>
    <x:tableColumn id="11" name="CPC calculado BRL"/>
    <x:tableColumn id="12" name="Status exportado"/>
    <x:tableColumn id="13" name="Orçamento BRL"/>
    <x:tableColumn id="14" name="Tipo orçamento"/>
    <x:tableColumn id="15" name="Cobertura inicial"/>
    <x:tableColumn id="16" name="Primeira entrega"/>
    <x:tableColumn id="17" name="Última entrega"/>
    <x:tableColumn id="18" name="Dias com entreg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TabelaFichas" displayName="TabelaFichas" ref="A5:D130" headerRowCount="1" totalsRowCount="0" totalsRowShown="0">
  <x:tableColumns count="4">
    <x:tableColumn id="1" name="ID"/>
    <x:tableColumn id="2" name="Campanha"/>
    <x:tableColumn id="3" name="Campo"/>
    <x:tableColumn id="4" name="Informação / análi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TabelaAcoes" displayName="TabelaAcoes" ref="A5:J30" headerRowCount="1" totalsRowCount="0" totalsRowShown="0">
  <x:tableColumns count="10">
    <x:tableColumn id="1" name="ID ação"/>
    <x:tableColumn id="2" name="ID campanha"/>
    <x:tableColumn id="3" name="Campanha"/>
    <x:tableColumn id="4" name="Prioridade"/>
    <x:tableColumn id="5" name="Ação"/>
    <x:tableColumn id="6" name="Evidência"/>
    <x:tableColumn id="7" name="Como verificar"/>
    <x:tableColumn id="8" name="Etapa"/>
    <x:tableColumn id="9" name="Responsável"/>
    <x:tableColumn id="10" name="Praz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TabelaLocais" displayName="TabelaLocais" ref="A5:K230" headerRowCount="1" totalsRowCount="0" totalsRowShown="0">
  <x:tableColumns count="11">
    <x:tableColumn id="1" name="ID"/>
    <x:tableColumn id="2" name="Campanha"/>
    <x:tableColumn id="3" name="Local / raio original"/>
    <x:tableColumn id="4" name="Impressões"/>
    <x:tableColumn id="5" name="TrueView"/>
    <x:tableColumn id="6" name="Taxa nativa TrueView"/>
    <x:tableColumn id="7" name="Custo BRL"/>
    <x:tableColumn id="8" name="CPM nativo BRL"/>
    <x:tableColumn id="9" name="Conversões"/>
    <x:tableColumn id="10" name="Período original"/>
    <x:tableColumn id="11" name="Fo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TabelaDispositivos" displayName="TabelaDispositivos" ref="A5:L37" headerRowCount="1" totalsRowCount="0" totalsRowShown="0">
  <x:tableColumns count="12">
    <x:tableColumn id="1" name="ID"/>
    <x:tableColumn id="2" name="Campanha"/>
    <x:tableColumn id="3" name="Dispositivo"/>
    <x:tableColumn id="4" name="Impressões"/>
    <x:tableColumn id="5" name="TrueView"/>
    <x:tableColumn id="6" name="Taxa nativa TrueView"/>
    <x:tableColumn id="7" name="Custo BRL"/>
    <x:tableColumn id="8" name="CPV nativo BRL"/>
    <x:tableColumn id="9" name="CPM nativo BRL"/>
    <x:tableColumn id="10" name="Conversões"/>
    <x:tableColumn id="11" name="Período original"/>
    <x:tableColumn id="12" name="Fo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TabelaCriativos" displayName="TabelaCriativos" ref="A5:R12" headerRowCount="1" totalsRowCount="0" totalsRowShown="0">
  <x:tableColumns count="18">
    <x:tableColumn id="1" name="ID"/>
    <x:tableColumn id="2" name="Campanha"/>
    <x:tableColumn id="3" name="Anúncio"/>
    <x:tableColumn id="4" name="Título"/>
    <x:tableColumn id="5" name="Descrição"/>
    <x:tableColumn id="6" name="URL vídeo"/>
    <x:tableColumn id="7" name="URL destino"/>
    <x:tableColumn id="8" name="ID vídeo exportado"/>
    <x:tableColumn id="9" name="Grupo de anúncios"/>
    <x:tableColumn id="10" name="Status anúncio"/>
    <x:tableColumn id="11" name="Motivos"/>
    <x:tableColumn id="12" name="Tipo anúncio"/>
    <x:tableColumn id="13" name="Impressões"/>
    <x:tableColumn id="14" name="TrueView"/>
    <x:tableColumn id="15" name="Custo BRL"/>
    <x:tableColumn id="16" name="Conversões"/>
    <x:tableColumn id="17" name="Período original"/>
    <x:tableColumn id="18" name="Fo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TabelaAlcance" displayName="TabelaAlcance" ref="A5:I119" headerRowCount="1" totalsRowCount="0" totalsRowShown="0">
  <x:tableColumns count="9">
    <x:tableColumn id="1" name="ID"/>
    <x:tableColumn id="2" name="Campanha da pasta"/>
    <x:tableColumn id="3" name="Tabela anexa"/>
    <x:tableColumn id="4" name="Dimensão / data original"/>
    <x:tableColumn id="5" name="Métrica"/>
    <x:tableColumn id="6" name="Valor"/>
    <x:tableColumn id="7" name="Período / filtro"/>
    <x:tableColumn id="8" name="Canal exportado"/>
    <x:tableColumn id="9" name="Fo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TabelaLojas" displayName="TabelaLojas" ref="A5:P47" headerRowCount="1" totalsRowCount="0" totalsRowShown="0">
  <x:tableColumns count="16">
    <x:tableColumn id="1" name="ID"/>
    <x:tableColumn id="2" name="Campanha"/>
    <x:tableColumn id="3" name="Loja"/>
    <x:tableColumn id="4" name="Cidade"/>
    <x:tableColumn id="5" name="UF / estado"/>
    <x:tableColumn id="6" name="Endereço 1"/>
    <x:tableColumn id="7" name="Endereço 2"/>
    <x:tableColumn id="8" name="CEP"/>
    <x:tableColumn id="9" name="Telefone"/>
    <x:tableColumn id="10" name="Impressões do local"/>
    <x:tableColumn id="11" name="Visitas à loja"/>
    <x:tableColumn id="12" name="Cliques de chamada"/>
    <x:tableColumn id="13" name="Como chegar"/>
    <x:tableColumn id="14" name="Visitas ao site"/>
    <x:tableColumn id="15" name="Período original"/>
    <x:tableColumn id="16" name="Fon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" name="TabelaDiario" displayName="TabelaDiario" ref="A5:L845" headerRowCount="1" totalsRowCount="0" totalsRowShown="0">
  <x:tableColumns count="12">
    <x:tableColumn id="1" name="ID"/>
    <x:tableColumn id="2" name="Campanha"/>
    <x:tableColumn id="3" name="Data"/>
    <x:tableColumn id="4" name="Impressões"/>
    <x:tableColumn id="5" name="Vis. públicas YouTube"/>
    <x:tableColumn id="6" name="TrueView diário"/>
    <x:tableColumn id="7" name="Custo BRL"/>
    <x:tableColumn id="8" name="Cliques"/>
    <x:tableColumn id="9" name="Conversões diárias"/>
    <x:tableColumn id="10" name="Shorts (percentual)"/>
    <x:tableColumn id="11" name="Cobertura"/>
    <x:tableColumn id="12" name="Fon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" name="TabelaConfiguracao" displayName="TabelaConfiguracao" ref="A5:Q13" headerRowCount="1" totalsRowCount="0" totalsRowShown="0">
  <x:tableColumns count="17">
    <x:tableColumn id="1" name="ID"/>
    <x:tableColumn id="2" name="Campanha"/>
    <x:tableColumn id="3" name="Status campanha"/>
    <x:tableColumn id="4" name="Status de entrega"/>
    <x:tableColumn id="5" name="Motivos"/>
    <x:tableColumn id="6" name="Objetivo / subtipo"/>
    <x:tableColumn id="7" name="TrueView original"/>
    <x:tableColumn id="8" name="Impressões originais"/>
    <x:tableColumn id="9" name="Custo original BRL"/>
    <x:tableColumn id="10" name="Usuários exclusivos"/>
    <x:tableColumn id="11" name="Orçamento BRL"/>
    <x:tableColumn id="12" name="Tipo de orçamento"/>
    <x:tableColumn id="13" name="CPV nativo BRL"/>
    <x:tableColumn id="14" name="CPM nativo BRL"/>
    <x:tableColumn id="15" name="Pontuação otimização"/>
    <x:tableColumn id="16" name="Período original"/>
    <x:tableColumn id="17" name="Fon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elaAuditoria" displayName="TabelaAuditoria" ref="A5:H47" headerRowCount="1" totalsRowCount="0" totalsRowShown="0">
  <x:tableColumns count="8">
    <x:tableColumn id="1" name="ID"/>
    <x:tableColumn id="2" name="Campanha"/>
    <x:tableColumn id="3" name="Tipo"/>
    <x:tableColumn id="4" name="Detalhe"/>
    <x:tableColumn id="5" name="Valor detalhe"/>
    <x:tableColumn id="6" name="Valor agregado"/>
    <x:tableColumn id="7" name="Diferença"/>
    <x:tableColumn id="8" name="Fon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elaFontes" displayName="TabelaFontes" ref="A5:J104" headerRowCount="1" totalsRowCount="0" totalsRowShown="0">
  <x:tableColumns count="10">
    <x:tableColumn id="1" name="Fonte ID"/>
    <x:tableColumn id="2" name="Campanha ID"/>
    <x:tableColumn id="3" name="Campanha"/>
    <x:tableColumn id="4" name="Arquivo / membro ZIP"/>
    <x:tableColumn id="5" name="Período"/>
    <x:tableColumn id="6" name="Codificação"/>
    <x:tableColumn id="7" name="Registros"/>
    <x:tableColumn id="8" name="Campos"/>
    <x:tableColumn id="9" name="SHA-256"/>
    <x:tableColumn id="10" name="Leitura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elaDadosoriginais" displayName="TabelaDadosoriginais" ref="A5:D2131" headerRowCount="1" totalsRowCount="0" totalsRowShown="0">
  <x:tableColumns count="4">
    <x:tableColumn id="1" name="Fonte ID"/>
    <x:tableColumn id="2" name="Campanha ID"/>
    <x:tableColumn id="3" name="Registro"/>
    <x:tableColumn id="4" name="Campos e valores originais (JSO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01d74ce66c47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6912d68344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03afb8815640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ac1669e7b64c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952466f5de45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21528ef23b4d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87608332da94d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5cc3579267a41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5f0efdf846341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dd663ff53e446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f5f6c50c6434b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437c2940fe54f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f94a75b09e14864" /></Relationships>
</file>

<file path=xl/worksheets/sheet1.xml><?xml version="1.0" encoding="utf-8"?>
<x:worksheet xmlns:x="http://schemas.openxmlformats.org/spreadsheetml/2006/main">
  <x:sheetPr>
    <x:tabColor rgb="FF254A39"/>
  </x:sheetPr>
  <x:sheetViews>
    <x:sheetView showGridLines="0" workbookViewId="0"/>
  </x:sheetViews>
  <x:sheetFormatPr defaultRowHeight="15"/>
  <x:cols>
    <x:col min="1" max="1" width="9" hidden="0" customWidth="1"/>
    <x:col min="2" max="2" width="56" hidden="0" customWidth="1"/>
    <x:col min="3" max="3" width="18" hidden="0" customWidth="1"/>
    <x:col min="4" max="4" width="19" hidden="0" customWidth="1"/>
    <x:col min="5" max="5" width="24" hidden="0" customWidth="1"/>
    <x:col min="6" max="6" width="23" hidden="0" customWidth="1"/>
    <x:col min="7" max="7" width="20" hidden="0" customWidth="1"/>
    <x:col min="8" max="8" width="16" hidden="0" customWidth="1"/>
    <x:col min="9" max="9" width="16" hidden="0" customWidth="1"/>
    <x:col min="10" max="10" width="24" hidden="0" customWidth="1"/>
    <x:col min="11" max="11" width="23" hidden="0" customWidth="1"/>
    <x:col min="12" max="12" width="22" hidden="0" customWidth="1"/>
    <x:col min="13" max="13" width="20" hidden="0" customWidth="1"/>
    <x:col min="14" max="14" width="23" hidden="0" customWidth="1"/>
    <x:col min="15" max="15" width="20" hidden="0" customWidth="1"/>
    <x:col min="16" max="16" width="20" hidden="0" customWidth="1"/>
    <x:col min="17" max="17" width="20" hidden="0" customWidth="1"/>
    <x:col min="18" max="18" width="2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4" customHeight="1">
      <x:c r="A2" s="2" t="str">
        <x:v>Campanhas Caçarola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01/07 a 13/10/2026. Resultados somam somente dias exportados no recorte. Alcance único não é somado.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4" customHeight="1">
      <x:c r="A5" s="8" t="str">
        <x:v>ID</x:v>
      </x:c>
      <x:c r="B5" s="8" t="str">
        <x:v>Campanha</x:v>
      </x:c>
      <x:c r="C5" s="8" t="str">
        <x:v>Grupo</x:v>
      </x:c>
      <x:c r="D5" s="8" t="str">
        <x:v>Impressões</x:v>
      </x:c>
      <x:c r="E5" s="8" t="str">
        <x:v>Vis. públicas YouTube</x:v>
      </x:c>
      <x:c r="F5" s="8" t="str">
        <x:v>TrueView até 13/10</x:v>
      </x:c>
      <x:c r="G5" s="8" t="str">
        <x:v>Custo BRL</x:v>
      </x:c>
      <x:c r="H5" s="8" t="str">
        <x:v>Cliques</x:v>
      </x:c>
      <x:c r="I5" s="8" t="str">
        <x:v>CTR</x:v>
      </x:c>
      <x:c r="J5" s="8" t="str">
        <x:v>CPM calculado BRL</x:v>
      </x:c>
      <x:c r="K5" s="8" t="str">
        <x:v>CPC calculado BRL</x:v>
      </x:c>
      <x:c r="L5" s="8" t="str">
        <x:v>Status exportado</x:v>
      </x:c>
      <x:c r="M5" s="8" t="str">
        <x:v>Orçamento BRL</x:v>
      </x:c>
      <x:c r="N5" s="8" t="str">
        <x:v>Tipo orçamento</x:v>
      </x:c>
      <x:c r="O5" s="8" t="str">
        <x:v>Cobertura inicial</x:v>
      </x:c>
      <x:c r="P5" s="8" t="str">
        <x:v>Primeira entrega</x:v>
      </x:c>
      <x:c r="Q5" s="8" t="str">
        <x:v>Última entrega</x:v>
      </x:c>
      <x:c r="R5" s="8" t="str">
        <x:v>Dias com entrega</x:v>
      </x:c>
    </x:row>
    <x:row r="6" ht="24" customHeight="1">
      <x:c r="A6" s="9" t="str">
        <x:v>C01</x:v>
      </x:c>
      <x:c r="B6" s="9" t="str">
        <x:v>YT - Arrozes especiais Bahia 01</x:v>
      </x:c>
      <x:c r="C6" s="9" t="str">
        <x:v>Bahia</x:v>
      </x:c>
      <x:c r="D6" s="22" t="n">
        <x:f>SUMIFS('Diário'!$D$6:$D$845,'Diário'!$A$6:$A$845,$A6)</x:f>
        <x:v>153603</x:v>
      </x:c>
      <x:c r="E6" s="22" t="n">
        <x:f>SUMIFS('Diário'!$E$6:$E$845,'Diário'!$A$6:$A$845,$A6)</x:f>
        <x:v>151016</x:v>
      </x:c>
      <x:c r="F6" s="22" t="n">
        <x:f>'Configuração'!G6</x:f>
        <x:v>88639</x:v>
      </x:c>
      <x:c r="G6" s="23" t="n">
        <x:f>SUMIFS('Diário'!$G$6:$G$845,'Diário'!$A$6:$A$845,$A6)</x:f>
        <x:v>775.97</x:v>
      </x:c>
      <x:c r="H6" s="22" t="n">
        <x:f>SUMIFS('Diário'!$H$6:$H$845,'Diário'!$A$6:$A$845,$A6)</x:f>
        <x:v>23</x:v>
      </x:c>
      <x:c r="I6" s="24" t="n">
        <x:f>IF(D6=0,"n.a.",H6/D6)</x:f>
        <x:v>0.00014973665878921635</x:v>
      </x:c>
      <x:c r="J6" s="23" t="n">
        <x:f>IF(D6=0,"n.a.",G6/D6*1000)</x:f>
        <x:v>5.0517893530725315</x:v>
      </x:c>
      <x:c r="K6" s="23" t="n">
        <x:f>IF(H6=0,"n.a.",G6/H6)</x:f>
        <x:v>33.737826086956524</x:v>
      </x:c>
      <x:c r="L6" s="9" t="str">
        <x:v>Ativada</x:v>
      </x:c>
      <x:c r="M6" s="12" t="n">
        <x:v>10</x:v>
      </x:c>
      <x:c r="N6" s="9" t="str">
        <x:v>Diário</x:v>
      </x:c>
      <x:c r="O6" s="10" t="d">
        <x:v>2026-07-01T12:00:00.000Z</x:v>
      </x:c>
      <x:c r="P6" s="10" t="d">
        <x:v>2026-07-23T12:00:00.000Z</x:v>
      </x:c>
      <x:c r="Q6" s="10" t="d">
        <x:v>2026-10-13T12:00:00.000Z</x:v>
      </x:c>
      <x:c r="R6" s="9" t="n">
        <x:v>80</x:v>
      </x:c>
    </x:row>
    <x:row r="7" ht="24" customHeight="1">
      <x:c r="A7" s="9" t="str">
        <x:v>C02</x:v>
      </x:c>
      <x:c r="B7" s="9" t="str">
        <x:v>YT - Arrozes especiais Bahia 02</x:v>
      </x:c>
      <x:c r="C7" s="9" t="str">
        <x:v>Bahia</x:v>
      </x:c>
      <x:c r="D7" s="22" t="n">
        <x:f>SUMIFS('Diário'!$D$6:$D$845,'Diário'!$A$6:$A$845,$A7)</x:f>
        <x:v>172592</x:v>
      </x:c>
      <x:c r="E7" s="22" t="n">
        <x:f>SUMIFS('Diário'!$E$6:$E$845,'Diário'!$A$6:$A$845,$A7)</x:f>
        <x:v>169693</x:v>
      </x:c>
      <x:c r="F7" s="22" t="n">
        <x:f>'Configuração'!G7</x:f>
        <x:v>98697</x:v>
      </x:c>
      <x:c r="G7" s="23" t="n">
        <x:f>SUMIFS('Diário'!$G$6:$G$845,'Diário'!$A$6:$A$845,$A7)</x:f>
        <x:v>765.7699999999998</x:v>
      </x:c>
      <x:c r="H7" s="22" t="n">
        <x:f>SUMIFS('Diário'!$H$6:$H$845,'Diário'!$A$6:$A$845,$A7)</x:f>
        <x:v>24</x:v>
      </x:c>
      <x:c r="I7" s="24" t="n">
        <x:f>IF(D7=0,"n.a.",H7/D7)</x:f>
        <x:v>0.00013905627143784185</x:v>
      </x:c>
      <x:c r="J7" s="23" t="n">
        <x:f>IF(D7=0,"n.a.",G7/D7*1000)</x:f>
        <x:v>4.4368800407898386</x:v>
      </x:c>
      <x:c r="K7" s="23" t="n">
        <x:f>IF(H7=0,"n.a.",G7/H7)</x:f>
        <x:v>31.907083333333322</x:v>
      </x:c>
      <x:c r="L7" s="9" t="str">
        <x:v>Ativada</x:v>
      </x:c>
      <x:c r="M7" s="12" t="n">
        <x:v>10</x:v>
      </x:c>
      <x:c r="N7" s="9" t="str">
        <x:v>Diário</x:v>
      </x:c>
      <x:c r="O7" s="10" t="d">
        <x:v>2026-07-01T12:00:00.000Z</x:v>
      </x:c>
      <x:c r="P7" s="10" t="d">
        <x:v>2026-07-23T12:00:00.000Z</x:v>
      </x:c>
      <x:c r="Q7" s="10" t="d">
        <x:v>2026-10-13T12:00:00.000Z</x:v>
      </x:c>
      <x:c r="R7" s="9" t="n">
        <x:v>80</x:v>
      </x:c>
    </x:row>
    <x:row r="8" ht="24" customHeight="1">
      <x:c r="A8" s="9" t="str">
        <x:v>C03</x:v>
      </x:c>
      <x:c r="B8" s="9" t="str">
        <x:v>YT - Arrozes especiais Bahia 03</x:v>
      </x:c>
      <x:c r="C8" s="9" t="str">
        <x:v>Bahia</x:v>
      </x:c>
      <x:c r="D8" s="22" t="n">
        <x:f>SUMIFS('Diário'!$D$6:$D$845,'Diário'!$A$6:$A$845,$A8)</x:f>
        <x:v>172643</x:v>
      </x:c>
      <x:c r="E8" s="22" t="n">
        <x:f>SUMIFS('Diário'!$E$6:$E$845,'Diário'!$A$6:$A$845,$A8)</x:f>
        <x:v>170179</x:v>
      </x:c>
      <x:c r="F8" s="22" t="n">
        <x:f>'Configuração'!G8</x:f>
        <x:v>100755</x:v>
      </x:c>
      <x:c r="G8" s="23" t="n">
        <x:f>SUMIFS('Diário'!$G$6:$G$845,'Diário'!$A$6:$A$845,$A8)</x:f>
        <x:v>765.9499999999998</x:v>
      </x:c>
      <x:c r="H8" s="22" t="n">
        <x:f>SUMIFS('Diário'!$H$6:$H$845,'Diário'!$A$6:$A$845,$A8)</x:f>
        <x:v>19</x:v>
      </x:c>
      <x:c r="I8" s="24" t="n">
        <x:f>IF(D8=0,"n.a.",H8/D8)</x:f>
        <x:v>0.00011005369461837433</x:v>
      </x:c>
      <x:c r="J8" s="23" t="n">
        <x:f>IF(D8=0,"n.a.",G8/D8*1000)</x:f>
        <x:v>4.436611968049673</x:v>
      </x:c>
      <x:c r="K8" s="23" t="n">
        <x:f>IF(H8=0,"n.a.",G8/H8)</x:f>
        <x:v>40.31315789473683</x:v>
      </x:c>
      <x:c r="L8" s="9" t="str">
        <x:v>Ativada</x:v>
      </x:c>
      <x:c r="M8" s="12" t="n">
        <x:v>10</x:v>
      </x:c>
      <x:c r="N8" s="9" t="str">
        <x:v>Diário</x:v>
      </x:c>
      <x:c r="O8" s="10" t="d">
        <x:v>2026-07-01T12:00:00.000Z</x:v>
      </x:c>
      <x:c r="P8" s="10" t="d">
        <x:v>2026-07-23T12:00:00.000Z</x:v>
      </x:c>
      <x:c r="Q8" s="10" t="d">
        <x:v>2026-10-13T12:00:00.000Z</x:v>
      </x:c>
      <x:c r="R8" s="9" t="n">
        <x:v>80</x:v>
      </x:c>
    </x:row>
    <x:row r="9" ht="24" customHeight="1">
      <x:c r="A9" s="9" t="str">
        <x:v>C04</x:v>
      </x:c>
      <x:c r="B9" s="9" t="str">
        <x:v>Remarketing Caçarola</x:v>
      </x:c>
      <x:c r="C9" s="9" t="str">
        <x:v>Remarketing</x:v>
      </x:c>
      <x:c r="D9" s="22" t="n">
        <x:f>SUMIFS('Diário'!$D$6:$D$845,'Diário'!$A$6:$A$845,$A9)</x:f>
        <x:v>32176</x:v>
      </x:c>
      <x:c r="E9" s="22" t="n">
        <x:f>SUMIFS('Diário'!$E$6:$E$845,'Diário'!$A$6:$A$845,$A9)</x:f>
        <x:v>24829</x:v>
      </x:c>
      <x:c r="F9" s="22" t="n">
        <x:f>SUMIFS('Diário'!$F$6:$F$845,'Diário'!$A$6:$A$845,$A9)</x:f>
        <x:v>14802</x:v>
      </x:c>
      <x:c r="G9" s="23" t="n">
        <x:f>SUMIFS('Diário'!$G$6:$G$845,'Diário'!$A$6:$A$845,$A9)</x:f>
        <x:v>343.5000000000001</x:v>
      </x:c>
      <x:c r="H9" s="22" t="n">
        <x:f>SUMIFS('Diário'!$H$6:$H$845,'Diário'!$A$6:$A$845,$A9)</x:f>
        <x:v>37</x:v>
      </x:c>
      <x:c r="I9" s="24" t="n">
        <x:f>IF(D9=0,"n.a.",H9/D9)</x:f>
        <x:v>0.0011499254102436598</x:v>
      </x:c>
      <x:c r="J9" s="23" t="n">
        <x:f>IF(D9=0,"n.a.",G9/D9*1000)</x:f>
        <x:v>10.675658876181007</x:v>
      </x:c>
      <x:c r="K9" s="23" t="n">
        <x:f>IF(H9=0,"n.a.",G9/H9)</x:f>
        <x:v>9.283783783783786</x:v>
      </x:c>
      <x:c r="L9" s="9" t="str">
        <x:v>Pausada</x:v>
      </x:c>
      <x:c r="M9" s="12" t="n">
        <x:v>10</x:v>
      </x:c>
      <x:c r="N9" s="9" t="str">
        <x:v>Diário</x:v>
      </x:c>
      <x:c r="O9" s="10" t="d">
        <x:v>2026-08-27T12:00:00.000Z</x:v>
      </x:c>
      <x:c r="P9" s="10" t="d">
        <x:v>2026-08-28T12:00:00.000Z</x:v>
      </x:c>
      <x:c r="Q9" s="10" t="d">
        <x:v>2026-10-06T12:00:00.000Z</x:v>
      </x:c>
      <x:c r="R9" s="9" t="n">
        <x:v>37</x:v>
      </x:c>
    </x:row>
    <x:row r="10" ht="24" customHeight="1">
      <x:c r="A10" s="9" t="str">
        <x:v>C05</x:v>
      </x:c>
      <x:c r="B10" s="9" t="str">
        <x:v>[TRON] - YouTube 01 -  VT 5 Seg - {Reg SC} - 07/10</x:v>
      </x:c>
      <x:c r="C10" s="9" t="str">
        <x:v>TRON SC</x:v>
      </x:c>
      <x:c r="D10" s="22" t="n">
        <x:f>SUMIFS('Diário'!$D$6:$D$845,'Diário'!$A$6:$A$845,$A10)</x:f>
        <x:v>591</x:v>
      </x:c>
      <x:c r="E10" s="22" t="n">
        <x:f>SUMIFS('Diário'!$E$6:$E$845,'Diário'!$A$6:$A$845,$A10)</x:f>
        <x:v>161</x:v>
      </x:c>
      <x:c r="F10" s="22" t="str">
        <x:v>Não disponível</x:v>
      </x:c>
      <x:c r="G10" s="23" t="n">
        <x:f>SUMIFS('Diário'!$G$6:$G$845,'Diário'!$A$6:$A$845,$A10)</x:f>
        <x:v>1.23</x:v>
      </x:c>
      <x:c r="H10" s="22" t="n">
        <x:f>SUMIFS('Diário'!$H$6:$H$845,'Diário'!$A$6:$A$845,$A10)</x:f>
        <x:v>0</x:v>
      </x:c>
      <x:c r="I10" s="24" t="n">
        <x:f>IF(D10=0,"n.a.",H10/D10)</x:f>
        <x:v>0</x:v>
      </x:c>
      <x:c r="J10" s="23" t="n">
        <x:f>IF(D10=0,"n.a.",G10/D10*1000)</x:f>
        <x:v>2.081218274111675</x:v>
      </x:c>
      <x:c r="K10" s="23" t="str">
        <x:f>IF(H10=0,"n.a.",G10/H10)</x:f>
        <x:v>n.a.</x:v>
      </x:c>
      <x:c r="L10" s="9" t="str">
        <x:v>Ativada</x:v>
      </x:c>
      <x:c r="M10" s="12" t="n">
        <x:v>15</x:v>
      </x:c>
      <x:c r="N10" s="9" t="str">
        <x:v>Total da campanha</x:v>
      </x:c>
      <x:c r="O10" s="10" t="d">
        <x:v>2026-09-01T12:00:00.000Z</x:v>
      </x:c>
      <x:c r="P10" s="10" t="d">
        <x:v>2026-10-07T12:00:00.000Z</x:v>
      </x:c>
      <x:c r="Q10" s="10" t="d">
        <x:v>2026-10-13T12:00:00.000Z</x:v>
      </x:c>
      <x:c r="R10" s="9" t="n">
        <x:v>7</x:v>
      </x:c>
    </x:row>
    <x:row r="11" ht="24" customHeight="1">
      <x:c r="A11" s="9" t="str">
        <x:v>C06</x:v>
      </x:c>
      <x:c r="B11" s="9" t="str">
        <x:v>[TRON] - YouTube 02 -  VT 5 Seg - {Reg SC} - 07/10</x:v>
      </x:c>
      <x:c r="C11" s="9" t="str">
        <x:v>TRON SC</x:v>
      </x:c>
      <x:c r="D11" s="22" t="n">
        <x:f>SUMIFS('Diário'!$D$6:$D$845,'Diário'!$A$6:$A$845,$A11)</x:f>
        <x:v>42514</x:v>
      </x:c>
      <x:c r="E11" s="22" t="n">
        <x:f>SUMIFS('Diário'!$E$6:$E$845,'Diário'!$A$6:$A$845,$A11)</x:f>
        <x:v>20023</x:v>
      </x:c>
      <x:c r="F11" s="22" t="str">
        <x:v>Não disponível</x:v>
      </x:c>
      <x:c r="G11" s="23" t="n">
        <x:f>SUMIFS('Diário'!$G$6:$G$845,'Diário'!$A$6:$A$845,$A11)</x:f>
        <x:v>109.26999999999998</x:v>
      </x:c>
      <x:c r="H11" s="22" t="n">
        <x:f>SUMIFS('Diário'!$H$6:$H$845,'Diário'!$A$6:$A$845,$A11)</x:f>
        <x:v>63</x:v>
      </x:c>
      <x:c r="I11" s="24" t="n">
        <x:f>IF(D11=0,"n.a.",H11/D11)</x:f>
        <x:v>0.0014818647974784776</x:v>
      </x:c>
      <x:c r="J11" s="23" t="n">
        <x:f>IF(D11=0,"n.a.",G11/D11*1000)</x:f>
        <x:v>2.570212165404337</x:v>
      </x:c>
      <x:c r="K11" s="23" t="n">
        <x:f>IF(H11=0,"n.a.",G11/H11)</x:f>
        <x:v>1.7344444444444442</x:v>
      </x:c>
      <x:c r="L11" s="9" t="str">
        <x:v>Ativada</x:v>
      </x:c>
      <x:c r="M11" s="12" t="n">
        <x:v>15</x:v>
      </x:c>
      <x:c r="N11" s="9" t="str">
        <x:v>Diário</x:v>
      </x:c>
      <x:c r="O11" s="10" t="d">
        <x:v>2026-09-01T12:00:00.000Z</x:v>
      </x:c>
      <x:c r="P11" s="10" t="d">
        <x:v>2026-10-07T12:00:00.000Z</x:v>
      </x:c>
      <x:c r="Q11" s="10" t="d">
        <x:v>2026-10-13T12:00:00.000Z</x:v>
      </x:c>
      <x:c r="R11" s="9" t="n">
        <x:v>7</x:v>
      </x:c>
    </x:row>
    <x:row r="12" ht="24" customHeight="1">
      <x:c r="A12" s="9" t="str">
        <x:v>C07</x:v>
      </x:c>
      <x:c r="B12" s="9" t="str">
        <x:v>[TRON] - YouTube 03 -  VT 5 Seg - {Reg SC} - 07/10</x:v>
      </x:c>
      <x:c r="C12" s="9" t="str">
        <x:v>TRON SC</x:v>
      </x:c>
      <x:c r="D12" s="22" t="n">
        <x:f>SUMIFS('Diário'!$D$6:$D$845,'Diário'!$A$6:$A$845,$A12)</x:f>
        <x:v>41007</x:v>
      </x:c>
      <x:c r="E12" s="22" t="n">
        <x:f>SUMIFS('Diário'!$E$6:$E$845,'Diário'!$A$6:$A$845,$A12)</x:f>
        <x:v>14845</x:v>
      </x:c>
      <x:c r="F12" s="22" t="n">
        <x:f>SUMIFS('Diário'!$F$6:$F$845,'Diário'!$A$6:$A$845,$A12)</x:f>
        <x:v>64</x:v>
      </x:c>
      <x:c r="G12" s="23" t="n">
        <x:f>SUMIFS('Diário'!$G$6:$G$845,'Diário'!$A$6:$A$845,$A12)</x:f>
        <x:v>109.25</x:v>
      </x:c>
      <x:c r="H12" s="22" t="n">
        <x:f>SUMIFS('Diário'!$H$6:$H$845,'Diário'!$A$6:$A$845,$A12)</x:f>
        <x:v>50</x:v>
      </x:c>
      <x:c r="I12" s="24" t="n">
        <x:f>IF(D12=0,"n.a.",H12/D12)</x:f>
        <x:v>0.0012193040212646622</x:v>
      </x:c>
      <x:c r="J12" s="23" t="n">
        <x:f>IF(D12=0,"n.a.",G12/D12*1000)</x:f>
        <x:v>2.6641792864632867</x:v>
      </x:c>
      <x:c r="K12" s="23" t="n">
        <x:f>IF(H12=0,"n.a.",G12/H12)</x:f>
        <x:v>2.185</x:v>
      </x:c>
      <x:c r="L12" s="9" t="str">
        <x:v>Ativada</x:v>
      </x:c>
      <x:c r="M12" s="12" t="n">
        <x:v>15</x:v>
      </x:c>
      <x:c r="N12" s="9" t="str">
        <x:v>Diário</x:v>
      </x:c>
      <x:c r="O12" s="10" t="d">
        <x:v>2026-09-01T12:00:00.000Z</x:v>
      </x:c>
      <x:c r="P12" s="10" t="d">
        <x:v>2026-10-07T12:00:00.000Z</x:v>
      </x:c>
      <x:c r="Q12" s="10" t="d">
        <x:v>2026-10-13T12:00:00.000Z</x:v>
      </x:c>
      <x:c r="R12" s="9" t="n">
        <x:v>7</x:v>
      </x:c>
    </x:row>
    <x:row r="13" ht="24" customHeight="1">
      <x:c r="A13" s="9" t="str">
        <x:v>C08</x:v>
      </x:c>
      <x:c r="B13" s="9" t="str">
        <x:v>[TRON] - YouTube 04 -  VT 5 Seg - {Reg SC} - 07/10</x:v>
      </x:c>
      <x:c r="C13" s="9" t="str">
        <x:v>TRON SC</x:v>
      </x:c>
      <x:c r="D13" s="22" t="n">
        <x:f>SUMIFS('Diário'!$D$6:$D$845,'Diário'!$A$6:$A$845,$A13)</x:f>
        <x:v>42344</x:v>
      </x:c>
      <x:c r="E13" s="22" t="n">
        <x:f>SUMIFS('Diário'!$E$6:$E$845,'Diário'!$A$6:$A$845,$A13)</x:f>
        <x:v>16415</x:v>
      </x:c>
      <x:c r="F13" s="22" t="n">
        <x:f>SUMIFS('Diário'!$F$6:$F$845,'Diário'!$A$6:$A$845,$A13)</x:f>
        <x:v>121</x:v>
      </x:c>
      <x:c r="G13" s="23" t="n">
        <x:f>SUMIFS('Diário'!$G$6:$G$845,'Diário'!$A$6:$A$845,$A13)</x:f>
        <x:v>109.21000000000001</x:v>
      </x:c>
      <x:c r="H13" s="22" t="n">
        <x:f>SUMIFS('Diário'!$H$6:$H$845,'Diário'!$A$6:$A$845,$A13)</x:f>
        <x:v>45</x:v>
      </x:c>
      <x:c r="I13" s="24" t="n">
        <x:f>IF(D13=0,"n.a.",H13/D13)</x:f>
        <x:v>0.0010627243529189496</x:v>
      </x:c>
      <x:c r="J13" s="23" t="n">
        <x:f>IF(D13=0,"n.a.",G13/D13*1000)</x:f>
        <x:v>2.579113924050633</x:v>
      </x:c>
      <x:c r="K13" s="23" t="n">
        <x:f>IF(H13=0,"n.a.",G13/H13)</x:f>
        <x:v>2.426888888888889</x:v>
      </x:c>
      <x:c r="L13" s="9" t="str">
        <x:v>Ativada</x:v>
      </x:c>
      <x:c r="M13" s="12" t="n">
        <x:v>15</x:v>
      </x:c>
      <x:c r="N13" s="9" t="str">
        <x:v>Diário</x:v>
      </x:c>
      <x:c r="O13" s="10" t="d">
        <x:v>2026-09-01T12:00:00.000Z</x:v>
      </x:c>
      <x:c r="P13" s="10" t="d">
        <x:v>2026-10-07T12:00:00.000Z</x:v>
      </x:c>
      <x:c r="Q13" s="10" t="d">
        <x:v>2026-10-13T12:00:00.000Z</x:v>
      </x:c>
      <x:c r="R13" s="9" t="n">
        <x:v>7</x:v>
      </x:c>
    </x:row>
    <x:row r="14">
      <x:c r="D14" s="25"/>
      <x:c r="E14" s="25"/>
      <x:c r="F14" s="25"/>
      <x:c r="G14" s="26"/>
      <x:c r="H14" s="25"/>
      <x:c r="I14" s="27"/>
      <x:c r="J14" s="26"/>
      <x:c r="K14" s="26"/>
    </x:row>
    <x:row r="15">
      <x:c r="B15" s="18" t="str">
        <x:v>Total dos dias disponíveis</x:v>
      </x:c>
      <x:c r="C15" s="18"/>
      <x:c r="D15" s="28" t="n">
        <x:f>SUM(D6:D13)</x:f>
        <x:v>657470</x:v>
      </x:c>
      <x:c r="E15" s="28" t="n">
        <x:f>SUM(E6:E13)</x:f>
        <x:v>567161</x:v>
      </x:c>
      <x:c r="F15" s="28" t="str">
        <x:v>Parcial (6/8)</x:v>
      </x:c>
      <x:c r="G15" s="29" t="n">
        <x:f>SUM(G6:G13)</x:f>
        <x:v>2980.1499999999996</x:v>
      </x:c>
      <x:c r="H15" s="28" t="n">
        <x:f>SUM(H6:H13)</x:f>
        <x:v>261</x:v>
      </x:c>
      <x:c r="I15" s="30" t="n">
        <x:f>H15/D15</x:f>
        <x:v>0.00039697628789146273</x:v>
      </x:c>
      <x:c r="J15" s="29" t="n">
        <x:f>G15/D15*1000</x:f>
        <x:v>4.53275434620591</x:v>
      </x:c>
      <x:c r="K15" s="29" t="n">
        <x:f>G15/H15</x:f>
        <x:v>11.418199233716473</x:v>
      </x:c>
    </x:row>
    <x:row r="17">
      <x:c r="B17" t="str">
        <x:v>TrueView exato ausente para TRON 01 e TRON 02. Consultar o agregado original na aba Configuração.</x:v>
      </x:c>
    </x:row>
    <x:row r="18">
      <x:c r="B18" t="str">
        <x:v>Locais, dispositivos, criativos e lojas de TRON e remarketing incluem 14/10. Cada linha informa o período.</x:v>
      </x:c>
    </x:row>
    <x:row r="19">
      <x:c r="B19" t="str">
        <x:v>Receita, vendas e ROAS não foram exportados. Zero conversões registradas não comprova ausência de vendas.</x:v>
      </x:c>
    </x:row>
    <x:row r="20">
      <x:c r="B20" t="str">
        <x:v>Os custos diários somados podem diferir centavos dos agregados. Veja Auditoria e Configuração.</x:v>
      </x:c>
    </x:row>
  </x:sheetData>
  <x:pageMargins left="0.7" right="0.7" top="0.75" bottom="0.75" header="0.3" footer="0.3"/>
  <x:tableParts count="1">
    <x:tablePart xmlns:r="http://schemas.openxmlformats.org/officeDocument/2006/relationships" r:id="Rca01d74ce66c474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6" hidden="0" customWidth="1"/>
    <x:col min="3" max="3" width="28" hidden="0" customWidth="1"/>
    <x:col min="4" max="4" width="112" hidden="0" customWidth="1"/>
  </x:cols>
  <x:sheetData>
    <x:row r="1">
      <x:c r="A1" s="1"/>
      <x:c r="B1" s="1"/>
      <x:c r="C1" s="1"/>
      <x:c r="D1" s="1"/>
    </x:row>
    <x:row r="2" ht="24" customHeight="1">
      <x:c r="A2" s="2" t="str">
        <x:v>Análise por campanha</x:v>
      </x:c>
      <x:c r="B2" s="1"/>
      <x:c r="C2" s="1"/>
      <x:c r="D2" s="1"/>
    </x:row>
    <x:row r="3">
      <x:c r="A3" s="3" t="str">
        <x:v>Fichas separadas por ID. Inclui público, locais, interpretação e limites.</x:v>
      </x:c>
      <x:c r="B3" s="1"/>
      <x:c r="C3" s="1"/>
      <x:c r="D3" s="1"/>
    </x:row>
    <x:row r="4">
      <x:c r="A4" s="1"/>
      <x:c r="B4" s="1"/>
      <x:c r="C4" s="1"/>
      <x:c r="D4" s="1"/>
    </x:row>
    <x:row r="5" ht="34" customHeight="1">
      <x:c r="A5" s="8" t="str">
        <x:v>ID</x:v>
      </x:c>
      <x:c r="B5" s="8" t="str">
        <x:v>Campanha</x:v>
      </x:c>
      <x:c r="C5" s="8" t="str">
        <x:v>Campo</x:v>
      </x:c>
      <x:c r="D5" s="8" t="str">
        <x:v>Informação / análise</x:v>
      </x:c>
    </x:row>
    <x:row r="6" ht="39" customHeight="1">
      <x:c r="A6" s="32" t="str">
        <x:v>C01</x:v>
      </x:c>
      <x:c r="B6" s="33" t="str">
        <x:v>YT - Arrozes especiais Bahia 01</x:v>
      </x:c>
      <x:c r="C6" s="32" t="str">
        <x:v>Público-alvo</x:v>
      </x:c>
      <x:c r="D6" s="33" t="str">
        <x:v>Público definido geograficamente na Bahia. Idade, gênero, interesses, renda e listas de audiência não constam nos arquivos.</x:v>
      </x:c>
    </x:row>
    <x:row r="7" ht="39" customHeight="1">
      <x:c r="A7" s="32" t="str">
        <x:v>C01</x:v>
      </x:c>
      <x:c r="B7" s="33" t="str">
        <x:v>YT - Arrozes especiais Bahia 01</x:v>
      </x:c>
      <x:c r="C7" s="32" t="str">
        <x:v>Período e cobertura</x:v>
      </x:c>
      <x:c r="D7" s="33" t="str">
        <x:v>As séries cobrem todo o período solicitado. A primeira entrega observada foi em 23/07, embora as pastas mencionem 22/07.</x:v>
      </x:c>
    </x:row>
    <x:row r="8" ht="24" customHeight="1">
      <x:c r="A8" s="32" t="str">
        <x:v>C01</x:v>
      </x:c>
      <x:c r="B8" s="33" t="str">
        <x:v>YT - Arrozes especiais Bahia 01</x:v>
      </x:c>
      <x:c r="C8" s="32" t="str">
        <x:v>Período dos detalhes</x:v>
      </x:c>
      <x:c r="D8" s="33" t="str">
        <x:v>01/07 a 13/10/2026</x:v>
      </x:c>
    </x:row>
    <x:row r="9" ht="24" customHeight="1">
      <x:c r="A9" s="32" t="str">
        <x:v>C01</x:v>
      </x:c>
      <x:c r="B9" s="33" t="str">
        <x:v>YT - Arrozes especiais Bahia 01</x:v>
      </x:c>
      <x:c r="C9" s="32" t="str">
        <x:v>Maior dispositivo</x:v>
      </x:c>
      <x:c r="D9" s="33" t="str">
        <x:v>Telas de TV</x:v>
      </x:c>
    </x:row>
    <x:row r="10" ht="39" customHeight="1">
      <x:c r="A10" s="32" t="str">
        <x:v>C01</x:v>
      </x:c>
      <x:c r="B10" s="33" t="str">
        <x:v>YT - Arrozes especiais Bahia 01</x:v>
      </x:c>
      <x:c r="C10" s="32" t="str">
        <x:v>Locais principais</x:v>
      </x:c>
      <x:c r="D10" s="33" t="str">
        <x:v>Salvador, Bahia, Brasil / Camaçari, Bahia, Brasil / Santo Antônio de Jesus, Bahia, Brasil / Simões Filho, Bahia, Brasil / Cruz das Almas, Bahia, Brasil</x:v>
      </x:c>
    </x:row>
    <x:row r="11" ht="39" customHeight="1">
      <x:c r="A11" s="32" t="str">
        <x:v>C01</x:v>
      </x:c>
      <x:c r="B11" s="33" t="str">
        <x:v>YT - Arrozes especiais Bahia 01</x:v>
      </x:c>
      <x:c r="C11" s="32" t="str">
        <x:v>Análise</x:v>
      </x:c>
      <x:c r="D11" s="33" t="str">
        <x:v>Telas de TV concentram 87,50% das impressões. O destino conhecido das campanhas 01 e 03 é o Instagram; há poucos cliques frente ao volume de exposição.</x:v>
      </x:c>
    </x:row>
    <x:row r="12" ht="24" customHeight="1">
      <x:c r="A12" s="32" t="str">
        <x:v>C01</x:v>
      </x:c>
      <x:c r="B12" s="33" t="str">
        <x:v>YT - Arrozes especiais Bahia 01</x:v>
      </x:c>
      <x:c r="C12" s="32" t="str">
        <x:v>Análise</x:v>
      </x:c>
      <x:c r="D12" s="33" t="str">
        <x:v>TrueView: 88.639. Visualizações públicas: 151.016. O custo total dividido por TrueView é R$ 0,0088.</x:v>
      </x:c>
    </x:row>
    <x:row r="13" ht="39" customHeight="1">
      <x:c r="A13" s="32" t="str">
        <x:v>C01</x:v>
      </x:c>
      <x:c r="B13" s="33" t="str">
        <x:v>YT - Arrozes especiais Bahia 01</x:v>
      </x:c>
      <x:c r="C13" s="32" t="str">
        <x:v>Análise</x:v>
      </x:c>
      <x:c r="D13" s="33" t="str">
        <x:v>Não há entrega em 26, 28 e 30/09 nas três campanhas Bahia. O mesmo padrão aparece no remarketing. A causa não está registrada.</x:v>
      </x:c>
    </x:row>
    <x:row r="14" ht="24" customHeight="1">
      <x:c r="A14" s="32" t="str">
        <x:v>C01</x:v>
      </x:c>
      <x:c r="B14" s="33" t="str">
        <x:v>YT - Arrozes especiais Bahia 01</x:v>
      </x:c>
      <x:c r="C14" s="32" t="str">
        <x:v>Análise</x:v>
      </x:c>
      <x:c r="D14" s="33" t="str">
        <x:v>Maior local: Salvador, Bahia, Brasil — 89.442 impressões e 50.913 TrueView (58,23% das impressões da campanha).</x:v>
      </x:c>
    </x:row>
    <x:row r="15" ht="24" customHeight="1">
      <x:c r="A15" s="32" t="str">
        <x:v>C01</x:v>
      </x:c>
      <x:c r="B15" s="33" t="str">
        <x:v>YT - Arrozes especiais Bahia 01</x:v>
      </x:c>
      <x:c r="C15" s="32" t="str">
        <x:v>Análise</x:v>
      </x:c>
      <x:c r="D15" s="33" t="str">
        <x:v>Não há relatório por loja na pasta da Bahia 01.</x:v>
      </x:c>
    </x:row>
    <x:row r="16" ht="39" customHeight="1">
      <x:c r="A16" s="32" t="str">
        <x:v>C01</x:v>
      </x:c>
      <x:c r="B16" s="33" t="str">
        <x:v>YT - Arrozes especiais Bahia 01</x:v>
      </x:c>
      <x:c r="C16" s="32" t="str">
        <x:v>Análise</x:v>
      </x:c>
      <x:c r="D16" s="33" t="str">
        <x:v>Zero conversões registradas. Isso não comprova ausência de vendas: receita, transações e atribuição não foram fornecidas.</x:v>
      </x:c>
    </x:row>
    <x:row r="17" ht="39" customHeight="1">
      <x:c r="A17" s="32" t="str">
        <x:v>C01</x:v>
      </x:c>
      <x:c r="B17" s="33" t="str">
        <x:v>YT - Arrozes especiais Bahia 01</x:v>
      </x:c>
      <x:c r="C17" s="32" t="str">
        <x:v>Análise</x:v>
      </x:c>
      <x:c r="D17" s="33" t="str">
        <x:v>Curtidas, comentários e compartilhamentos no relatório de campanha: zero. Métricas comerciais de receita, vendas e ROAS não estão disponíveis.</x:v>
      </x:c>
    </x:row>
    <x:row r="18" ht="54" customHeight="1">
      <x:c r="A18" s="32" t="str">
        <x:v>C01</x:v>
      </x:c>
      <x:c r="B18" s="33" t="str">
        <x:v>YT - Arrozes especiais Bahia 01</x:v>
      </x:c>
      <x:c r="C18" s="32" t="str">
        <x:v>Análise</x:v>
      </x:c>
      <x:c r="D18" s="33" t="str">
        <x:v>Custo principal = soma dos dias até 13/10 (R$ 775,97). Custo do relatório de campanha (1 de julho de 2026 - 13 de outubro de 2026) = R$ 775,98. Diferença: R$ -0,01. Pequenas diferenças de centavos em períodos equivalentes são compatíveis com arredondamento diário.</x:v>
      </x:c>
    </x:row>
    <x:row r="19" ht="39" customHeight="1">
      <x:c r="A19" s="32" t="str">
        <x:v>C02</x:v>
      </x:c>
      <x:c r="B19" s="33" t="str">
        <x:v>YT - Arrozes especiais Bahia 02</x:v>
      </x:c>
      <x:c r="C19" s="32" t="str">
        <x:v>Público-alvo</x:v>
      </x:c>
      <x:c r="D19" s="33" t="str">
        <x:v>Público definido geograficamente na Bahia. Idade, gênero, interesses, renda e listas de audiência não constam nos arquivos.</x:v>
      </x:c>
    </x:row>
    <x:row r="20" ht="39" customHeight="1">
      <x:c r="A20" s="32" t="str">
        <x:v>C02</x:v>
      </x:c>
      <x:c r="B20" s="33" t="str">
        <x:v>YT - Arrozes especiais Bahia 02</x:v>
      </x:c>
      <x:c r="C20" s="32" t="str">
        <x:v>Período e cobertura</x:v>
      </x:c>
      <x:c r="D20" s="33" t="str">
        <x:v>As séries cobrem todo o período solicitado. A primeira entrega observada foi em 23/07, embora as pastas mencionem 22/07.</x:v>
      </x:c>
    </x:row>
    <x:row r="21" ht="24" customHeight="1">
      <x:c r="A21" s="32" t="str">
        <x:v>C02</x:v>
      </x:c>
      <x:c r="B21" s="33" t="str">
        <x:v>YT - Arrozes especiais Bahia 02</x:v>
      </x:c>
      <x:c r="C21" s="32" t="str">
        <x:v>Período dos detalhes</x:v>
      </x:c>
      <x:c r="D21" s="33" t="str">
        <x:v>01/07 a 13/10/2026</x:v>
      </x:c>
    </x:row>
    <x:row r="22" ht="24" customHeight="1">
      <x:c r="A22" s="32" t="str">
        <x:v>C02</x:v>
      </x:c>
      <x:c r="B22" s="33" t="str">
        <x:v>YT - Arrozes especiais Bahia 02</x:v>
      </x:c>
      <x:c r="C22" s="32" t="str">
        <x:v>Maior dispositivo</x:v>
      </x:c>
      <x:c r="D22" s="33" t="str">
        <x:v>Telas de TV</x:v>
      </x:c>
    </x:row>
    <x:row r="23" ht="39" customHeight="1">
      <x:c r="A23" s="32" t="str">
        <x:v>C02</x:v>
      </x:c>
      <x:c r="B23" s="33" t="str">
        <x:v>YT - Arrozes especiais Bahia 02</x:v>
      </x:c>
      <x:c r="C23" s="32" t="str">
        <x:v>Locais principais</x:v>
      </x:c>
      <x:c r="D23" s="33" t="str">
        <x:v>Itabuna, Bahia, Brasil / Ilhéus, Bahia, Brasil / Valença, Bahia, Brasil / Ipiaú, Bahia, Brasil / 15,0|mi|Barro Preto, BA</x:v>
      </x:c>
    </x:row>
    <x:row r="24" ht="39" customHeight="1">
      <x:c r="A24" s="32" t="str">
        <x:v>C02</x:v>
      </x:c>
      <x:c r="B24" s="33" t="str">
        <x:v>YT - Arrozes especiais Bahia 02</x:v>
      </x:c>
      <x:c r="C24" s="32" t="str">
        <x:v>Análise</x:v>
      </x:c>
      <x:c r="D24" s="33" t="str">
        <x:v>Telas de TV concentram 90,38% das impressões. O destino conhecido das campanhas 01 e 03 é o Instagram; há poucos cliques frente ao volume de exposição.</x:v>
      </x:c>
    </x:row>
    <x:row r="25" ht="24" customHeight="1">
      <x:c r="A25" s="32" t="str">
        <x:v>C02</x:v>
      </x:c>
      <x:c r="B25" s="33" t="str">
        <x:v>YT - Arrozes especiais Bahia 02</x:v>
      </x:c>
      <x:c r="C25" s="32" t="str">
        <x:v>Análise</x:v>
      </x:c>
      <x:c r="D25" s="33" t="str">
        <x:v>TrueView: 98.697. Visualizações públicas: 169.693. O custo total dividido por TrueView é R$ 0,0078.</x:v>
      </x:c>
    </x:row>
    <x:row r="26" ht="39" customHeight="1">
      <x:c r="A26" s="32" t="str">
        <x:v>C02</x:v>
      </x:c>
      <x:c r="B26" s="33" t="str">
        <x:v>YT - Arrozes especiais Bahia 02</x:v>
      </x:c>
      <x:c r="C26" s="32" t="str">
        <x:v>Análise</x:v>
      </x:c>
      <x:c r="D26" s="33" t="str">
        <x:v>Não há entrega em 26, 28 e 30/09 nas três campanhas Bahia. O mesmo padrão aparece no remarketing. A causa não está registrada.</x:v>
      </x:c>
    </x:row>
    <x:row r="27" ht="24" customHeight="1">
      <x:c r="A27" s="32" t="str">
        <x:v>C02</x:v>
      </x:c>
      <x:c r="B27" s="33" t="str">
        <x:v>YT - Arrozes especiais Bahia 02</x:v>
      </x:c>
      <x:c r="C27" s="32" t="str">
        <x:v>Análise</x:v>
      </x:c>
      <x:c r="D27" s="33" t="str">
        <x:v>Maior local: Itabuna, Bahia, Brasil — 52.756 impressões e 29.416 TrueView (30,57% das impressões da campanha).</x:v>
      </x:c>
    </x:row>
    <x:row r="28" ht="24" customHeight="1">
      <x:c r="A28" s="32" t="str">
        <x:v>C02</x:v>
      </x:c>
      <x:c r="B28" s="33" t="str">
        <x:v>YT - Arrozes especiais Bahia 02</x:v>
      </x:c>
      <x:c r="C28" s="32" t="str">
        <x:v>Análise</x:v>
      </x:c>
      <x:c r="D28" s="33" t="str">
        <x:v>Relatório de anúncios ausente. Não é possível confirmar vídeo, texto e destino da Bahia 02.</x:v>
      </x:c>
    </x:row>
    <x:row r="29" ht="39" customHeight="1">
      <x:c r="A29" s="32" t="str">
        <x:v>C02</x:v>
      </x:c>
      <x:c r="B29" s="33" t="str">
        <x:v>YT - Arrozes especiais Bahia 02</x:v>
      </x:c>
      <x:c r="C29" s="32" t="str">
        <x:v>Análise</x:v>
      </x:c>
      <x:c r="D29" s="33" t="str">
        <x:v>Zero conversões registradas. Isso não comprova ausência de vendas: receita, transações e atribuição não foram fornecidas.</x:v>
      </x:c>
    </x:row>
    <x:row r="30" ht="39" customHeight="1">
      <x:c r="A30" s="32" t="str">
        <x:v>C02</x:v>
      </x:c>
      <x:c r="B30" s="33" t="str">
        <x:v>YT - Arrozes especiais Bahia 02</x:v>
      </x:c>
      <x:c r="C30" s="32" t="str">
        <x:v>Análise</x:v>
      </x:c>
      <x:c r="D30" s="33" t="str">
        <x:v>Curtidas, comentários e compartilhamentos no relatório de campanha: zero. Métricas comerciais de receita, vendas e ROAS não estão disponíveis.</x:v>
      </x:c>
    </x:row>
    <x:row r="31" ht="54" customHeight="1">
      <x:c r="A31" s="32" t="str">
        <x:v>C02</x:v>
      </x:c>
      <x:c r="B31" s="33" t="str">
        <x:v>YT - Arrozes especiais Bahia 02</x:v>
      </x:c>
      <x:c r="C31" s="32" t="str">
        <x:v>Análise</x:v>
      </x:c>
      <x:c r="D31" s="33" t="str">
        <x:v>Custo principal = soma dos dias até 13/10 (R$ 765,77). Custo do relatório de campanha (1 de julho de 2026 - 13 de outubro de 2026) = R$ 765,76. Diferença: R$ 0,01. Pequenas diferenças de centavos em períodos equivalentes são compatíveis com arredondamento diário.</x:v>
      </x:c>
    </x:row>
    <x:row r="32" ht="39" customHeight="1">
      <x:c r="A32" s="32" t="str">
        <x:v>C03</x:v>
      </x:c>
      <x:c r="B32" s="33" t="str">
        <x:v>YT - Arrozes especiais Bahia 03</x:v>
      </x:c>
      <x:c r="C32" s="32" t="str">
        <x:v>Público-alvo</x:v>
      </x:c>
      <x:c r="D32" s="33" t="str">
        <x:v>Público definido geograficamente na Bahia. Idade, gênero, interesses, renda e listas de audiência não constam nos arquivos.</x:v>
      </x:c>
    </x:row>
    <x:row r="33" ht="39" customHeight="1">
      <x:c r="A33" s="32" t="str">
        <x:v>C03</x:v>
      </x:c>
      <x:c r="B33" s="33" t="str">
        <x:v>YT - Arrozes especiais Bahia 03</x:v>
      </x:c>
      <x:c r="C33" s="32" t="str">
        <x:v>Período e cobertura</x:v>
      </x:c>
      <x:c r="D33" s="33" t="str">
        <x:v>As séries cobrem todo o período solicitado. A primeira entrega observada foi em 23/07, embora as pastas mencionem 22/07.</x:v>
      </x:c>
    </x:row>
    <x:row r="34" ht="24" customHeight="1">
      <x:c r="A34" s="32" t="str">
        <x:v>C03</x:v>
      </x:c>
      <x:c r="B34" s="33" t="str">
        <x:v>YT - Arrozes especiais Bahia 03</x:v>
      </x:c>
      <x:c r="C34" s="32" t="str">
        <x:v>Período dos detalhes</x:v>
      </x:c>
      <x:c r="D34" s="33" t="str">
        <x:v>01/07 a 13/10/2026</x:v>
      </x:c>
    </x:row>
    <x:row r="35" ht="24" customHeight="1">
      <x:c r="A35" s="32" t="str">
        <x:v>C03</x:v>
      </x:c>
      <x:c r="B35" s="33" t="str">
        <x:v>YT - Arrozes especiais Bahia 03</x:v>
      </x:c>
      <x:c r="C35" s="32" t="str">
        <x:v>Maior dispositivo</x:v>
      </x:c>
      <x:c r="D35" s="33" t="str">
        <x:v>Telas de TV</x:v>
      </x:c>
    </x:row>
    <x:row r="36" ht="39" customHeight="1">
      <x:c r="A36" s="32" t="str">
        <x:v>C03</x:v>
      </x:c>
      <x:c r="B36" s="33" t="str">
        <x:v>YT - Arrozes especiais Bahia 03</x:v>
      </x:c>
      <x:c r="C36" s="32" t="str">
        <x:v>Locais principais</x:v>
      </x:c>
      <x:c r="D36" s="33" t="str">
        <x:v>20,0|mi|Uruçuca, BA / Porto Seguro, Bahia, Brasil / 15,0|km|Teixeira de Freitas, BA / Eunápolis, Bahia, Brasil / Nova Viçosa, Bahia, Brasil</x:v>
      </x:c>
    </x:row>
    <x:row r="37" ht="39" customHeight="1">
      <x:c r="A37" s="32" t="str">
        <x:v>C03</x:v>
      </x:c>
      <x:c r="B37" s="33" t="str">
        <x:v>YT - Arrozes especiais Bahia 03</x:v>
      </x:c>
      <x:c r="C37" s="32" t="str">
        <x:v>Análise</x:v>
      </x:c>
      <x:c r="D37" s="33" t="str">
        <x:v>Telas de TV concentram 90,91% das impressões. O destino conhecido das campanhas 01 e 03 é o Instagram; há poucos cliques frente ao volume de exposição.</x:v>
      </x:c>
    </x:row>
    <x:row r="38" ht="24" customHeight="1">
      <x:c r="A38" s="32" t="str">
        <x:v>C03</x:v>
      </x:c>
      <x:c r="B38" s="33" t="str">
        <x:v>YT - Arrozes especiais Bahia 03</x:v>
      </x:c>
      <x:c r="C38" s="32" t="str">
        <x:v>Análise</x:v>
      </x:c>
      <x:c r="D38" s="33" t="str">
        <x:v>TrueView: 100.755. Visualizações públicas: 170.179. O custo total dividido por TrueView é R$ 0,0076.</x:v>
      </x:c>
    </x:row>
    <x:row r="39" ht="39" customHeight="1">
      <x:c r="A39" s="32" t="str">
        <x:v>C03</x:v>
      </x:c>
      <x:c r="B39" s="33" t="str">
        <x:v>YT - Arrozes especiais Bahia 03</x:v>
      </x:c>
      <x:c r="C39" s="32" t="str">
        <x:v>Análise</x:v>
      </x:c>
      <x:c r="D39" s="33" t="str">
        <x:v>Não há entrega em 26, 28 e 30/09 nas três campanhas Bahia. O mesmo padrão aparece no remarketing. A causa não está registrada.</x:v>
      </x:c>
    </x:row>
    <x:row r="40" ht="24" customHeight="1">
      <x:c r="A40" s="32" t="str">
        <x:v>C03</x:v>
      </x:c>
      <x:c r="B40" s="33" t="str">
        <x:v>YT - Arrozes especiais Bahia 03</x:v>
      </x:c>
      <x:c r="C40" s="32" t="str">
        <x:v>Análise</x:v>
      </x:c>
      <x:c r="D40" s="33" t="str">
        <x:v>Maior local: 20,0|mi|Uruçuca, BA — 50.752 impressões e 29.426 TrueView (29,40% das impressões da campanha).</x:v>
      </x:c>
    </x:row>
    <x:row r="41" ht="39" customHeight="1">
      <x:c r="A41" s="32" t="str">
        <x:v>C03</x:v>
      </x:c>
      <x:c r="B41" s="33" t="str">
        <x:v>YT - Arrozes especiais Bahia 03</x:v>
      </x:c>
      <x:c r="C41" s="32" t="str">
        <x:v>Análise</x:v>
      </x:c>
      <x:c r="D41" s="33" t="str">
        <x:v>Uruçuca usa raio de 20 milhas (aproximadamente 32,19 km). Outros locais incluem raios de 15 km. A unidade original foi preservada.</x:v>
      </x:c>
    </x:row>
    <x:row r="42" ht="39" customHeight="1">
      <x:c r="A42" s="32" t="str">
        <x:v>C03</x:v>
      </x:c>
      <x:c r="B42" s="33" t="str">
        <x:v>YT - Arrozes especiais Bahia 03</x:v>
      </x:c>
      <x:c r="C42" s="32" t="str">
        <x:v>Análise</x:v>
      </x:c>
      <x:c r="D42" s="33" t="str">
        <x:v>Zero conversões registradas. Isso não comprova ausência de vendas: receita, transações e atribuição não foram fornecidas.</x:v>
      </x:c>
    </x:row>
    <x:row r="43" ht="39" customHeight="1">
      <x:c r="A43" s="32" t="str">
        <x:v>C03</x:v>
      </x:c>
      <x:c r="B43" s="33" t="str">
        <x:v>YT - Arrozes especiais Bahia 03</x:v>
      </x:c>
      <x:c r="C43" s="32" t="str">
        <x:v>Análise</x:v>
      </x:c>
      <x:c r="D43" s="33" t="str">
        <x:v>Curtidas, comentários e compartilhamentos no relatório de campanha: zero. Métricas comerciais de receita, vendas e ROAS não estão disponíveis.</x:v>
      </x:c>
    </x:row>
    <x:row r="44" ht="54" customHeight="1">
      <x:c r="A44" s="32" t="str">
        <x:v>C03</x:v>
      </x:c>
      <x:c r="B44" s="33" t="str">
        <x:v>YT - Arrozes especiais Bahia 03</x:v>
      </x:c>
      <x:c r="C44" s="32" t="str">
        <x:v>Análise</x:v>
      </x:c>
      <x:c r="D44" s="33" t="str">
        <x:v>Custo principal = soma dos dias até 13/10 (R$ 765,95). Custo do relatório de campanha (1 de julho de 2026 - 13 de outubro de 2026) = R$ 765,94. Diferença: R$ 0,01. Pequenas diferenças de centavos em períodos equivalentes são compatíveis com arredondamento diário.</x:v>
      </x:c>
    </x:row>
    <x:row r="45" ht="39" customHeight="1">
      <x:c r="A45" s="32" t="str">
        <x:v>C04</x:v>
      </x:c>
      <x:c r="B45" s="33" t="str">
        <x:v>Remarketing Caçarola</x:v>
      </x:c>
      <x:c r="C45" s="32" t="str">
        <x:v>Público-alvo</x:v>
      </x:c>
      <x:c r="D45" s="33" t="str">
        <x:v>Pessoas que interagiram com os vídeos nos últimos 90 dias, conforme nomes do anúncio e do grupo. Composição, critérios e lista não foram exportados.</x:v>
      </x:c>
    </x:row>
    <x:row r="46" ht="39" customHeight="1">
      <x:c r="A46" s="32" t="str">
        <x:v>C04</x:v>
      </x:c>
      <x:c r="B46" s="33" t="str">
        <x:v>Remarketing Caçarola</x:v>
      </x:c>
      <x:c r="C46" s="32" t="str">
        <x:v>Período e cobertura</x:v>
      </x:c>
      <x:c r="D46" s="33" t="str">
        <x:v>As séries começam em 27/08. Os dias anteriores não foram exportados e não são tratados como zero. O dia 14/10 foi excluído dos resultados principais.</x:v>
      </x:c>
    </x:row>
    <x:row r="47" ht="39" customHeight="1">
      <x:c r="A47" s="32" t="str">
        <x:v>C04</x:v>
      </x:c>
      <x:c r="B47" s="33" t="str">
        <x:v>Remarketing Caçarola</x:v>
      </x:c>
      <x:c r="C47" s="32" t="str">
        <x:v>Período dos detalhes</x:v>
      </x:c>
      <x:c r="D47" s="33" t="str">
        <x:v>27 de agosto de 2026 - 14 de outubro de 2026. Detalhes não podem ser filtrados até 13/10 porque não têm data por linha.</x:v>
      </x:c>
    </x:row>
    <x:row r="48" ht="24" customHeight="1">
      <x:c r="A48" s="32" t="str">
        <x:v>C04</x:v>
      </x:c>
      <x:c r="B48" s="33" t="str">
        <x:v>Remarketing Caçarola</x:v>
      </x:c>
      <x:c r="C48" s="32" t="str">
        <x:v>Maior dispositivo</x:v>
      </x:c>
      <x:c r="D48" s="33" t="str">
        <x:v>Telas de TV</x:v>
      </x:c>
    </x:row>
    <x:row r="49" ht="39" customHeight="1">
      <x:c r="A49" s="32" t="str">
        <x:v>C04</x:v>
      </x:c>
      <x:c r="B49" s="33" t="str">
        <x:v>Remarketing Caçarola</x:v>
      </x:c>
      <x:c r="C49" s="32" t="str">
        <x:v>Locais principais</x:v>
      </x:c>
      <x:c r="D49" s="33" t="str">
        <x:v>15,0|km|Salvador, BA / 15,0|km|São JOÃO, Feira de Santana - Bahia / 15,0|km|Lauro de Freitas, BA / 15,0|km|Itaparica, BA / 15,0|km|Dias d'Ávila, Bahia</x:v>
      </x:c>
    </x:row>
    <x:row r="50" ht="39" customHeight="1">
      <x:c r="A50" s="32" t="str">
        <x:v>C04</x:v>
      </x:c>
      <x:c r="B50" s="33" t="str">
        <x:v>Remarketing Caçarola</x:v>
      </x:c>
      <x:c r="C50" s="32" t="str">
        <x:v>Análise</x:v>
      </x:c>
      <x:c r="D50" s="33" t="str">
        <x:v>Campanha pausada na exportação. Última entrega observada em 06/10. O anúncio e o grupo estão não qualificados por campanha pausada.</x:v>
      </x:c>
    </x:row>
    <x:row r="51" ht="39" customHeight="1">
      <x:c r="A51" s="32" t="str">
        <x:v>C04</x:v>
      </x:c>
      <x:c r="B51" s="33" t="str">
        <x:v>Remarketing Caçarola</x:v>
      </x:c>
      <x:c r="C51" s="32" t="str">
        <x:v>Análise</x:v>
      </x:c>
      <x:c r="D51" s="33" t="str">
        <x:v>O CPV desejado do grupo é R$ 10,00, versus R$ 0,02 nas campanhas Bahia. Confirmar a configuração e o histórico antes de propor alteração.</x:v>
      </x:c>
    </x:row>
    <x:row r="52" ht="39" customHeight="1">
      <x:c r="A52" s="32" t="str">
        <x:v>C04</x:v>
      </x:c>
      <x:c r="B52" s="33" t="str">
        <x:v>Remarketing Caçarola</x:v>
      </x:c>
      <x:c r="C52" s="32" t="str">
        <x:v>Análise</x:v>
      </x:c>
      <x:c r="D52" s="33" t="str">
        <x:v>São 37 cliques e CTR de 0,1150% no recorte disponível. O relatório de campanha registra 28.532 usuários exclusivos no período exportado, que inclui 14/10; esse alcance não foi recalculado para o recorte.</x:v>
      </x:c>
    </x:row>
    <x:row r="53" ht="39" customHeight="1">
      <x:c r="A53" s="32" t="str">
        <x:v>C04</x:v>
      </x:c>
      <x:c r="B53" s="33" t="str">
        <x:v>Remarketing Caçarola</x:v>
      </x:c>
      <x:c r="C53" s="32" t="str">
        <x:v>Análise</x:v>
      </x:c>
      <x:c r="D53" s="33" t="str">
        <x:v>Relatórios agregados registram zero conversões até 14/10; não há série diária de conversões. O recorte exato até 13/10 fica indisponível.</x:v>
      </x:c>
    </x:row>
    <x:row r="54" ht="39" customHeight="1">
      <x:c r="A54" s="32" t="str">
        <x:v>C04</x:v>
      </x:c>
      <x:c r="B54" s="33" t="str">
        <x:v>Remarketing Caçarola</x:v>
      </x:c>
      <x:c r="C54" s="32" t="str">
        <x:v>Análise</x:v>
      </x:c>
      <x:c r="D54" s="33" t="str">
        <x:v>Curtidas, comentários e compartilhamentos no relatório de campanha: zero. Métricas comerciais de receita, vendas e ROAS não estão disponíveis.</x:v>
      </x:c>
    </x:row>
    <x:row r="55" ht="54" customHeight="1">
      <x:c r="A55" s="32" t="str">
        <x:v>C04</x:v>
      </x:c>
      <x:c r="B55" s="33" t="str">
        <x:v>Remarketing Caçarola</x:v>
      </x:c>
      <x:c r="C55" s="32" t="str">
        <x:v>Análise</x:v>
      </x:c>
      <x:c r="D55" s="33" t="str">
        <x:v>Os ZIPs não informam período nem filtro de campanha internamente. São apresentados como anexos da pasta. O campo de canal diz “Total: campanhas de vídeo”; confirmar escopo antes de tratá-los como alcance definitivo da campanha. Não somar usuários únicos entre formatos, dispositivos ou campanhas.</x:v>
      </x:c>
    </x:row>
    <x:row r="56" ht="54" customHeight="1">
      <x:c r="A56" s="32" t="str">
        <x:v>C04</x:v>
      </x:c>
      <x:c r="B56" s="33" t="str">
        <x:v>Remarketing Caçarola</x:v>
      </x:c>
      <x:c r="C56" s="32" t="str">
        <x:v>Análise</x:v>
      </x:c>
      <x:c r="D56" s="33" t="str">
        <x:v>Custo principal = soma dos dias até 13/10 (R$ 343,50). Custo do relatório de campanha (27 de agosto de 2026 - 14 de outubro de 2026) = R$ 343,48. Diferença: R$ 0,02. Pequenas diferenças de centavos em períodos equivalentes são compatíveis com arredondamento diário.</x:v>
      </x:c>
    </x:row>
    <x:row r="57" ht="39" customHeight="1">
      <x:c r="A57" s="32" t="str">
        <x:v>C05</x:v>
      </x:c>
      <x:c r="B57" s="33" t="str">
        <x:v>[TRON] - YouTube 01 -  VT 5 Seg - {Reg SC} - 07/10</x:v>
      </x:c>
      <x:c r="C57" s="32" t="str">
        <x:v>Público-alvo</x:v>
      </x:c>
      <x:c r="D57" s="33" t="str">
        <x:v>Região SC conforme nome da campanha. Nas campanhas com relatório de locais, há segmentação por raios de 5 km ao redor de endereços. Idade, gênero, interesses e listas não foram exportados.</x:v>
      </x:c>
    </x:row>
    <x:row r="58" ht="39" customHeight="1">
      <x:c r="A58" s="32" t="str">
        <x:v>C05</x:v>
      </x:c>
      <x:c r="B58" s="33" t="str">
        <x:v>[TRON] - YouTube 01 -  VT 5 Seg - {Reg SC} - 07/10</x:v>
      </x:c>
      <x:c r="C58" s="32" t="str">
        <x:v>Período e cobertura</x:v>
      </x:c>
      <x:c r="D58" s="33" t="str">
        <x:v>As séries começam em 01/09. Os dias anteriores não foram exportados e não são tratados como zero. O dia 14/10 foi excluído dos resultados principais.</x:v>
      </x:c>
    </x:row>
    <x:row r="59" ht="39" customHeight="1">
      <x:c r="A59" s="32" t="str">
        <x:v>C05</x:v>
      </x:c>
      <x:c r="B59" s="33" t="str">
        <x:v>[TRON] - YouTube 01 -  VT 5 Seg - {Reg SC} - 07/10</x:v>
      </x:c>
      <x:c r="C59" s="32" t="str">
        <x:v>Período dos detalhes</x:v>
      </x:c>
      <x:c r="D59" s="33" t="str">
        <x:v>1 de setembro de 2026 - 14 de outubro de 2026. Detalhes não podem ser filtrados até 13/10 porque não têm data por linha.</x:v>
      </x:c>
    </x:row>
    <x:row r="60" ht="24" customHeight="1">
      <x:c r="A60" s="32" t="str">
        <x:v>C05</x:v>
      </x:c>
      <x:c r="B60" s="33" t="str">
        <x:v>[TRON] - YouTube 01 -  VT 5 Seg - {Reg SC} - 07/10</x:v>
      </x:c>
      <x:c r="C60" s="32" t="str">
        <x:v>Maior dispositivo</x:v>
      </x:c>
      <x:c r="D60" s="33" t="str">
        <x:v>Smartphones</x:v>
      </x:c>
    </x:row>
    <x:row r="61" ht="69" customHeight="1">
      <x:c r="A61" s="32" t="str">
        <x:v>C05</x:v>
      </x:c>
      <x:c r="B61" s="33" t="str">
        <x:v>[TRON] - YouTube 01 -  VT 5 Seg - {Reg SC} - 07/10</x:v>
      </x:c>
      <x:c r="C61" s="32" t="str">
        <x:v>Locais principais</x:v>
      </x:c>
      <x:c r="D61" s="33" t="str">
        <x:v>5,0|km|Rod. Gov. Mario Covas, 415 - Roçado, São José - SC / 5,0|km|Av. Vidal Procópio Lohn - Rio Grande, Palhoça - SC / 5,0|km|Av. Eng. Max de Souza, 740 - Coqueiros, Florianópolis - SC, 88080-000 / 5,0|km|Av. das Nações, 192 - Canasvieiras, Florianópolis - SC, 88054-010 / 5,0|km|Estrada, Rod. Armando Calil Bulos, 5890 - Ingleses Centro, Florianópolis - SC</x:v>
      </x:c>
    </x:row>
    <x:row r="62" ht="39" customHeight="1">
      <x:c r="A62" s="32" t="str">
        <x:v>C05</x:v>
      </x:c>
      <x:c r="B62" s="33" t="str">
        <x:v>[TRON] - YouTube 01 -  VT 5 Seg - {Reg SC} - 07/10</x:v>
      </x:c>
      <x:c r="C62" s="32" t="str">
        <x:v>Análise</x:v>
      </x:c>
      <x:c r="D62" s="33" t="str">
        <x:v>Objetivo exportado: alcance eficiente. O nome menciona VT de 5 segundos, mas a duração efetiva do vídeo não está nos CSVs. Métricas de TrueView e visualizações públicas devem permanecer separadas.</x:v>
      </x:c>
    </x:row>
    <x:row r="63" ht="39" customHeight="1">
      <x:c r="A63" s="32" t="str">
        <x:v>C05</x:v>
      </x:c>
      <x:c r="B63" s="33" t="str">
        <x:v>[TRON] - YouTube 01 -  VT 5 Seg - {Reg SC} - 07/10</x:v>
      </x:c>
      <x:c r="C63" s="32" t="str">
        <x:v>Análise</x:v>
      </x:c>
      <x:c r="D63" s="33" t="str">
        <x:v>Primeira entrega observada em 07/10. Julho e agosto estão fora das séries recebidas. Setembro tem zero entrega nas séries disponíveis.</x:v>
      </x:c>
    </x:row>
    <x:row r="64" ht="39" customHeight="1">
      <x:c r="A64" s="32" t="str">
        <x:v>C05</x:v>
      </x:c>
      <x:c r="B64" s="33" t="str">
        <x:v>[TRON] - YouTube 01 -  VT 5 Seg - {Reg SC} - 07/10</x:v>
      </x:c>
      <x:c r="C64" s="32" t="str">
        <x:v>Análise</x:v>
      </x:c>
      <x:c r="D64" s="33" t="str">
        <x:v>Os detalhes de dispositivos, criativos e locais abrangem até 14/10. Não há base para redistribuir a entrega do dia 14 entre esses recortes.</x:v>
      </x:c>
    </x:row>
    <x:row r="65" ht="39" customHeight="1">
      <x:c r="A65" s="32" t="str">
        <x:v>C05</x:v>
      </x:c>
      <x:c r="B65" s="33" t="str">
        <x:v>[TRON] - YouTube 01 -  VT 5 Seg - {Reg SC} - 07/10</x:v>
      </x:c>
      <x:c r="C65" s="32" t="str">
        <x:v>Análise</x:v>
      </x:c>
      <x:c r="D65" s="33" t="str">
        <x:v>TrueView até 13/10 indisponível: a série diária não contém essa métrica. O total do relatório até 14/10 permanece somente no bloco de dados originais.</x:v>
      </x:c>
    </x:row>
    <x:row r="66" ht="39" customHeight="1">
      <x:c r="A66" s="32" t="str">
        <x:v>C05</x:v>
      </x:c>
      <x:c r="B66" s="33" t="str">
        <x:v>[TRON] - YouTube 01 -  VT 5 Seg - {Reg SC} - 07/10</x:v>
      </x:c>
      <x:c r="C66" s="32" t="str">
        <x:v>Análise</x:v>
      </x:c>
      <x:c r="D66" s="33" t="str">
        <x:v>Orçamento de R$ 15,00 TOTAL da campanha, enquanto TRON 02, 03 e 04 têm R$ 15,00 DIÁRIO. Até 13/10: 591 impressões, 161 visualizações públicas, R$ 1,23 e zero cliques. Isso justifica revisar a diferença de configuração.</x:v>
      </x:c>
    </x:row>
    <x:row r="67" ht="39" customHeight="1">
      <x:c r="A67" s="32" t="str">
        <x:v>C05</x:v>
      </x:c>
      <x:c r="B67" s="33" t="str">
        <x:v>[TRON] - YouTube 01 -  VT 5 Seg - {Reg SC} - 07/10</x:v>
      </x:c>
      <x:c r="C67" s="32" t="str">
        <x:v>Análise</x:v>
      </x:c>
      <x:c r="D67" s="33" t="str">
        <x:v>Zero conversões registradas. Isso não comprova ausência de vendas: receita, transações e atribuição não foram fornecidas.</x:v>
      </x:c>
    </x:row>
    <x:row r="68" ht="39" customHeight="1">
      <x:c r="A68" s="32" t="str">
        <x:v>C05</x:v>
      </x:c>
      <x:c r="B68" s="33" t="str">
        <x:v>[TRON] - YouTube 01 -  VT 5 Seg - {Reg SC} - 07/10</x:v>
      </x:c>
      <x:c r="C68" s="32" t="str">
        <x:v>Análise</x:v>
      </x:c>
      <x:c r="D68" s="33" t="str">
        <x:v>Curtidas, comentários e compartilhamentos no relatório de campanha: zero. Métricas comerciais de receita, vendas e ROAS não estão disponíveis.</x:v>
      </x:c>
    </x:row>
    <x:row r="69" ht="54" customHeight="1">
      <x:c r="A69" s="32" t="str">
        <x:v>C05</x:v>
      </x:c>
      <x:c r="B69" s="33" t="str">
        <x:v>[TRON] - YouTube 01 -  VT 5 Seg - {Reg SC} - 07/10</x:v>
      </x:c>
      <x:c r="C69" s="32" t="str">
        <x:v>Análise</x:v>
      </x:c>
      <x:c r="D69" s="33" t="str">
        <x:v>Os ZIPs não informam período nem filtro de campanha internamente. São apresentados como anexos da pasta. O campo de canal diz “Total: campanhas de vídeo”; confirmar escopo antes de tratá-los como alcance definitivo da campanha. Não somar usuários únicos entre formatos, dispositivos ou campanhas.</x:v>
      </x:c>
    </x:row>
    <x:row r="70" ht="54" customHeight="1">
      <x:c r="A70" s="32" t="str">
        <x:v>C05</x:v>
      </x:c>
      <x:c r="B70" s="33" t="str">
        <x:v>[TRON] - YouTube 01 -  VT 5 Seg - {Reg SC} - 07/10</x:v>
      </x:c>
      <x:c r="C70" s="32" t="str">
        <x:v>Análise</x:v>
      </x:c>
      <x:c r="D70" s="33" t="str">
        <x:v>Custo principal = soma dos dias até 13/10 (R$ 1,23). Custo do relatório de campanha (1 de setembro de 2026 - 14 de outubro de 2026) = R$ 1,27. Diferença: R$ -0,04. Pequenas diferenças de centavos em períodos equivalentes são compatíveis com arredondamento diário.</x:v>
      </x:c>
    </x:row>
    <x:row r="71" ht="39" customHeight="1">
      <x:c r="A71" s="32" t="str">
        <x:v>C06</x:v>
      </x:c>
      <x:c r="B71" s="33" t="str">
        <x:v>[TRON] - YouTube 02 -  VT 5 Seg - {Reg SC} - 07/10</x:v>
      </x:c>
      <x:c r="C71" s="32" t="str">
        <x:v>Público-alvo</x:v>
      </x:c>
      <x:c r="D71" s="33" t="str">
        <x:v>Região SC conforme nome da campanha. Nas campanhas com relatório de locais, há segmentação por raios de 5 km ao redor de endereços. Idade, gênero, interesses e listas não foram exportados.</x:v>
      </x:c>
    </x:row>
    <x:row r="72" ht="39" customHeight="1">
      <x:c r="A72" s="32" t="str">
        <x:v>C06</x:v>
      </x:c>
      <x:c r="B72" s="33" t="str">
        <x:v>[TRON] - YouTube 02 -  VT 5 Seg - {Reg SC} - 07/10</x:v>
      </x:c>
      <x:c r="C72" s="32" t="str">
        <x:v>Período e cobertura</x:v>
      </x:c>
      <x:c r="D72" s="33" t="str">
        <x:v>As séries começam em 01/09. Os dias anteriores não foram exportados e não são tratados como zero. O dia 14/10 foi excluído dos resultados principais.</x:v>
      </x:c>
    </x:row>
    <x:row r="73" ht="39" customHeight="1">
      <x:c r="A73" s="32" t="str">
        <x:v>C06</x:v>
      </x:c>
      <x:c r="B73" s="33" t="str">
        <x:v>[TRON] - YouTube 02 -  VT 5 Seg - {Reg SC} - 07/10</x:v>
      </x:c>
      <x:c r="C73" s="32" t="str">
        <x:v>Período dos detalhes</x:v>
      </x:c>
      <x:c r="D73" s="33" t="str">
        <x:v>1 de setembro de 2026 - 14 de outubro de 2026. Detalhes não podem ser filtrados até 13/10 porque não têm data por linha.</x:v>
      </x:c>
    </x:row>
    <x:row r="74" ht="24" customHeight="1">
      <x:c r="A74" s="32" t="str">
        <x:v>C06</x:v>
      </x:c>
      <x:c r="B74" s="33" t="str">
        <x:v>[TRON] - YouTube 02 -  VT 5 Seg - {Reg SC} - 07/10</x:v>
      </x:c>
      <x:c r="C74" s="32" t="str">
        <x:v>Maior dispositivo</x:v>
      </x:c>
      <x:c r="D74" s="33" t="str">
        <x:v>Smartphones</x:v>
      </x:c>
    </x:row>
    <x:row r="75" ht="69" customHeight="1">
      <x:c r="A75" s="32" t="str">
        <x:v>C06</x:v>
      </x:c>
      <x:c r="B75" s="33" t="str">
        <x:v>[TRON] - YouTube 02 -  VT 5 Seg - {Reg SC} - 07/10</x:v>
      </x:c>
      <x:c r="C75" s="32" t="str">
        <x:v>Locais principais</x:v>
      </x:c>
      <x:c r="D75" s="33" t="str">
        <x:v>5,0|km|Rod. Gov. Mario Covas, 415 - Roçado, São José - SC / 5,0|km|Av. Vidal Procópio Lohn - Rio Grande, Palhoça - SC / 5,0|km|Av. Aniceto Zacchi, 222 - Pte. do Imaruim, Palhoça - SC, 88130-300 / 5,0|km|Estrada, Rod. Armando Calil Bulos, 5890 - Ingleses Centro, Florianópolis - SC / 5,0|km|Av. Eng. Max de Souza, 740 - Coqueiros, Florianópolis - SC, 88080-000</x:v>
      </x:c>
    </x:row>
    <x:row r="76" ht="39" customHeight="1">
      <x:c r="A76" s="32" t="str">
        <x:v>C06</x:v>
      </x:c>
      <x:c r="B76" s="33" t="str">
        <x:v>[TRON] - YouTube 02 -  VT 5 Seg - {Reg SC} - 07/10</x:v>
      </x:c>
      <x:c r="C76" s="32" t="str">
        <x:v>Análise</x:v>
      </x:c>
      <x:c r="D76" s="33" t="str">
        <x:v>Objetivo exportado: alcance eficiente. O nome menciona VT de 5 segundos, mas a duração efetiva do vídeo não está nos CSVs. Métricas de TrueView e visualizações públicas devem permanecer separadas.</x:v>
      </x:c>
    </x:row>
    <x:row r="77" ht="39" customHeight="1">
      <x:c r="A77" s="32" t="str">
        <x:v>C06</x:v>
      </x:c>
      <x:c r="B77" s="33" t="str">
        <x:v>[TRON] - YouTube 02 -  VT 5 Seg - {Reg SC} - 07/10</x:v>
      </x:c>
      <x:c r="C77" s="32" t="str">
        <x:v>Análise</x:v>
      </x:c>
      <x:c r="D77" s="33" t="str">
        <x:v>Primeira entrega observada em 07/10. Julho e agosto estão fora das séries recebidas. Setembro tem zero entrega nas séries disponíveis.</x:v>
      </x:c>
    </x:row>
    <x:row r="78" ht="39" customHeight="1">
      <x:c r="A78" s="32" t="str">
        <x:v>C06</x:v>
      </x:c>
      <x:c r="B78" s="33" t="str">
        <x:v>[TRON] - YouTube 02 -  VT 5 Seg - {Reg SC} - 07/10</x:v>
      </x:c>
      <x:c r="C78" s="32" t="str">
        <x:v>Análise</x:v>
      </x:c>
      <x:c r="D78" s="33" t="str">
        <x:v>Os detalhes de dispositivos, criativos e locais abrangem até 14/10. Não há base para redistribuir a entrega do dia 14 entre esses recortes.</x:v>
      </x:c>
    </x:row>
    <x:row r="79" ht="39" customHeight="1">
      <x:c r="A79" s="32" t="str">
        <x:v>C06</x:v>
      </x:c>
      <x:c r="B79" s="33" t="str">
        <x:v>[TRON] - YouTube 02 -  VT 5 Seg - {Reg SC} - 07/10</x:v>
      </x:c>
      <x:c r="C79" s="32" t="str">
        <x:v>Análise</x:v>
      </x:c>
      <x:c r="D79" s="33" t="str">
        <x:v>TrueView até 13/10 indisponível: a série diária não contém essa métrica. O total do relatório até 14/10 permanece somente no bloco de dados originais.</x:v>
      </x:c>
    </x:row>
    <x:row r="80" ht="39" customHeight="1">
      <x:c r="A80" s="32" t="str">
        <x:v>C06</x:v>
      </x:c>
      <x:c r="B80" s="33" t="str">
        <x:v>[TRON] - YouTube 02 -  VT 5 Seg - {Reg SC} - 07/10</x:v>
      </x:c>
      <x:c r="C80" s="32" t="str">
        <x:v>Análise</x:v>
      </x:c>
      <x:c r="D80" s="33" t="str">
        <x:v>Há diferenças entre exportações, principalmente em 14/10. As séries concordam dentro do recorte até 13/10; os conflitos foram registrados na auditoria.</x:v>
      </x:c>
    </x:row>
    <x:row r="81" ht="39" customHeight="1">
      <x:c r="A81" s="32" t="str">
        <x:v>C06</x:v>
      </x:c>
      <x:c r="B81" s="33" t="str">
        <x:v>[TRON] - YouTube 02 -  VT 5 Seg - {Reg SC} - 07/10</x:v>
      </x:c>
      <x:c r="C81" s="32" t="str">
        <x:v>Análise</x:v>
      </x:c>
      <x:c r="D81" s="33" t="str">
        <x:v>Zero conversões registradas. Isso não comprova ausência de vendas: receita, transações e atribuição não foram fornecidas.</x:v>
      </x:c>
    </x:row>
    <x:row r="82" ht="39" customHeight="1">
      <x:c r="A82" s="32" t="str">
        <x:v>C06</x:v>
      </x:c>
      <x:c r="B82" s="33" t="str">
        <x:v>[TRON] - YouTube 02 -  VT 5 Seg - {Reg SC} - 07/10</x:v>
      </x:c>
      <x:c r="C82" s="32" t="str">
        <x:v>Análise</x:v>
      </x:c>
      <x:c r="D82" s="33" t="str">
        <x:v>Curtidas, comentários e compartilhamentos no relatório de campanha: zero. Métricas comerciais de receita, vendas e ROAS não estão disponíveis.</x:v>
      </x:c>
    </x:row>
    <x:row r="83" ht="54" customHeight="1">
      <x:c r="A83" s="32" t="str">
        <x:v>C06</x:v>
      </x:c>
      <x:c r="B83" s="33" t="str">
        <x:v>[TRON] - YouTube 02 -  VT 5 Seg - {Reg SC} - 07/10</x:v>
      </x:c>
      <x:c r="C83" s="32" t="str">
        <x:v>Análise</x:v>
      </x:c>
      <x:c r="D83" s="33" t="str">
        <x:v>Os ZIPs não informam período nem filtro de campanha internamente. São apresentados como anexos da pasta. O campo de canal diz “Total: campanhas de vídeo”; confirmar escopo antes de tratá-los como alcance definitivo da campanha. Não somar usuários únicos entre formatos, dispositivos ou campanhas.</x:v>
      </x:c>
    </x:row>
    <x:row r="84" ht="54" customHeight="1">
      <x:c r="A84" s="32" t="str">
        <x:v>C06</x:v>
      </x:c>
      <x:c r="B84" s="33" t="str">
        <x:v>[TRON] - YouTube 02 -  VT 5 Seg - {Reg SC} - 07/10</x:v>
      </x:c>
      <x:c r="C84" s="32" t="str">
        <x:v>Análise</x:v>
      </x:c>
      <x:c r="D84" s="33" t="str">
        <x:v>Custo principal = soma dos dias até 13/10 (R$ 109,27). Custo do relatório de campanha (1 de setembro de 2026 - 14 de outubro de 2026) = R$ 112,43. Diferença: R$ -3,16. Pequenas diferenças de centavos em períodos equivalentes são compatíveis com arredondamento diário.</x:v>
      </x:c>
    </x:row>
    <x:row r="85" ht="39" customHeight="1">
      <x:c r="A85" s="32" t="str">
        <x:v>C07</x:v>
      </x:c>
      <x:c r="B85" s="33" t="str">
        <x:v>[TRON] - YouTube 03 -  VT 5 Seg - {Reg SC} - 07/10</x:v>
      </x:c>
      <x:c r="C85" s="32" t="str">
        <x:v>Público-alvo</x:v>
      </x:c>
      <x:c r="D85" s="33" t="str">
        <x:v>Região SC conforme nome da campanha. Nas campanhas com relatório de locais, há segmentação por raios de 5 km ao redor de endereços. Idade, gênero, interesses e listas não foram exportados.</x:v>
      </x:c>
    </x:row>
    <x:row r="86" ht="39" customHeight="1">
      <x:c r="A86" s="32" t="str">
        <x:v>C07</x:v>
      </x:c>
      <x:c r="B86" s="33" t="str">
        <x:v>[TRON] - YouTube 03 -  VT 5 Seg - {Reg SC} - 07/10</x:v>
      </x:c>
      <x:c r="C86" s="32" t="str">
        <x:v>Período e cobertura</x:v>
      </x:c>
      <x:c r="D86" s="33" t="str">
        <x:v>As séries começam em 01/09. Os dias anteriores não foram exportados e não são tratados como zero. O dia 14/10 foi excluído dos resultados principais.</x:v>
      </x:c>
    </x:row>
    <x:row r="87" ht="39" customHeight="1">
      <x:c r="A87" s="32" t="str">
        <x:v>C07</x:v>
      </x:c>
      <x:c r="B87" s="33" t="str">
        <x:v>[TRON] - YouTube 03 -  VT 5 Seg - {Reg SC} - 07/10</x:v>
      </x:c>
      <x:c r="C87" s="32" t="str">
        <x:v>Período dos detalhes</x:v>
      </x:c>
      <x:c r="D87" s="33" t="str">
        <x:v>1 de setembro de 2026 - 14 de outubro de 2026. Detalhes não podem ser filtrados até 13/10 porque não têm data por linha.</x:v>
      </x:c>
    </x:row>
    <x:row r="88" ht="24" customHeight="1">
      <x:c r="A88" s="32" t="str">
        <x:v>C07</x:v>
      </x:c>
      <x:c r="B88" s="33" t="str">
        <x:v>[TRON] - YouTube 03 -  VT 5 Seg - {Reg SC} - 07/10</x:v>
      </x:c>
      <x:c r="C88" s="32" t="str">
        <x:v>Maior dispositivo</x:v>
      </x:c>
      <x:c r="D88" s="33" t="str">
        <x:v>Smartphones</x:v>
      </x:c>
    </x:row>
    <x:row r="89" ht="69" customHeight="1">
      <x:c r="A89" s="32" t="str">
        <x:v>C07</x:v>
      </x:c>
      <x:c r="B89" s="33" t="str">
        <x:v>[TRON] - YouTube 03 -  VT 5 Seg - {Reg SC} - 07/10</x:v>
      </x:c>
      <x:c r="C89" s="32" t="str">
        <x:v>Locais principais</x:v>
      </x:c>
      <x:c r="D89" s="33" t="str">
        <x:v>5,0|km|Rod. Gov. Mario Covas, 415 - Roçado, São José - SC / 5,0|km|Av. Vidal Procópio Lohn - Rio Grande, Palhoça - SC / 5,0|km|Estrada, Rod. Armando Calil Bulos, 5890 - Ingleses Centro, Florianópolis - SC / 5,0|km|Av. Aniceto Zacchi, 222 - Pte. do Imaruim, Palhoça - SC, 88130-300 / 5,0|km|Av. Eng. Max de Souza, 740 - Coqueiros, Florianópolis - SC, 88080-000</x:v>
      </x:c>
    </x:row>
    <x:row r="90" ht="39" customHeight="1">
      <x:c r="A90" s="32" t="str">
        <x:v>C07</x:v>
      </x:c>
      <x:c r="B90" s="33" t="str">
        <x:v>[TRON] - YouTube 03 -  VT 5 Seg - {Reg SC} - 07/10</x:v>
      </x:c>
      <x:c r="C90" s="32" t="str">
        <x:v>Análise</x:v>
      </x:c>
      <x:c r="D90" s="33" t="str">
        <x:v>Objetivo exportado: alcance eficiente. O nome menciona VT de 5 segundos, mas a duração efetiva do vídeo não está nos CSVs. Métricas de TrueView e visualizações públicas devem permanecer separadas.</x:v>
      </x:c>
    </x:row>
    <x:row r="91" ht="39" customHeight="1">
      <x:c r="A91" s="32" t="str">
        <x:v>C07</x:v>
      </x:c>
      <x:c r="B91" s="33" t="str">
        <x:v>[TRON] - YouTube 03 -  VT 5 Seg - {Reg SC} - 07/10</x:v>
      </x:c>
      <x:c r="C91" s="32" t="str">
        <x:v>Análise</x:v>
      </x:c>
      <x:c r="D91" s="33" t="str">
        <x:v>Primeira entrega observada em 07/10. Julho e agosto estão fora das séries recebidas. Setembro tem zero entrega nas séries disponíveis.</x:v>
      </x:c>
    </x:row>
    <x:row r="92" ht="39" customHeight="1">
      <x:c r="A92" s="32" t="str">
        <x:v>C07</x:v>
      </x:c>
      <x:c r="B92" s="33" t="str">
        <x:v>[TRON] - YouTube 03 -  VT 5 Seg - {Reg SC} - 07/10</x:v>
      </x:c>
      <x:c r="C92" s="32" t="str">
        <x:v>Análise</x:v>
      </x:c>
      <x:c r="D92" s="33" t="str">
        <x:v>Os detalhes de dispositivos, criativos e locais abrangem até 14/10. Não há base para redistribuir a entrega do dia 14 entre esses recortes.</x:v>
      </x:c>
    </x:row>
    <x:row r="93" ht="39" customHeight="1">
      <x:c r="A93" s="32" t="str">
        <x:v>C07</x:v>
      </x:c>
      <x:c r="B93" s="33" t="str">
        <x:v>[TRON] - YouTube 03 -  VT 5 Seg - {Reg SC} - 07/10</x:v>
      </x:c>
      <x:c r="C93" s="32" t="str">
        <x:v>Análise</x:v>
      </x:c>
      <x:c r="D93" s="33" t="str">
        <x:v>Há diferenças entre exportações, principalmente em 14/10. As séries concordam dentro do recorte até 13/10; os conflitos foram registrados na auditoria.</x:v>
      </x:c>
    </x:row>
    <x:row r="94" ht="39" customHeight="1">
      <x:c r="A94" s="32" t="str">
        <x:v>C07</x:v>
      </x:c>
      <x:c r="B94" s="33" t="str">
        <x:v>[TRON] - YouTube 03 -  VT 5 Seg - {Reg SC} - 07/10</x:v>
      </x:c>
      <x:c r="C94" s="32" t="str">
        <x:v>Análise</x:v>
      </x:c>
      <x:c r="D94" s="33" t="str">
        <x:v>Relatórios agregados registram zero conversões até 14/10; não há série diária de conversões. O recorte exato até 13/10 fica indisponível.</x:v>
      </x:c>
    </x:row>
    <x:row r="95" ht="39" customHeight="1">
      <x:c r="A95" s="32" t="str">
        <x:v>C07</x:v>
      </x:c>
      <x:c r="B95" s="33" t="str">
        <x:v>[TRON] - YouTube 03 -  VT 5 Seg - {Reg SC} - 07/10</x:v>
      </x:c>
      <x:c r="C95" s="32" t="str">
        <x:v>Análise</x:v>
      </x:c>
      <x:c r="D95" s="33" t="str">
        <x:v>Curtidas, comentários e compartilhamentos no relatório de campanha: zero. Métricas comerciais de receita, vendas e ROAS não estão disponíveis.</x:v>
      </x:c>
    </x:row>
    <x:row r="96" ht="54" customHeight="1">
      <x:c r="A96" s="32" t="str">
        <x:v>C07</x:v>
      </x:c>
      <x:c r="B96" s="33" t="str">
        <x:v>[TRON] - YouTube 03 -  VT 5 Seg - {Reg SC} - 07/10</x:v>
      </x:c>
      <x:c r="C96" s="32" t="str">
        <x:v>Análise</x:v>
      </x:c>
      <x:c r="D96" s="33" t="str">
        <x:v>Os ZIPs não informam período nem filtro de campanha internamente. São apresentados como anexos da pasta. O campo de canal diz “Total: campanhas de vídeo”; confirmar escopo antes de tratá-los como alcance definitivo da campanha. Não somar usuários únicos entre formatos, dispositivos ou campanhas.</x:v>
      </x:c>
    </x:row>
    <x:row r="97" ht="54" customHeight="1">
      <x:c r="A97" s="32" t="str">
        <x:v>C07</x:v>
      </x:c>
      <x:c r="B97" s="33" t="str">
        <x:v>[TRON] - YouTube 03 -  VT 5 Seg - {Reg SC} - 07/10</x:v>
      </x:c>
      <x:c r="C97" s="32" t="str">
        <x:v>Análise</x:v>
      </x:c>
      <x:c r="D97" s="33" t="str">
        <x:v>Custo principal = soma dos dias até 13/10 (R$ 109,25). Custo do relatório de campanha (1 de setembro de 2026 - 14 de outubro de 2026) = R$ 112,65. Diferença: R$ -3,40. Pequenas diferenças de centavos em períodos equivalentes são compatíveis com arredondamento diário.</x:v>
      </x:c>
    </x:row>
    <x:row r="98" ht="39" customHeight="1">
      <x:c r="A98" s="32" t="str">
        <x:v>C08</x:v>
      </x:c>
      <x:c r="B98" s="33" t="str">
        <x:v>[TRON] - YouTube 04 -  VT 5 Seg - {Reg SC} - 07/10</x:v>
      </x:c>
      <x:c r="C98" s="32" t="str">
        <x:v>Público-alvo</x:v>
      </x:c>
      <x:c r="D98" s="33" t="str">
        <x:v>Região SC conforme nome da campanha. O relatório de locais não foi fornecido para confirmar cidades e raios. Idade, gênero, interesses e listas não foram exportados.</x:v>
      </x:c>
    </x:row>
    <x:row r="99" ht="39" customHeight="1">
      <x:c r="A99" s="32" t="str">
        <x:v>C08</x:v>
      </x:c>
      <x:c r="B99" s="33" t="str">
        <x:v>[TRON] - YouTube 04 -  VT 5 Seg - {Reg SC} - 07/10</x:v>
      </x:c>
      <x:c r="C99" s="32" t="str">
        <x:v>Período e cobertura</x:v>
      </x:c>
      <x:c r="D99" s="33" t="str">
        <x:v>As séries começam em 01/09. Os dias anteriores não foram exportados e não são tratados como zero. O dia 14/10 foi excluído dos resultados principais.</x:v>
      </x:c>
    </x:row>
    <x:row r="100" ht="39" customHeight="1">
      <x:c r="A100" s="32" t="str">
        <x:v>C08</x:v>
      </x:c>
      <x:c r="B100" s="33" t="str">
        <x:v>[TRON] - YouTube 04 -  VT 5 Seg - {Reg SC} - 07/10</x:v>
      </x:c>
      <x:c r="C100" s="32" t="str">
        <x:v>Período dos detalhes</x:v>
      </x:c>
      <x:c r="D100" s="33" t="str">
        <x:v>1 de setembro de 2026 - 14 de outubro de 2026. Detalhes não podem ser filtrados até 13/10 porque não têm data por linha.</x:v>
      </x:c>
    </x:row>
    <x:row r="101" ht="24" customHeight="1">
      <x:c r="A101" s="32" t="str">
        <x:v>C08</x:v>
      </x:c>
      <x:c r="B101" s="33" t="str">
        <x:v>[TRON] - YouTube 04 -  VT 5 Seg - {Reg SC} - 07/10</x:v>
      </x:c>
      <x:c r="C101" s="32" t="str">
        <x:v>Maior dispositivo</x:v>
      </x:c>
      <x:c r="D101" s="33" t="str">
        <x:v>Telas de TV</x:v>
      </x:c>
    </x:row>
    <x:row r="102" ht="24" customHeight="1">
      <x:c r="A102" s="32" t="str">
        <x:v>C08</x:v>
      </x:c>
      <x:c r="B102" s="33" t="str">
        <x:v>[TRON] - YouTube 04 -  VT 5 Seg - {Reg SC} - 07/10</x:v>
      </x:c>
      <x:c r="C102" s="32" t="str">
        <x:v>Locais principais</x:v>
      </x:c>
      <x:c r="D102" s="33" t="str">
        <x:v>Relatório de locais ausente</x:v>
      </x:c>
    </x:row>
    <x:row r="103" ht="39" customHeight="1">
      <x:c r="A103" s="32" t="str">
        <x:v>C08</x:v>
      </x:c>
      <x:c r="B103" s="33" t="str">
        <x:v>[TRON] - YouTube 04 -  VT 5 Seg - {Reg SC} - 07/10</x:v>
      </x:c>
      <x:c r="C103" s="32" t="str">
        <x:v>Análise</x:v>
      </x:c>
      <x:c r="D103" s="33" t="str">
        <x:v>Objetivo exportado: alcance eficiente. O nome menciona VT de 5 segundos, mas a duração efetiva do vídeo não está nos CSVs. Métricas de TrueView e visualizações públicas devem permanecer separadas.</x:v>
      </x:c>
    </x:row>
    <x:row r="104" ht="39" customHeight="1">
      <x:c r="A104" s="32" t="str">
        <x:v>C08</x:v>
      </x:c>
      <x:c r="B104" s="33" t="str">
        <x:v>[TRON] - YouTube 04 -  VT 5 Seg - {Reg SC} - 07/10</x:v>
      </x:c>
      <x:c r="C104" s="32" t="str">
        <x:v>Análise</x:v>
      </x:c>
      <x:c r="D104" s="33" t="str">
        <x:v>Primeira entrega observada em 07/10. Julho e agosto estão fora das séries recebidas. Setembro tem zero entrega nas séries disponíveis.</x:v>
      </x:c>
    </x:row>
    <x:row r="105" ht="39" customHeight="1">
      <x:c r="A105" s="32" t="str">
        <x:v>C08</x:v>
      </x:c>
      <x:c r="B105" s="33" t="str">
        <x:v>[TRON] - YouTube 04 -  VT 5 Seg - {Reg SC} - 07/10</x:v>
      </x:c>
      <x:c r="C105" s="32" t="str">
        <x:v>Análise</x:v>
      </x:c>
      <x:c r="D105" s="33" t="str">
        <x:v>Os detalhes de dispositivos, criativos e locais abrangem até 14/10. Não há base para redistribuir a entrega do dia 14 entre esses recortes.</x:v>
      </x:c>
    </x:row>
    <x:row r="106" ht="24" customHeight="1">
      <x:c r="A106" s="32" t="str">
        <x:v>C08</x:v>
      </x:c>
      <x:c r="B106" s="33" t="str">
        <x:v>[TRON] - YouTube 04 -  VT 5 Seg - {Reg SC} - 07/10</x:v>
      </x:c>
      <x:c r="C106" s="32" t="str">
        <x:v>Análise</x:v>
      </x:c>
      <x:c r="D106" s="33" t="str">
        <x:v>Relatório de locais ausente. Não inferir os endereços das outras campanhas TRON para esta campanha.</x:v>
      </x:c>
    </x:row>
    <x:row r="107" ht="39" customHeight="1">
      <x:c r="A107" s="32" t="str">
        <x:v>C08</x:v>
      </x:c>
      <x:c r="B107" s="33" t="str">
        <x:v>[TRON] - YouTube 04 -  VT 5 Seg - {Reg SC} - 07/10</x:v>
      </x:c>
      <x:c r="C107" s="32" t="str">
        <x:v>Análise</x:v>
      </x:c>
      <x:c r="D107" s="33" t="str">
        <x:v>Há diferenças entre exportações, principalmente em 14/10. As séries concordam dentro do recorte até 13/10; os conflitos foram registrados na auditoria.</x:v>
      </x:c>
    </x:row>
    <x:row r="108" ht="39" customHeight="1">
      <x:c r="A108" s="32" t="str">
        <x:v>C08</x:v>
      </x:c>
      <x:c r="B108" s="33" t="str">
        <x:v>[TRON] - YouTube 04 -  VT 5 Seg - {Reg SC} - 07/10</x:v>
      </x:c>
      <x:c r="C108" s="32" t="str">
        <x:v>Análise</x:v>
      </x:c>
      <x:c r="D108" s="33" t="str">
        <x:v>Relatórios agregados registram zero conversões até 14/10; não há série diária de conversões. O recorte exato até 13/10 fica indisponível.</x:v>
      </x:c>
    </x:row>
    <x:row r="109" ht="39" customHeight="1">
      <x:c r="A109" s="32" t="str">
        <x:v>C08</x:v>
      </x:c>
      <x:c r="B109" s="33" t="str">
        <x:v>[TRON] - YouTube 04 -  VT 5 Seg - {Reg SC} - 07/10</x:v>
      </x:c>
      <x:c r="C109" s="32" t="str">
        <x:v>Análise</x:v>
      </x:c>
      <x:c r="D109" s="33" t="str">
        <x:v>Curtidas, comentários e compartilhamentos no relatório de campanha: zero. Métricas comerciais de receita, vendas e ROAS não estão disponíveis.</x:v>
      </x:c>
    </x:row>
    <x:row r="110" ht="54" customHeight="1">
      <x:c r="A110" s="32" t="str">
        <x:v>C08</x:v>
      </x:c>
      <x:c r="B110" s="33" t="str">
        <x:v>[TRON] - YouTube 04 -  VT 5 Seg - {Reg SC} - 07/10</x:v>
      </x:c>
      <x:c r="C110" s="32" t="str">
        <x:v>Análise</x:v>
      </x:c>
      <x:c r="D110" s="33" t="str">
        <x:v>Os ZIPs não informam período nem filtro de campanha internamente. São apresentados como anexos da pasta. O campo de canal diz “Total: campanhas de vídeo”; confirmar escopo antes de tratá-los como alcance definitivo da campanha. Não somar usuários únicos entre formatos, dispositivos ou campanhas.</x:v>
      </x:c>
    </x:row>
    <x:row r="111" ht="54" customHeight="1">
      <x:c r="A111" s="32" t="str">
        <x:v>C08</x:v>
      </x:c>
      <x:c r="B111" s="33" t="str">
        <x:v>[TRON] - YouTube 04 -  VT 5 Seg - {Reg SC} - 07/10</x:v>
      </x:c>
      <x:c r="C111" s="32" t="str">
        <x:v>Análise</x:v>
      </x:c>
      <x:c r="D111" s="33" t="str">
        <x:v>Custo principal = soma dos dias até 13/10 (R$ 109,21). Custo do relatório de campanha (1 de setembro de 2026 - 14 de outubro de 2026) = R$ 113,06. Diferença: R$ -3,85. Pequenas diferenças de centavos em períodos equivalentes são compatíveis com arredondamento diário.</x:v>
      </x:c>
    </x:row>
    <x:row r="112" ht="39" customHeight="1">
      <x:c r="A112" s="32" t="str">
        <x:v>Geral</x:v>
      </x:c>
      <x:c r="B112" s="33" t="str">
        <x:v>Todas as campanhas</x:v>
      </x:c>
      <x:c r="C112" s="32" t="str">
        <x:v>Método e limites</x:v>
      </x:c>
      <x:c r="D112" s="33" t="str">
        <x:v>Período solicitado: 01/07 a 13/10/2026, inclusive. O ano foi confirmado pelos arquivos. As campanhas permanecem separadas.</x:v>
      </x:c>
    </x:row>
    <x:row r="113" ht="39" customHeight="1">
      <x:c r="A113" s="32" t="str">
        <x:v>Geral</x:v>
      </x:c>
      <x:c r="B113" s="33" t="str">
        <x:v>Todas as campanhas</x:v>
      </x:c>
      <x:c r="C113" s="32" t="str">
        <x:v>Método e limites</x:v>
      </x:c>
      <x:c r="D113" s="33" t="str">
        <x:v>Séries diárias são cruzadas por campanha, data e métrica. Os três arquivos de série não são somados entre si. Campos coincidentes foram comparados, e cada medida aparece uma vez por dia.</x:v>
      </x:c>
    </x:row>
    <x:row r="114" ht="54" customHeight="1">
      <x:c r="A114" s="32" t="str">
        <x:v>Geral</x:v>
      </x:c>
      <x:c r="B114" s="33" t="str">
        <x:v>Todas as campanhas</x:v>
      </x:c>
      <x:c r="C114" s="32" t="str">
        <x:v>Método e limites</x:v>
      </x:c>
      <x:c r="D114" s="33" t="str">
        <x:v>Impressões, cliques, custo e visualizações públicas do painel são somas dos dias exportados dentro do recorte. TrueView das campanhas Bahia vem do agregado exato de 01/07 a 13/10; remarketing, TRON 03 e TRON 04 têm TrueView diário. TRON 01 e TRON 02 não têm TrueView exato até 13/10.</x:v>
      </x:c>
    </x:row>
    <x:row r="115" ht="39" customHeight="1">
      <x:c r="A115" s="32" t="str">
        <x:v>Geral</x:v>
      </x:c>
      <x:c r="B115" s="33" t="str">
        <x:v>Todas as campanhas</x:v>
      </x:c>
      <x:c r="C115" s="32" t="str">
        <x:v>Método e limites</x:v>
      </x:c>
      <x:c r="D115" s="33" t="str">
        <x:v>Julho e agosto não foram exportados para as TRON. Antes de 27/08, remarketing não foi exportado. Não preencher períodos ausentes com zero. A data de primeira entrega não confirma data de criação da campanha.</x:v>
      </x:c>
    </x:row>
    <x:row r="116" ht="54" customHeight="1">
      <x:c r="A116" s="32" t="str">
        <x:v>Geral</x:v>
      </x:c>
      <x:c r="B116" s="33" t="str">
        <x:v>Todas as campanhas</x:v>
      </x:c>
      <x:c r="C116" s="32" t="str">
        <x:v>Método e limites</x:v>
      </x:c>
      <x:c r="D116" s="33" t="str">
        <x:v>Os relatórios agregados TRON e remarketing vão até 14/10. Seus detalhes são mantidos nesse período original. São complementos, não resultados exatos até 13/10. Alcance exclusivo não pode ser recortado por subtração de usuários de um dia.</x:v>
      </x:c>
    </x:row>
    <x:row r="117" ht="39" customHeight="1">
      <x:c r="A117" s="32" t="str">
        <x:v>Geral</x:v>
      </x:c>
      <x:c r="B117" s="33" t="str">
        <x:v>Todas as campanhas</x:v>
      </x:c>
      <x:c r="C117" s="32" t="str">
        <x:v>Método e limites</x:v>
      </x:c>
      <x:c r="D117" s="33" t="str">
        <x:v>Visualizações públicas do YouTube e visualizações TrueView são métricas distintas dos arquivos. Não somar as duas nem substituir uma pela outra. Impressões não são pessoas únicas e não significam conclusão do vídeo.</x:v>
      </x:c>
    </x:row>
    <x:row r="118" ht="54" customHeight="1">
      <x:c r="A118" s="32" t="str">
        <x:v>Geral</x:v>
      </x:c>
      <x:c r="B118" s="33" t="str">
        <x:v>Todas as campanhas</x:v>
      </x:c>
      <x:c r="C118" s="32" t="str">
        <x:v>Método e limites</x:v>
      </x:c>
      <x:c r="D118" s="33" t="str">
        <x:v>CTR = cliques / impressões. CPM calculado = custo diário somado / impressões × 1.000. CPC calculado = custo diário somado / cliques. TrueView / impressões totais é proporção descritiva, diferente da taxa nativa quando formatos elegíveis têm outro denominador.</x:v>
      </x:c>
    </x:row>
    <x:row r="119" ht="39" customHeight="1">
      <x:c r="A119" s="32" t="str">
        <x:v>Geral</x:v>
      </x:c>
      <x:c r="B119" s="33" t="str">
        <x:v>Todas as campanhas</x:v>
      </x:c>
      <x:c r="C119" s="32" t="str">
        <x:v>Método e limites</x:v>
      </x:c>
      <x:c r="D119" s="33" t="str">
        <x:v>Custo total / TrueView é uma razão descritiva sobre todo o custo, não necessariamente o CPV médio do TrueView reportado pela plataforma. Ambos são identificados separadamente. Não calcular ROAS sem receita.</x:v>
      </x:c>
    </x:row>
    <x:row r="120" ht="39" customHeight="1">
      <x:c r="A120" s="32" t="str">
        <x:v>Geral</x:v>
      </x:c>
      <x:c r="B120" s="33" t="str">
        <x:v>Todas as campanhas</x:v>
      </x:c>
      <x:c r="C120" s="32" t="str">
        <x:v>Método e limites</x:v>
      </x:c>
      <x:c r="D120" s="33" t="str">
        <x:v>O campo Shorts das séries contém porcentagens e dados ausentes. Foi preservado por dia e não somado nem usado como número de visualizações. A métrica e seu denominador precisam ser confirmados para agregar.</x:v>
      </x:c>
    </x:row>
    <x:row r="121" ht="39" customHeight="1">
      <x:c r="A121" s="32" t="str">
        <x:v>Geral</x:v>
      </x:c>
      <x:c r="B121" s="33" t="str">
        <x:v>Todas as campanhas</x:v>
      </x:c>
      <x:c r="C121" s="32" t="str">
        <x:v>Método e limites</x:v>
      </x:c>
      <x:c r="D121" s="33" t="str">
        <x:v>Linhas Total: não entram nas somas de detalhes. Locais com zero entrega permanecem disponíveis. Raio em mi foi preservado, com 20 mi ≈ 32,19 km apenas como conversão auxiliar.</x:v>
      </x:c>
    </x:row>
    <x:row r="122" ht="54" customHeight="1">
      <x:c r="A122" s="32" t="str">
        <x:v>Geral</x:v>
      </x:c>
      <x:c r="B122" s="33" t="str">
        <x:v>Todas as campanhas</x:v>
      </x:c>
      <x:c r="C122" s="32" t="str">
        <x:v>Método e limites</x:v>
      </x:c>
      <x:c r="D122" s="33" t="str">
        <x:v>Todos os ZIPs foram abertos e todos os seus CSVs foram lidos. Alcance covisualizado, frequência, formatos e dispositivos são anexos sem período/filtro explicitado. Nulos permanecem indisponíveis. Alcance único nunca é somado entre campanhas ou recortes.</x:v>
      </x:c>
    </x:row>
    <x:row r="123" ht="39" customHeight="1">
      <x:c r="A123" s="32" t="str">
        <x:v>Geral</x:v>
      </x:c>
      <x:c r="B123" s="33" t="str">
        <x:v>Todas as campanhas</x:v>
      </x:c>
      <x:c r="C123" s="32" t="str">
        <x:v>Método e limites</x:v>
      </x:c>
      <x:c r="D123" s="33" t="str">
        <x:v>O status da campanha reflete a exportação recebida, não uma consulta ao vivo. O status do Kanban e as ações são sugestões para organizar a análise. Responsáveis e prazos não foram informados.</x:v>
      </x:c>
    </x:row>
    <x:row r="124" ht="39" customHeight="1">
      <x:c r="A124" s="32" t="str">
        <x:v>Geral</x:v>
      </x:c>
      <x:c r="B124" s="33" t="str">
        <x:v>Todas as campanhas</x:v>
      </x:c>
      <x:c r="C124" s="32" t="str">
        <x:v>Método e limites</x:v>
      </x:c>
      <x:c r="D124" s="33" t="str">
        <x:v>As recomendações são interpretações dos arquivos. As pendências exigem verificar configurações ou obter relatórios ausentes. O painel não altera campanhas.</x:v>
      </x:c>
    </x:row>
    <x:row r="125" ht="39" customHeight="1">
      <x:c r="A125" s="32" t="str">
        <x:v>Geral</x:v>
      </x:c>
      <x:c r="B125" s="33" t="str">
        <x:v>Todas as campanhas</x:v>
      </x:c>
      <x:c r="C125" s="32" t="str">
        <x:v>Comparação</x:v>
      </x:c>
      <x:c r="D125" s="33" t="str">
        <x:v>Bahia 03 tem o maior volume TrueView das campanhas Bahia: 100.755, com proporção descritiva de 58,36% sobre impressões totais. As regiões são diferentes, então isso não isola o efeito do criativo.</x:v>
      </x:c>
    </x:row>
    <x:row r="126" ht="39" customHeight="1">
      <x:c r="A126" s="32" t="str">
        <x:v>Geral</x:v>
      </x:c>
      <x:c r="B126" s="33" t="str">
        <x:v>Todas as campanhas</x:v>
      </x:c>
      <x:c r="C126" s="32" t="str">
        <x:v>Comparação</x:v>
      </x:c>
      <x:c r="D126" s="33" t="str">
        <x:v>A entrega Bahia se concentra em telas de TV (87,50% a 90,91% das impressões), com poucos cliques. Interpretar resultados conforme o objetivo de vídeo e exposição.</x:v>
      </x:c>
    </x:row>
    <x:row r="127" ht="39" customHeight="1">
      <x:c r="A127" s="32" t="str">
        <x:v>Geral</x:v>
      </x:c>
      <x:c r="B127" s="33" t="str">
        <x:v>Todas as campanhas</x:v>
      </x:c>
      <x:c r="C127" s="32" t="str">
        <x:v>Comparação</x:v>
      </x:c>
      <x:c r="D127" s="33" t="str">
        <x:v>TRON 01 usa orçamento total de R$ 15,00 e entrega muito menos que as outras TRON, que usam orçamento diário. A configuração precisa ser confirmada.</x:v>
      </x:c>
    </x:row>
    <x:row r="128" ht="39" customHeight="1">
      <x:c r="A128" s="32" t="str">
        <x:v>Geral</x:v>
      </x:c>
      <x:c r="B128" s="33" t="str">
        <x:v>Todas as campanhas</x:v>
      </x:c>
      <x:c r="C128" s="32" t="str">
        <x:v>Comparação</x:v>
      </x:c>
      <x:c r="D128" s="33" t="str">
        <x:v>Entre TRON 02, 03 e 04, a TRON 02 registra mais cliques no recorte (63) e menor CPC calculado (R$ 1,73). Isso descreve tráfego, não desempenho em vendas.</x:v>
      </x:c>
    </x:row>
    <x:row r="129" ht="39" customHeight="1">
      <x:c r="A129" s="32" t="str">
        <x:v>Geral</x:v>
      </x:c>
      <x:c r="B129" s="33" t="str">
        <x:v>Todas as campanhas</x:v>
      </x:c>
      <x:c r="C129" s="32" t="str">
        <x:v>Comparação</x:v>
      </x:c>
      <x:c r="D129" s="33" t="str">
        <x:v>Remarketing está pausado, tem última entrega em 06/10 e CPV desejado exportado de R$ 10,00. São pontos prioritários para revisão.</x:v>
      </x:c>
    </x:row>
    <x:row r="130" ht="39" customHeight="1">
      <x:c r="A130" s="32" t="str">
        <x:v>Geral</x:v>
      </x:c>
      <x:c r="B130" s="33" t="str">
        <x:v>Todas as campanhas</x:v>
      </x:c>
      <x:c r="C130" s="32" t="str">
        <x:v>Comparação</x:v>
      </x:c>
      <x:c r="D130" s="33" t="str">
        <x:v>Os arquivos por loja incluem estabelecimentos de SC e RS mesmo nas pastas Bahia. Devem ser tratados como ativos de local reportados, sem usá-los para inferir o público da campanha.</x:v>
      </x:c>
    </x:row>
  </x:sheetData>
  <x:pageMargins left="0.7" right="0.7" top="0.75" bottom="0.75" header="0.3" footer="0.3"/>
  <x:tableParts count="1">
    <x:tablePart xmlns:r="http://schemas.openxmlformats.org/officeDocument/2006/relationships" r:id="R376912d683444c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56" hidden="0" customWidth="1"/>
    <x:col min="4" max="4" width="16" hidden="0" customWidth="1"/>
    <x:col min="5" max="5" width="48" hidden="0" customWidth="1"/>
    <x:col min="6" max="6" width="72" hidden="0" customWidth="1"/>
    <x:col min="7" max="7" width="88" hidden="0" customWidth="1"/>
    <x:col min="8" max="8" width="20" hidden="0" customWidth="1"/>
    <x:col min="9" max="9" width="24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Plano de ações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Ações sugeridas. Etapa, responsável e prazo podem ser preenchidos pela equipe.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8" t="str">
        <x:v>ID ação</x:v>
      </x:c>
      <x:c r="B5" s="8" t="str">
        <x:v>ID campanha</x:v>
      </x:c>
      <x:c r="C5" s="8" t="str">
        <x:v>Campanha</x:v>
      </x:c>
      <x:c r="D5" s="8" t="str">
        <x:v>Prioridade</x:v>
      </x:c>
      <x:c r="E5" s="8" t="str">
        <x:v>Ação</x:v>
      </x:c>
      <x:c r="F5" s="8" t="str">
        <x:v>Evidência</x:v>
      </x:c>
      <x:c r="G5" s="8" t="str">
        <x:v>Como verificar</x:v>
      </x:c>
      <x:c r="H5" s="8" t="str">
        <x:v>Etapa</x:v>
      </x:c>
      <x:c r="I5" s="8" t="str">
        <x:v>Responsável</x:v>
      </x:c>
      <x:c r="J5" s="8" t="str">
        <x:v>Prazo</x:v>
      </x:c>
    </x:row>
    <x:row r="6" ht="39" customHeight="1">
      <x:c r="A6" s="32" t="str">
        <x:v>C01-A1</x:v>
      </x:c>
      <x:c r="B6" s="32" t="str">
        <x:v>C01</x:v>
      </x:c>
      <x:c r="C6" s="33" t="str">
        <x:v>YT - Arrozes especiais Bahia 01</x:v>
      </x:c>
      <x:c r="D6" s="32" t="str">
        <x:v>Média</x:v>
      </x:c>
      <x:c r="E6" s="33" t="str">
        <x:v>Investigar dias sem entrega em setembro</x:v>
      </x:c>
      <x:c r="F6" s="33" t="str">
        <x:v>26, 28 e 30/09 têm zero impressões nas séries exportadas.</x:v>
      </x:c>
      <x:c r="G6" s="33" t="str">
        <x:v>Conferir histórico de alterações, programação e disponibilidade de orçamento para esses dias.</x:v>
      </x:c>
      <x:c r="H6" s="34" t="str">
        <x:v>A fazer</x:v>
      </x:c>
      <x:c r="I6" s="34"/>
      <x:c r="J6" s="35"/>
    </x:row>
    <x:row r="7" ht="39" customHeight="1">
      <x:c r="A7" s="32" t="str">
        <x:v>C01-A2</x:v>
      </x:c>
      <x:c r="B7" s="32" t="str">
        <x:v>C01</x:v>
      </x:c>
      <x:c r="C7" s="33" t="str">
        <x:v>YT - Arrozes especiais Bahia 01</x:v>
      </x:c>
      <x:c r="D7" s="32" t="str">
        <x:v>Média</x:v>
      </x:c>
      <x:c r="E7" s="33" t="str">
        <x:v>Revisar limitação por orçamento</x:v>
      </x:c>
      <x:c r="F7" s="33" t="str">
        <x:v>limitado pelo orçamento; orçamento diário de R$ 10,00.</x:v>
      </x:c>
      <x:c r="G7" s="33" t="str">
        <x:v>Relacionar volume desejado, público e resultados antes de definir eventual mudança de orçamento.</x:v>
      </x:c>
      <x:c r="H7" s="34" t="str">
        <x:v>A fazer</x:v>
      </x:c>
      <x:c r="I7" s="34"/>
      <x:c r="J7" s="35"/>
    </x:row>
    <x:row r="8" ht="39" customHeight="1">
      <x:c r="A8" s="32" t="str">
        <x:v>C01-A3</x:v>
      </x:c>
      <x:c r="B8" s="32" t="str">
        <x:v>C01</x:v>
      </x:c>
      <x:c r="C8" s="33" t="str">
        <x:v>YT - Arrozes especiais Bahia 01</x:v>
      </x:c>
      <x:c r="D8" s="32" t="str">
        <x:v>Alta</x:v>
      </x:c>
      <x:c r="E8" s="33" t="str">
        <x:v>Completar exportação de público-alvo</x:v>
      </x:c>
      <x:c r="F8" s="33" t="str">
        <x:v>Não existem dados demográficos, interesses nem critérios de audiência.</x:v>
      </x:c>
      <x:c r="G8" s="33" t="str">
        <x:v>Exportar configuração de segmentação e desempenho por idade, gênero e audiência no período solicitado.</x:v>
      </x:c>
      <x:c r="H8" s="34" t="str">
        <x:v>A fazer</x:v>
      </x:c>
      <x:c r="I8" s="34"/>
      <x:c r="J8" s="35"/>
    </x:row>
    <x:row r="9" ht="39" customHeight="1">
      <x:c r="A9" s="32" t="str">
        <x:v>C02-A1</x:v>
      </x:c>
      <x:c r="B9" s="32" t="str">
        <x:v>C02</x:v>
      </x:c>
      <x:c r="C9" s="33" t="str">
        <x:v>YT - Arrozes especiais Bahia 02</x:v>
      </x:c>
      <x:c r="D9" s="32" t="str">
        <x:v>Média</x:v>
      </x:c>
      <x:c r="E9" s="33" t="str">
        <x:v>Investigar dias sem entrega em setembro</x:v>
      </x:c>
      <x:c r="F9" s="33" t="str">
        <x:v>26, 28 e 30/09 têm zero impressões nas séries exportadas.</x:v>
      </x:c>
      <x:c r="G9" s="33" t="str">
        <x:v>Conferir histórico de alterações, programação e disponibilidade de orçamento para esses dias.</x:v>
      </x:c>
      <x:c r="H9" s="34" t="str">
        <x:v>A fazer</x:v>
      </x:c>
      <x:c r="I9" s="34"/>
      <x:c r="J9" s="35"/>
    </x:row>
    <x:row r="10" ht="39" customHeight="1">
      <x:c r="A10" s="32" t="str">
        <x:v>C02-A2</x:v>
      </x:c>
      <x:c r="B10" s="32" t="str">
        <x:v>C02</x:v>
      </x:c>
      <x:c r="C10" s="33" t="str">
        <x:v>YT - Arrozes especiais Bahia 02</x:v>
      </x:c>
      <x:c r="D10" s="32" t="str">
        <x:v>Média</x:v>
      </x:c>
      <x:c r="E10" s="33" t="str">
        <x:v>Revisar limitação por orçamento</x:v>
      </x:c>
      <x:c r="F10" s="33" t="str">
        <x:v>limitado pelo orçamento; orçamento diário de R$ 10,00.</x:v>
      </x:c>
      <x:c r="G10" s="33" t="str">
        <x:v>Relacionar volume desejado, público e resultados antes de definir eventual mudança de orçamento.</x:v>
      </x:c>
      <x:c r="H10" s="34" t="str">
        <x:v>A fazer</x:v>
      </x:c>
      <x:c r="I10" s="34"/>
      <x:c r="J10" s="35"/>
    </x:row>
    <x:row r="11" ht="39" customHeight="1">
      <x:c r="A11" s="32" t="str">
        <x:v>C02-A3</x:v>
      </x:c>
      <x:c r="B11" s="32" t="str">
        <x:v>C02</x:v>
      </x:c>
      <x:c r="C11" s="33" t="str">
        <x:v>YT - Arrozes especiais Bahia 02</x:v>
      </x:c>
      <x:c r="D11" s="32" t="str">
        <x:v>Alta</x:v>
      </x:c>
      <x:c r="E11" s="33" t="str">
        <x:v>Completar exportação de público-alvo</x:v>
      </x:c>
      <x:c r="F11" s="33" t="str">
        <x:v>Não existem dados demográficos, interesses nem critérios de audiência.</x:v>
      </x:c>
      <x:c r="G11" s="33" t="str">
        <x:v>Exportar configuração de segmentação e desempenho por idade, gênero e audiência no período solicitado.</x:v>
      </x:c>
      <x:c r="H11" s="34" t="str">
        <x:v>A fazer</x:v>
      </x:c>
      <x:c r="I11" s="34"/>
      <x:c r="J11" s="35"/>
    </x:row>
    <x:row r="12" ht="39" customHeight="1">
      <x:c r="A12" s="32" t="str">
        <x:v>C02-A4</x:v>
      </x:c>
      <x:c r="B12" s="32" t="str">
        <x:v>C02</x:v>
      </x:c>
      <x:c r="C12" s="33" t="str">
        <x:v>YT - Arrozes especiais Bahia 02</x:v>
      </x:c>
      <x:c r="D12" s="32" t="str">
        <x:v>Alta</x:v>
      </x:c>
      <x:c r="E12" s="33" t="str">
        <x:v>Obter relatório de anúncios da Bahia 02</x:v>
      </x:c>
      <x:c r="F12" s="33" t="str">
        <x:v>Arquivo ausente na pasta recebida.</x:v>
      </x:c>
      <x:c r="G12" s="33" t="str">
        <x:v>Exportação com nome do anúncio, URL do vídeo, destino, métricas e período de 01/07 a 13/10.</x:v>
      </x:c>
      <x:c r="H12" s="34" t="str">
        <x:v>A fazer</x:v>
      </x:c>
      <x:c r="I12" s="34"/>
      <x:c r="J12" s="35"/>
    </x:row>
    <x:row r="13" ht="39" customHeight="1">
      <x:c r="A13" s="32" t="str">
        <x:v>C03-A1</x:v>
      </x:c>
      <x:c r="B13" s="32" t="str">
        <x:v>C03</x:v>
      </x:c>
      <x:c r="C13" s="33" t="str">
        <x:v>YT - Arrozes especiais Bahia 03</x:v>
      </x:c>
      <x:c r="D13" s="32" t="str">
        <x:v>Média</x:v>
      </x:c>
      <x:c r="E13" s="33" t="str">
        <x:v>Investigar dias sem entrega em setembro</x:v>
      </x:c>
      <x:c r="F13" s="33" t="str">
        <x:v>26, 28 e 30/09 têm zero impressões nas séries exportadas.</x:v>
      </x:c>
      <x:c r="G13" s="33" t="str">
        <x:v>Conferir histórico de alterações, programação e disponibilidade de orçamento para esses dias.</x:v>
      </x:c>
      <x:c r="H13" s="34" t="str">
        <x:v>A fazer</x:v>
      </x:c>
      <x:c r="I13" s="34"/>
      <x:c r="J13" s="35"/>
    </x:row>
    <x:row r="14" ht="39" customHeight="1">
      <x:c r="A14" s="32" t="str">
        <x:v>C03-A2</x:v>
      </x:c>
      <x:c r="B14" s="32" t="str">
        <x:v>C03</x:v>
      </x:c>
      <x:c r="C14" s="33" t="str">
        <x:v>YT - Arrozes especiais Bahia 03</x:v>
      </x:c>
      <x:c r="D14" s="32" t="str">
        <x:v>Média</x:v>
      </x:c>
      <x:c r="E14" s="33" t="str">
        <x:v>Revisar limitação por orçamento</x:v>
      </x:c>
      <x:c r="F14" s="33" t="str">
        <x:v>limitado pelo orçamento; orçamento diário de R$ 10,00.</x:v>
      </x:c>
      <x:c r="G14" s="33" t="str">
        <x:v>Relacionar volume desejado, público e resultados antes de definir eventual mudança de orçamento.</x:v>
      </x:c>
      <x:c r="H14" s="34" t="str">
        <x:v>A fazer</x:v>
      </x:c>
      <x:c r="I14" s="34"/>
      <x:c r="J14" s="35"/>
    </x:row>
    <x:row r="15" ht="39" customHeight="1">
      <x:c r="A15" s="32" t="str">
        <x:v>C03-A3</x:v>
      </x:c>
      <x:c r="B15" s="32" t="str">
        <x:v>C03</x:v>
      </x:c>
      <x:c r="C15" s="33" t="str">
        <x:v>YT - Arrozes especiais Bahia 03</x:v>
      </x:c>
      <x:c r="D15" s="32" t="str">
        <x:v>Alta</x:v>
      </x:c>
      <x:c r="E15" s="33" t="str">
        <x:v>Completar exportação de público-alvo</x:v>
      </x:c>
      <x:c r="F15" s="33" t="str">
        <x:v>Não existem dados demográficos, interesses nem critérios de audiência.</x:v>
      </x:c>
      <x:c r="G15" s="33" t="str">
        <x:v>Exportar configuração de segmentação e desempenho por idade, gênero e audiência no período solicitado.</x:v>
      </x:c>
      <x:c r="H15" s="34" t="str">
        <x:v>A fazer</x:v>
      </x:c>
      <x:c r="I15" s="34"/>
      <x:c r="J15" s="35"/>
    </x:row>
    <x:row r="16" ht="24" customHeight="1">
      <x:c r="A16" s="32" t="str">
        <x:v>C03-A4</x:v>
      </x:c>
      <x:c r="B16" s="32" t="str">
        <x:v>C03</x:v>
      </x:c>
      <x:c r="C16" s="33" t="str">
        <x:v>YT - Arrozes especiais Bahia 03</x:v>
      </x:c>
      <x:c r="D16" s="32" t="str">
        <x:v>Média</x:v>
      </x:c>
      <x:c r="E16" s="33" t="str">
        <x:v>Confirmar raio de Uruçuca</x:v>
      </x:c>
      <x:c r="F16" s="33" t="str">
        <x:v>O relatório traz 20,0 mi, enquanto vários outros locais usam 15,0 km.</x:v>
      </x:c>
      <x:c r="G16" s="33" t="str">
        <x:v>Validar se o raio de 20 milhas é intencional.</x:v>
      </x:c>
      <x:c r="H16" s="34" t="str">
        <x:v>A fazer</x:v>
      </x:c>
      <x:c r="I16" s="34"/>
      <x:c r="J16" s="35"/>
    </x:row>
    <x:row r="17" ht="39" customHeight="1">
      <x:c r="A17" s="32" t="str">
        <x:v>C04-A1</x:v>
      </x:c>
      <x:c r="B17" s="32" t="str">
        <x:v>C04</x:v>
      </x:c>
      <x:c r="C17" s="33" t="str">
        <x:v>Remarketing Caçarola</x:v>
      </x:c>
      <x:c r="D17" s="32" t="str">
        <x:v>Alta</x:v>
      </x:c>
      <x:c r="E17" s="33" t="str">
        <x:v>Revisar decisão de pausa e eventual retomada</x:v>
      </x:c>
      <x:c r="F17" s="33" t="str">
        <x:v>Última entrega em 06/10; status exportado Pausada.</x:v>
      </x:c>
      <x:c r="G17" s="33" t="str">
        <x:v>Registrar objetivo, motivo da pausa e condição para retomada, sem assumir que a campanha deve ser reativada.</x:v>
      </x:c>
      <x:c r="H17" s="34" t="str">
        <x:v>A fazer</x:v>
      </x:c>
      <x:c r="I17" s="34"/>
      <x:c r="J17" s="35"/>
    </x:row>
    <x:row r="18" ht="24" customHeight="1">
      <x:c r="A18" s="32" t="str">
        <x:v>C04-A2</x:v>
      </x:c>
      <x:c r="B18" s="32" t="str">
        <x:v>C04</x:v>
      </x:c>
      <x:c r="C18" s="33" t="str">
        <x:v>Remarketing Caçarola</x:v>
      </x:c>
      <x:c r="D18" s="32" t="str">
        <x:v>Alta</x:v>
      </x:c>
      <x:c r="E18" s="33" t="str">
        <x:v>Validar CPV desejado de R$ 10,00</x:v>
      </x:c>
      <x:c r="F18" s="33" t="str">
        <x:v>Valor do grupo de remarketing é 500 vezes o R$ 0,02 das campanhas Bahia.</x:v>
      </x:c>
      <x:c r="G18" s="33" t="str">
        <x:v>Confirmar se o valor é intencional e conferir histórico de mudanças.</x:v>
      </x:c>
      <x:c r="H18" s="34" t="str">
        <x:v>A fazer</x:v>
      </x:c>
      <x:c r="I18" s="34"/>
      <x:c r="J18" s="35"/>
    </x:row>
    <x:row r="19" ht="24" customHeight="1">
      <x:c r="A19" s="32" t="str">
        <x:v>C04-A3</x:v>
      </x:c>
      <x:c r="B19" s="32" t="str">
        <x:v>C04</x:v>
      </x:c>
      <x:c r="C19" s="33" t="str">
        <x:v>Remarketing Caçarola</x:v>
      </x:c>
      <x:c r="D19" s="32" t="str">
        <x:v>Alta</x:v>
      </x:c>
      <x:c r="E19" s="33" t="str">
        <x:v>Confirmar lista e janela de remarketing</x:v>
      </x:c>
      <x:c r="F19" s="33" t="str">
        <x:v>Janela de 90 dias aparece somente no nome do grupo e do anúncio.</x:v>
      </x:c>
      <x:c r="G19" s="33" t="str">
        <x:v>Exportar definição da lista, regras, duração e tamanho elegível.</x:v>
      </x:c>
      <x:c r="H19" s="34" t="str">
        <x:v>A fazer</x:v>
      </x:c>
      <x:c r="I19" s="34"/>
      <x:c r="J19" s="35"/>
    </x:row>
    <x:row r="20" ht="24" customHeight="1">
      <x:c r="A20" s="32" t="str">
        <x:v>C05-A1</x:v>
      </x:c>
      <x:c r="B20" s="32" t="str">
        <x:v>C05</x:v>
      </x:c>
      <x:c r="C20" s="33" t="str">
        <x:v>[TRON] - YouTube 01 -  VT 5 Seg - {Reg SC} - 07/10</x:v>
      </x:c>
      <x:c r="D20" s="32" t="str">
        <x:v>Alta</x:v>
      </x:c>
      <x:c r="E20" s="33" t="str">
        <x:v>Exportar TrueView por dia até 13/10</x:v>
      </x:c>
      <x:c r="F20" s="33" t="str">
        <x:v>A série diária não tem TrueView; o agregado inclui 14/10.</x:v>
      </x:c>
      <x:c r="G20" s="33" t="str">
        <x:v>Obter número de TrueView para 01/07 a 13/10 sem usar o agregado até 14/10.</x:v>
      </x:c>
      <x:c r="H20" s="34" t="str">
        <x:v>A fazer</x:v>
      </x:c>
      <x:c r="I20" s="34"/>
      <x:c r="J20" s="35"/>
    </x:row>
    <x:row r="21" ht="39" customHeight="1">
      <x:c r="A21" s="32" t="str">
        <x:v>C05-A2</x:v>
      </x:c>
      <x:c r="B21" s="32" t="str">
        <x:v>C05</x:v>
      </x:c>
      <x:c r="C21" s="33" t="str">
        <x:v>[TRON] - YouTube 01 -  VT 5 Seg - {Reg SC} - 07/10</x:v>
      </x:c>
      <x:c r="D21" s="32" t="str">
        <x:v>Alta</x:v>
      </x:c>
      <x:c r="E21" s="33" t="str">
        <x:v>Completar público-alvo e período</x:v>
      </x:c>
      <x:c r="F21" s="33" t="str">
        <x:v>Dados de segmentação não foram exportados, e as séries começam em 01/09.</x:v>
      </x:c>
      <x:c r="G21" s="33" t="str">
        <x:v>Exportar segmentação e histórico completo desde 01/07, ou confirmar documentalmente a inexistência de campanha antes de 07/10.</x:v>
      </x:c>
      <x:c r="H21" s="34" t="str">
        <x:v>A fazer</x:v>
      </x:c>
      <x:c r="I21" s="34"/>
      <x:c r="J21" s="35"/>
    </x:row>
    <x:row r="22" ht="39" customHeight="1">
      <x:c r="A22" s="32" t="str">
        <x:v>C05-A3</x:v>
      </x:c>
      <x:c r="B22" s="32" t="str">
        <x:v>C05</x:v>
      </x:c>
      <x:c r="C22" s="33" t="str">
        <x:v>[TRON] - YouTube 01 -  VT 5 Seg - {Reg SC} - 07/10</x:v>
      </x:c>
      <x:c r="D22" s="32" t="str">
        <x:v>Alta</x:v>
      </x:c>
      <x:c r="E22" s="33" t="str">
        <x:v>Conferir orçamento total da TRON 01</x:v>
      </x:c>
      <x:c r="F22" s="33" t="str">
        <x:v>R$ 15,00 total da campanha; demais TRON: R$ 15,00 por dia.</x:v>
      </x:c>
      <x:c r="G22" s="33" t="str">
        <x:v>Confirmar tipo, valor e duração previstos do orçamento e a razão para a diferença de entrega.</x:v>
      </x:c>
      <x:c r="H22" s="34" t="str">
        <x:v>A fazer</x:v>
      </x:c>
      <x:c r="I22" s="34"/>
      <x:c r="J22" s="35"/>
    </x:row>
    <x:row r="23" ht="24" customHeight="1">
      <x:c r="A23" s="32" t="str">
        <x:v>C06-A1</x:v>
      </x:c>
      <x:c r="B23" s="32" t="str">
        <x:v>C06</x:v>
      </x:c>
      <x:c r="C23" s="33" t="str">
        <x:v>[TRON] - YouTube 02 -  VT 5 Seg - {Reg SC} - 07/10</x:v>
      </x:c>
      <x:c r="D23" s="32" t="str">
        <x:v>Alta</x:v>
      </x:c>
      <x:c r="E23" s="33" t="str">
        <x:v>Exportar TrueView por dia até 13/10</x:v>
      </x:c>
      <x:c r="F23" s="33" t="str">
        <x:v>A série diária não tem TrueView; o agregado inclui 14/10.</x:v>
      </x:c>
      <x:c r="G23" s="33" t="str">
        <x:v>Obter número de TrueView para 01/07 a 13/10 sem usar o agregado até 14/10.</x:v>
      </x:c>
      <x:c r="H23" s="34" t="str">
        <x:v>A fazer</x:v>
      </x:c>
      <x:c r="I23" s="34"/>
      <x:c r="J23" s="35"/>
    </x:row>
    <x:row r="24" ht="39" customHeight="1">
      <x:c r="A24" s="32" t="str">
        <x:v>C06-A2</x:v>
      </x:c>
      <x:c r="B24" s="32" t="str">
        <x:v>C06</x:v>
      </x:c>
      <x:c r="C24" s="33" t="str">
        <x:v>[TRON] - YouTube 02 -  VT 5 Seg - {Reg SC} - 07/10</x:v>
      </x:c>
      <x:c r="D24" s="32" t="str">
        <x:v>Alta</x:v>
      </x:c>
      <x:c r="E24" s="33" t="str">
        <x:v>Completar público-alvo e período</x:v>
      </x:c>
      <x:c r="F24" s="33" t="str">
        <x:v>Dados de segmentação não foram exportados, e as séries começam em 01/09.</x:v>
      </x:c>
      <x:c r="G24" s="33" t="str">
        <x:v>Exportar segmentação e histórico completo desde 01/07, ou confirmar documentalmente a inexistência de campanha antes de 07/10.</x:v>
      </x:c>
      <x:c r="H24" s="34" t="str">
        <x:v>A fazer</x:v>
      </x:c>
      <x:c r="I24" s="34"/>
      <x:c r="J24" s="35"/>
    </x:row>
    <x:row r="25" ht="39" customHeight="1">
      <x:c r="A25" s="32" t="str">
        <x:v>C06-A3</x:v>
      </x:c>
      <x:c r="B25" s="32" t="str">
        <x:v>C06</x:v>
      </x:c>
      <x:c r="C25" s="33" t="str">
        <x:v>[TRON] - YouTube 02 -  VT 5 Seg - {Reg SC} - 07/10</x:v>
      </x:c>
      <x:c r="D25" s="32" t="str">
        <x:v>Alta</x:v>
      </x:c>
      <x:c r="E25" s="33" t="str">
        <x:v>Refazer exportações no mesmo fechamento</x:v>
      </x:c>
      <x:c r="F25" s="33" t="str">
        <x:v>Relatórios de campanha, anúncio, grupo, locais e séries apresentam pequenas diferenças.</x:v>
      </x:c>
      <x:c r="G25" s="33" t="str">
        <x:v>Gerar relatórios com mesmo período, filtros e horário de extração e reconciliar impressões e custos.</x:v>
      </x:c>
      <x:c r="H25" s="34" t="str">
        <x:v>A fazer</x:v>
      </x:c>
      <x:c r="I25" s="34"/>
      <x:c r="J25" s="35"/>
    </x:row>
    <x:row r="26" ht="39" customHeight="1">
      <x:c r="A26" s="32" t="str">
        <x:v>C07-A1</x:v>
      </x:c>
      <x:c r="B26" s="32" t="str">
        <x:v>C07</x:v>
      </x:c>
      <x:c r="C26" s="33" t="str">
        <x:v>[TRON] - YouTube 03 -  VT 5 Seg - {Reg SC} - 07/10</x:v>
      </x:c>
      <x:c r="D26" s="32" t="str">
        <x:v>Alta</x:v>
      </x:c>
      <x:c r="E26" s="33" t="str">
        <x:v>Completar público-alvo e período</x:v>
      </x:c>
      <x:c r="F26" s="33" t="str">
        <x:v>Dados de segmentação não foram exportados, e as séries começam em 01/09.</x:v>
      </x:c>
      <x:c r="G26" s="33" t="str">
        <x:v>Exportar segmentação e histórico completo desde 01/07, ou confirmar documentalmente a inexistência de campanha antes de 07/10.</x:v>
      </x:c>
      <x:c r="H26" s="34" t="str">
        <x:v>A fazer</x:v>
      </x:c>
      <x:c r="I26" s="34"/>
      <x:c r="J26" s="35"/>
    </x:row>
    <x:row r="27" ht="39" customHeight="1">
      <x:c r="A27" s="32" t="str">
        <x:v>C07-A2</x:v>
      </x:c>
      <x:c r="B27" s="32" t="str">
        <x:v>C07</x:v>
      </x:c>
      <x:c r="C27" s="33" t="str">
        <x:v>[TRON] - YouTube 03 -  VT 5 Seg - {Reg SC} - 07/10</x:v>
      </x:c>
      <x:c r="D27" s="32" t="str">
        <x:v>Alta</x:v>
      </x:c>
      <x:c r="E27" s="33" t="str">
        <x:v>Refazer exportações no mesmo fechamento</x:v>
      </x:c>
      <x:c r="F27" s="33" t="str">
        <x:v>Relatórios de campanha, anúncio, grupo, locais e séries apresentam pequenas diferenças.</x:v>
      </x:c>
      <x:c r="G27" s="33" t="str">
        <x:v>Gerar relatórios com mesmo período, filtros e horário de extração e reconciliar impressões e custos.</x:v>
      </x:c>
      <x:c r="H27" s="34" t="str">
        <x:v>A fazer</x:v>
      </x:c>
      <x:c r="I27" s="34"/>
      <x:c r="J27" s="35"/>
    </x:row>
    <x:row r="28" ht="39" customHeight="1">
      <x:c r="A28" s="32" t="str">
        <x:v>C08-A1</x:v>
      </x:c>
      <x:c r="B28" s="32" t="str">
        <x:v>C08</x:v>
      </x:c>
      <x:c r="C28" s="33" t="str">
        <x:v>[TRON] - YouTube 04 -  VT 5 Seg - {Reg SC} - 07/10</x:v>
      </x:c>
      <x:c r="D28" s="32" t="str">
        <x:v>Alta</x:v>
      </x:c>
      <x:c r="E28" s="33" t="str">
        <x:v>Completar público-alvo e período</x:v>
      </x:c>
      <x:c r="F28" s="33" t="str">
        <x:v>Dados de segmentação não foram exportados, e as séries começam em 01/09.</x:v>
      </x:c>
      <x:c r="G28" s="33" t="str">
        <x:v>Exportar segmentação e histórico completo desde 01/07, ou confirmar documentalmente a inexistência de campanha antes de 07/10.</x:v>
      </x:c>
      <x:c r="H28" s="34" t="str">
        <x:v>A fazer</x:v>
      </x:c>
      <x:c r="I28" s="34"/>
      <x:c r="J28" s="35"/>
    </x:row>
    <x:row r="29" ht="24" customHeight="1">
      <x:c r="A29" s="32" t="str">
        <x:v>C08-A2</x:v>
      </x:c>
      <x:c r="B29" s="32" t="str">
        <x:v>C08</x:v>
      </x:c>
      <x:c r="C29" s="33" t="str">
        <x:v>[TRON] - YouTube 04 -  VT 5 Seg - {Reg SC} - 07/10</x:v>
      </x:c>
      <x:c r="D29" s="32" t="str">
        <x:v>Alta</x:v>
      </x:c>
      <x:c r="E29" s="33" t="str">
        <x:v>Obter relatório de locais da TRON 04</x:v>
      </x:c>
      <x:c r="F29" s="33" t="str">
        <x:v>Não há relatório de locais na pasta recebida.</x:v>
      </x:c>
      <x:c r="G29" s="33" t="str">
        <x:v>Exportação própria da TRON 04 com cidades, endereços, raios e métricas até 13/10.</x:v>
      </x:c>
      <x:c r="H29" s="34" t="str">
        <x:v>A fazer</x:v>
      </x:c>
      <x:c r="I29" s="34"/>
      <x:c r="J29" s="35"/>
    </x:row>
    <x:row r="30" ht="39" customHeight="1">
      <x:c r="A30" s="32" t="str">
        <x:v>C08-A3</x:v>
      </x:c>
      <x:c r="B30" s="32" t="str">
        <x:v>C08</x:v>
      </x:c>
      <x:c r="C30" s="33" t="str">
        <x:v>[TRON] - YouTube 04 -  VT 5 Seg - {Reg SC} - 07/10</x:v>
      </x:c>
      <x:c r="D30" s="32" t="str">
        <x:v>Alta</x:v>
      </x:c>
      <x:c r="E30" s="33" t="str">
        <x:v>Refazer exportações no mesmo fechamento</x:v>
      </x:c>
      <x:c r="F30" s="33" t="str">
        <x:v>Relatórios de campanha, anúncio, grupo, locais e séries apresentam pequenas diferenças.</x:v>
      </x:c>
      <x:c r="G30" s="33" t="str">
        <x:v>Gerar relatórios com mesmo período, filtros e horário de extração e reconciliar impressões e custos.</x:v>
      </x:c>
      <x:c r="H30" s="34" t="str">
        <x:v>A fazer</x:v>
      </x:c>
      <x:c r="I30" s="34"/>
      <x:c r="J30" s="35"/>
    </x:row>
  </x:sheetData>
  <x:conditionalFormatting sqref="H6:H30">
    <x:cfRule type="containsText" dxfId="0" priority="1" operator="containsText" text="Concluído"/>
  </x:conditionalFormatting>
  <x:dataValidations count="1">
    <x:dataValidation type="list" sqref="H6:H30">
      <x:formula1>"A fazer,Em andamento,Concluído"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03afb88156401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6" hidden="0" customWidth="1"/>
    <x:col min="3" max="3" width="99" hidden="0" customWidth="1"/>
    <x:col min="4" max="4" width="18" hidden="0" customWidth="1"/>
    <x:col min="5" max="5" width="18" hidden="0" customWidth="1"/>
    <x:col min="6" max="6" width="23" hidden="0" customWidth="1"/>
    <x:col min="7" max="7" width="20" hidden="0" customWidth="1"/>
    <x:col min="8" max="8" width="22" hidden="0" customWidth="1"/>
    <x:col min="9" max="9" width="18" hidden="0" customWidth="1"/>
    <x:col min="10" max="10" width="54" hidden="0" customWidth="1"/>
    <x:col min="11" max="11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Locais por campanha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Inclui locais sem entrega e raios originais. Detalhes com 14/10 não podem ser recortados por dia.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ID</x:v>
      </x:c>
      <x:c r="B5" s="8" t="str">
        <x:v>Campanha</x:v>
      </x:c>
      <x:c r="C5" s="8" t="str">
        <x:v>Local / raio original</x:v>
      </x:c>
      <x:c r="D5" s="8" t="str">
        <x:v>Impressões</x:v>
      </x:c>
      <x:c r="E5" s="8" t="str">
        <x:v>TrueView</x:v>
      </x:c>
      <x:c r="F5" s="8" t="str">
        <x:v>Taxa nativa TrueView</x:v>
      </x:c>
      <x:c r="G5" s="8" t="str">
        <x:v>Custo BRL</x:v>
      </x:c>
      <x:c r="H5" s="8" t="str">
        <x:v>CPM nativo BRL</x:v>
      </x:c>
      <x:c r="I5" s="8" t="str">
        <x:v>Conversões</x:v>
      </x:c>
      <x:c r="J5" s="8" t="str">
        <x:v>Período original</x:v>
      </x:c>
      <x:c r="K5" s="8" t="str">
        <x:v>Fonte</x:v>
      </x:c>
    </x:row>
    <x:row r="6" ht="24" customHeight="1">
      <x:c r="A6" s="32" t="str">
        <x:v>C01</x:v>
      </x:c>
      <x:c r="B6" s="33" t="str">
        <x:v>YT - Arrozes especiais Bahia 01</x:v>
      </x:c>
      <x:c r="C6" s="33" t="str">
        <x:v>15,0|km|São Félix, BA</x:v>
      </x:c>
      <x:c r="D6" s="38" t="n">
        <x:v>0</x:v>
      </x:c>
      <x:c r="E6" s="38" t="n">
        <x:v>0</x:v>
      </x:c>
      <x:c r="F6" s="39"/>
      <x:c r="G6" s="40" t="n">
        <x:v>0</x:v>
      </x:c>
      <x:c r="H6" s="40" t="n">
        <x:v>0</x:v>
      </x:c>
      <x:c r="I6" s="32" t="n">
        <x:v>0</x:v>
      </x:c>
      <x:c r="J6" s="32" t="str">
        <x:v>1 de julho de 2026 - 13 de outubro de 2026</x:v>
      </x:c>
      <x:c r="K6" s="32" t="str">
        <x:v>F007</x:v>
      </x:c>
    </x:row>
    <x:row r="7" ht="24" customHeight="1">
      <x:c r="A7" s="32" t="str">
        <x:v>C01</x:v>
      </x:c>
      <x:c r="B7" s="33" t="str">
        <x:v>YT - Arrozes especiais Bahia 01</x:v>
      </x:c>
      <x:c r="C7" s="33" t="str">
        <x:v>15,0|km|Nazaré, BA</x:v>
      </x:c>
      <x:c r="D7" s="38" t="n">
        <x:v>741</x:v>
      </x:c>
      <x:c r="E7" s="38" t="n">
        <x:v>436</x:v>
      </x:c>
      <x:c r="F7" s="39" t="n">
        <x:v>0.5884</x:v>
      </x:c>
      <x:c r="G7" s="40" t="n">
        <x:v>4</x:v>
      </x:c>
      <x:c r="H7" s="40" t="n">
        <x:v>5.39</x:v>
      </x:c>
      <x:c r="I7" s="32" t="n">
        <x:v>0</x:v>
      </x:c>
      <x:c r="J7" s="32" t="str">
        <x:v>1 de julho de 2026 - 13 de outubro de 2026</x:v>
      </x:c>
      <x:c r="K7" s="32" t="str">
        <x:v>F007</x:v>
      </x:c>
    </x:row>
    <x:row r="8" ht="24" customHeight="1">
      <x:c r="A8" s="32" t="str">
        <x:v>C01</x:v>
      </x:c>
      <x:c r="B8" s="33" t="str">
        <x:v>YT - Arrozes especiais Bahia 01</x:v>
      </x:c>
      <x:c r="C8" s="33" t="str">
        <x:v>15,0|km|Jaguaripe, BA</x:v>
      </x:c>
      <x:c r="D8" s="38" t="n">
        <x:v>528</x:v>
      </x:c>
      <x:c r="E8" s="38" t="n">
        <x:v>317</x:v>
      </x:c>
      <x:c r="F8" s="39" t="n">
        <x:v>0.6004</x:v>
      </x:c>
      <x:c r="G8" s="40" t="n">
        <x:v>2.69</x:v>
      </x:c>
      <x:c r="H8" s="40" t="n">
        <x:v>5.1</x:v>
      </x:c>
      <x:c r="I8" s="32" t="n">
        <x:v>0</x:v>
      </x:c>
      <x:c r="J8" s="32" t="str">
        <x:v>1 de julho de 2026 - 13 de outubro de 2026</x:v>
      </x:c>
      <x:c r="K8" s="32" t="str">
        <x:v>F007</x:v>
      </x:c>
    </x:row>
    <x:row r="9" ht="24" customHeight="1">
      <x:c r="A9" s="32" t="str">
        <x:v>C01</x:v>
      </x:c>
      <x:c r="B9" s="33" t="str">
        <x:v>YT - Arrozes especiais Bahia 01</x:v>
      </x:c>
      <x:c r="C9" s="33" t="str">
        <x:v>Santo Antônio de Jesus, Bahia, Brasil</x:v>
      </x:c>
      <x:c r="D9" s="38" t="n">
        <x:v>7336</x:v>
      </x:c>
      <x:c r="E9" s="38" t="n">
        <x:v>4362</x:v>
      </x:c>
      <x:c r="F9" s="39" t="n">
        <x:v>0.5946</x:v>
      </x:c>
      <x:c r="G9" s="40" t="n">
        <x:v>37.08</x:v>
      </x:c>
      <x:c r="H9" s="40" t="n">
        <x:v>5.05</x:v>
      </x:c>
      <x:c r="I9" s="32" t="n">
        <x:v>0</x:v>
      </x:c>
      <x:c r="J9" s="32" t="str">
        <x:v>1 de julho de 2026 - 13 de outubro de 2026</x:v>
      </x:c>
      <x:c r="K9" s="32" t="str">
        <x:v>F007</x:v>
      </x:c>
    </x:row>
    <x:row r="10" ht="24" customHeight="1">
      <x:c r="A10" s="32" t="str">
        <x:v>C01</x:v>
      </x:c>
      <x:c r="B10" s="33" t="str">
        <x:v>YT - Arrozes especiais Bahia 01</x:v>
      </x:c>
      <x:c r="C10" s="33" t="str">
        <x:v>Camaçari, Bahia, Brasil</x:v>
      </x:c>
      <x:c r="D10" s="38" t="n">
        <x:v>19558</x:v>
      </x:c>
      <x:c r="E10" s="38" t="n">
        <x:v>11521</x:v>
      </x:c>
      <x:c r="F10" s="39" t="n">
        <x:v>0.5891</x:v>
      </x:c>
      <x:c r="G10" s="40" t="n">
        <x:v>95.34</x:v>
      </x:c>
      <x:c r="H10" s="40" t="n">
        <x:v>4.87</x:v>
      </x:c>
      <x:c r="I10" s="32" t="n">
        <x:v>0</x:v>
      </x:c>
      <x:c r="J10" s="32" t="str">
        <x:v>1 de julho de 2026 - 13 de outubro de 2026</x:v>
      </x:c>
      <x:c r="K10" s="32" t="str">
        <x:v>F007</x:v>
      </x:c>
    </x:row>
    <x:row r="11" ht="24" customHeight="1">
      <x:c r="A11" s="32" t="str">
        <x:v>C01</x:v>
      </x:c>
      <x:c r="B11" s="33" t="str">
        <x:v>YT - Arrozes especiais Bahia 01</x:v>
      </x:c>
      <x:c r="C11" s="33" t="str">
        <x:v>15,0|km|Governador Mangabeira, BA</x:v>
      </x:c>
      <x:c r="D11" s="38" t="n">
        <x:v>58</x:v>
      </x:c>
      <x:c r="E11" s="38" t="n">
        <x:v>7</x:v>
      </x:c>
      <x:c r="F11" s="39" t="n">
        <x:v>0.1207</x:v>
      </x:c>
      <x:c r="G11" s="40" t="n">
        <x:v>0.28</x:v>
      </x:c>
      <x:c r="H11" s="40" t="n">
        <x:v>4.84</x:v>
      </x:c>
      <x:c r="I11" s="32" t="n">
        <x:v>0</x:v>
      </x:c>
      <x:c r="J11" s="32" t="str">
        <x:v>1 de julho de 2026 - 13 de outubro de 2026</x:v>
      </x:c>
      <x:c r="K11" s="32" t="str">
        <x:v>F007</x:v>
      </x:c>
    </x:row>
    <x:row r="12" ht="24" customHeight="1">
      <x:c r="A12" s="32" t="str">
        <x:v>C01</x:v>
      </x:c>
      <x:c r="B12" s="33" t="str">
        <x:v>YT - Arrozes especiais Bahia 01</x:v>
      </x:c>
      <x:c r="C12" s="33" t="str">
        <x:v>Cruz das Almas, Bahia, Brasil</x:v>
      </x:c>
      <x:c r="D12" s="38" t="n">
        <x:v>5020</x:v>
      </x:c>
      <x:c r="E12" s="38" t="n">
        <x:v>2923</x:v>
      </x:c>
      <x:c r="F12" s="39" t="n">
        <x:v>0.5822999999999999</x:v>
      </x:c>
      <x:c r="G12" s="40" t="n">
        <x:v>24.19</x:v>
      </x:c>
      <x:c r="H12" s="40" t="n">
        <x:v>4.82</x:v>
      </x:c>
      <x:c r="I12" s="32" t="n">
        <x:v>0</x:v>
      </x:c>
      <x:c r="J12" s="32" t="str">
        <x:v>1 de julho de 2026 - 13 de outubro de 2026</x:v>
      </x:c>
      <x:c r="K12" s="32" t="str">
        <x:v>F007</x:v>
      </x:c>
    </x:row>
    <x:row r="13" ht="24" customHeight="1">
      <x:c r="A13" s="32" t="str">
        <x:v>C01</x:v>
      </x:c>
      <x:c r="B13" s="33" t="str">
        <x:v>YT - Arrozes especiais Bahia 01</x:v>
      </x:c>
      <x:c r="C13" s="33" t="str">
        <x:v>Madre de Deus, Bahia, Brasil</x:v>
      </x:c>
      <x:c r="D13" s="38" t="n">
        <x:v>740</x:v>
      </x:c>
      <x:c r="E13" s="38" t="n">
        <x:v>421</x:v>
      </x:c>
      <x:c r="F13" s="39" t="n">
        <x:v>0.5689</x:v>
      </x:c>
      <x:c r="G13" s="40" t="n">
        <x:v>3.73</x:v>
      </x:c>
      <x:c r="H13" s="40" t="n">
        <x:v>5.04</x:v>
      </x:c>
      <x:c r="I13" s="32" t="n">
        <x:v>0</x:v>
      </x:c>
      <x:c r="J13" s="32" t="str">
        <x:v>1 de julho de 2026 - 13 de outubro de 2026</x:v>
      </x:c>
      <x:c r="K13" s="32" t="str">
        <x:v>F007</x:v>
      </x:c>
    </x:row>
    <x:row r="14" ht="24" customHeight="1">
      <x:c r="A14" s="32" t="str">
        <x:v>C01</x:v>
      </x:c>
      <x:c r="B14" s="33" t="str">
        <x:v>YT - Arrozes especiais Bahia 01</x:v>
      </x:c>
      <x:c r="C14" s="33" t="str">
        <x:v>15,0|km|Varzedo, BA</x:v>
      </x:c>
      <x:c r="D14" s="38" t="n">
        <x:v>1</x:v>
      </x:c>
      <x:c r="E14" s="38" t="n">
        <x:v>1</x:v>
      </x:c>
      <x:c r="F14" s="39" t="n">
        <x:v>1</x:v>
      </x:c>
      <x:c r="G14" s="40" t="n">
        <x:v>0.01</x:v>
      </x:c>
      <x:c r="H14" s="40" t="n">
        <x:v>13.7</x:v>
      </x:c>
      <x:c r="I14" s="32" t="n">
        <x:v>0</x:v>
      </x:c>
      <x:c r="J14" s="32" t="str">
        <x:v>1 de julho de 2026 - 13 de outubro de 2026</x:v>
      </x:c>
      <x:c r="K14" s="32" t="str">
        <x:v>F007</x:v>
      </x:c>
    </x:row>
    <x:row r="15" ht="24" customHeight="1">
      <x:c r="A15" s="32" t="str">
        <x:v>C01</x:v>
      </x:c>
      <x:c r="B15" s="33" t="str">
        <x:v>YT - Arrozes especiais Bahia 01</x:v>
      </x:c>
      <x:c r="C15" s="33" t="str">
        <x:v>15,0|km|Conceição do Almeida, BA</x:v>
      </x:c>
      <x:c r="D15" s="38" t="n">
        <x:v>0</x:v>
      </x:c>
      <x:c r="E15" s="38" t="n">
        <x:v>0</x:v>
      </x:c>
      <x:c r="F15" s="39"/>
      <x:c r="G15" s="40" t="n">
        <x:v>0</x:v>
      </x:c>
      <x:c r="H15" s="40" t="n">
        <x:v>0</x:v>
      </x:c>
      <x:c r="I15" s="32" t="n">
        <x:v>0</x:v>
      </x:c>
      <x:c r="J15" s="32" t="str">
        <x:v>1 de julho de 2026 - 13 de outubro de 2026</x:v>
      </x:c>
      <x:c r="K15" s="32" t="str">
        <x:v>F007</x:v>
      </x:c>
    </x:row>
    <x:row r="16" ht="24" customHeight="1">
      <x:c r="A16" s="32" t="str">
        <x:v>C01</x:v>
      </x:c>
      <x:c r="B16" s="33" t="str">
        <x:v>YT - Arrozes especiais Bahia 01</x:v>
      </x:c>
      <x:c r="C16" s="33" t="str">
        <x:v>15,0|km|Cabaceiras do Paraguaçu, BA</x:v>
      </x:c>
      <x:c r="D16" s="38" t="n">
        <x:v>2297</x:v>
      </x:c>
      <x:c r="E16" s="38" t="n">
        <x:v>1340</x:v>
      </x:c>
      <x:c r="F16" s="39" t="n">
        <x:v>0.5834</x:v>
      </x:c>
      <x:c r="G16" s="40" t="n">
        <x:v>11.89</x:v>
      </x:c>
      <x:c r="H16" s="40" t="n">
        <x:v>5.18</x:v>
      </x:c>
      <x:c r="I16" s="32" t="n">
        <x:v>0</x:v>
      </x:c>
      <x:c r="J16" s="32" t="str">
        <x:v>1 de julho de 2026 - 13 de outubro de 2026</x:v>
      </x:c>
      <x:c r="K16" s="32" t="str">
        <x:v>F007</x:v>
      </x:c>
    </x:row>
    <x:row r="17" ht="24" customHeight="1">
      <x:c r="A17" s="32" t="str">
        <x:v>C01</x:v>
      </x:c>
      <x:c r="B17" s="33" t="str">
        <x:v>YT - Arrozes especiais Bahia 01</x:v>
      </x:c>
      <x:c r="C17" s="33" t="str">
        <x:v>15,0|km|Terra Nova, BA</x:v>
      </x:c>
      <x:c r="D17" s="38" t="n">
        <x:v>5</x:v>
      </x:c>
      <x:c r="E17" s="38" t="n">
        <x:v>5</x:v>
      </x:c>
      <x:c r="F17" s="39" t="n">
        <x:v>1</x:v>
      </x:c>
      <x:c r="G17" s="40" t="n">
        <x:v>0.23</x:v>
      </x:c>
      <x:c r="H17" s="40" t="n">
        <x:v>45.31</x:v>
      </x:c>
      <x:c r="I17" s="32" t="n">
        <x:v>0</x:v>
      </x:c>
      <x:c r="J17" s="32" t="str">
        <x:v>1 de julho de 2026 - 13 de outubro de 2026</x:v>
      </x:c>
      <x:c r="K17" s="32" t="str">
        <x:v>F007</x:v>
      </x:c>
    </x:row>
    <x:row r="18" ht="24" customHeight="1">
      <x:c r="A18" s="32" t="str">
        <x:v>C01</x:v>
      </x:c>
      <x:c r="B18" s="33" t="str">
        <x:v>YT - Arrozes especiais Bahia 01</x:v>
      </x:c>
      <x:c r="C18" s="33" t="str">
        <x:v>Simões Filho, Bahia, Brasil</x:v>
      </x:c>
      <x:c r="D18" s="38" t="n">
        <x:v>5677</x:v>
      </x:c>
      <x:c r="E18" s="38" t="n">
        <x:v>3462</x:v>
      </x:c>
      <x:c r="F18" s="39" t="n">
        <x:v>0.6098</x:v>
      </x:c>
      <x:c r="G18" s="40" t="n">
        <x:v>28.43</x:v>
      </x:c>
      <x:c r="H18" s="40" t="n">
        <x:v>5.01</x:v>
      </x:c>
      <x:c r="I18" s="32" t="n">
        <x:v>0</x:v>
      </x:c>
      <x:c r="J18" s="32" t="str">
        <x:v>1 de julho de 2026 - 13 de outubro de 2026</x:v>
      </x:c>
      <x:c r="K18" s="32" t="str">
        <x:v>F007</x:v>
      </x:c>
    </x:row>
    <x:row r="19" ht="24" customHeight="1">
      <x:c r="A19" s="32" t="str">
        <x:v>C01</x:v>
      </x:c>
      <x:c r="B19" s="33" t="str">
        <x:v>YT - Arrozes especiais Bahia 01</x:v>
      </x:c>
      <x:c r="C19" s="33" t="str">
        <x:v>15,0|km|Sapeaçu, BA</x:v>
      </x:c>
      <x:c r="D19" s="38" t="n">
        <x:v>17</x:v>
      </x:c>
      <x:c r="E19" s="38" t="n">
        <x:v>0</x:v>
      </x:c>
      <x:c r="F19" s="39" t="n">
        <x:v>0</x:v>
      </x:c>
      <x:c r="G19" s="40" t="n">
        <x:v>0</x:v>
      </x:c>
      <x:c r="H19" s="40" t="n">
        <x:v>0</x:v>
      </x:c>
      <x:c r="I19" s="32" t="n">
        <x:v>0</x:v>
      </x:c>
      <x:c r="J19" s="32" t="str">
        <x:v>1 de julho de 2026 - 13 de outubro de 2026</x:v>
      </x:c>
      <x:c r="K19" s="32" t="str">
        <x:v>F007</x:v>
      </x:c>
    </x:row>
    <x:row r="20" ht="24" customHeight="1">
      <x:c r="A20" s="32" t="str">
        <x:v>C01</x:v>
      </x:c>
      <x:c r="B20" s="33" t="str">
        <x:v>YT - Arrozes especiais Bahia 01</x:v>
      </x:c>
      <x:c r="C20" s="33" t="str">
        <x:v>15,0|km|Muniz Ferreira, BA</x:v>
      </x:c>
      <x:c r="D20" s="38" t="n">
        <x:v>1</x:v>
      </x:c>
      <x:c r="E20" s="38" t="n">
        <x:v>0</x:v>
      </x:c>
      <x:c r="F20" s="39" t="n">
        <x:v>0</x:v>
      </x:c>
      <x:c r="G20" s="40" t="n">
        <x:v>0</x:v>
      </x:c>
      <x:c r="H20" s="40" t="n">
        <x:v>0</x:v>
      </x:c>
      <x:c r="I20" s="32" t="n">
        <x:v>0</x:v>
      </x:c>
      <x:c r="J20" s="32" t="str">
        <x:v>1 de julho de 2026 - 13 de outubro de 2026</x:v>
      </x:c>
      <x:c r="K20" s="32" t="str">
        <x:v>F007</x:v>
      </x:c>
    </x:row>
    <x:row r="21" ht="24" customHeight="1">
      <x:c r="A21" s="32" t="str">
        <x:v>C01</x:v>
      </x:c>
      <x:c r="B21" s="33" t="str">
        <x:v>YT - Arrozes especiais Bahia 01</x:v>
      </x:c>
      <x:c r="C21" s="33" t="str">
        <x:v>São Francisco do Conde, Bahia, Brasil</x:v>
      </x:c>
      <x:c r="D21" s="38" t="n">
        <x:v>1508</x:v>
      </x:c>
      <x:c r="E21" s="38" t="n">
        <x:v>884</x:v>
      </x:c>
      <x:c r="F21" s="39" t="n">
        <x:v>0.5861999999999999</x:v>
      </x:c>
      <x:c r="G21" s="40" t="n">
        <x:v>7.21</x:v>
      </x:c>
      <x:c r="H21" s="40" t="n">
        <x:v>4.78</x:v>
      </x:c>
      <x:c r="I21" s="32" t="n">
        <x:v>0</x:v>
      </x:c>
      <x:c r="J21" s="32" t="str">
        <x:v>1 de julho de 2026 - 13 de outubro de 2026</x:v>
      </x:c>
      <x:c r="K21" s="32" t="str">
        <x:v>F007</x:v>
      </x:c>
    </x:row>
    <x:row r="22" ht="24" customHeight="1">
      <x:c r="A22" s="32" t="str">
        <x:v>C01</x:v>
      </x:c>
      <x:c r="B22" s="33" t="str">
        <x:v>YT - Arrozes especiais Bahia 01</x:v>
      </x:c>
      <x:c r="C22" s="33" t="str">
        <x:v>15,0|km|Muritiba, BA</x:v>
      </x:c>
      <x:c r="D22" s="38" t="n">
        <x:v>5</x:v>
      </x:c>
      <x:c r="E22" s="38" t="n">
        <x:v>0</x:v>
      </x:c>
      <x:c r="F22" s="39" t="n">
        <x:v>0</x:v>
      </x:c>
      <x:c r="G22" s="40" t="n">
        <x:v>0</x:v>
      </x:c>
      <x:c r="H22" s="40" t="n">
        <x:v>0</x:v>
      </x:c>
      <x:c r="I22" s="32" t="n">
        <x:v>0</x:v>
      </x:c>
      <x:c r="J22" s="32" t="str">
        <x:v>1 de julho de 2026 - 13 de outubro de 2026</x:v>
      </x:c>
      <x:c r="K22" s="32" t="str">
        <x:v>F007</x:v>
      </x:c>
    </x:row>
    <x:row r="23" ht="24" customHeight="1">
      <x:c r="A23" s="32" t="str">
        <x:v>C01</x:v>
      </x:c>
      <x:c r="B23" s="33" t="str">
        <x:v>YT - Arrozes especiais Bahia 01</x:v>
      </x:c>
      <x:c r="C23" s="33" t="str">
        <x:v>Candeias, Bahia, Brasil</x:v>
      </x:c>
      <x:c r="D23" s="38" t="n">
        <x:v>4852</x:v>
      </x:c>
      <x:c r="E23" s="38" t="n">
        <x:v>2800</x:v>
      </x:c>
      <x:c r="F23" s="39" t="n">
        <x:v>0.5771000000000001</x:v>
      </x:c>
      <x:c r="G23" s="40" t="n">
        <x:v>23.28</x:v>
      </x:c>
      <x:c r="H23" s="40" t="n">
        <x:v>4.8</x:v>
      </x:c>
      <x:c r="I23" s="32" t="n">
        <x:v>0</x:v>
      </x:c>
      <x:c r="J23" s="32" t="str">
        <x:v>1 de julho de 2026 - 13 de outubro de 2026</x:v>
      </x:c>
      <x:c r="K23" s="32" t="str">
        <x:v>F007</x:v>
      </x:c>
    </x:row>
    <x:row r="24" ht="24" customHeight="1">
      <x:c r="A24" s="32" t="str">
        <x:v>C01</x:v>
      </x:c>
      <x:c r="B24" s="33" t="str">
        <x:v>YT - Arrozes especiais Bahia 01</x:v>
      </x:c>
      <x:c r="C24" s="33" t="str">
        <x:v>15,0|km|Amélia Rodrigues, BA</x:v>
      </x:c>
      <x:c r="D24" s="38" t="n">
        <x:v>2341</x:v>
      </x:c>
      <x:c r="E24" s="38" t="n">
        <x:v>1304</x:v>
      </x:c>
      <x:c r="F24" s="39" t="n">
        <x:v>0.557</x:v>
      </x:c>
      <x:c r="G24" s="40" t="n">
        <x:v>11.52</x:v>
      </x:c>
      <x:c r="H24" s="40" t="n">
        <x:v>4.92</x:v>
      </x:c>
      <x:c r="I24" s="32" t="n">
        <x:v>0</x:v>
      </x:c>
      <x:c r="J24" s="32" t="str">
        <x:v>1 de julho de 2026 - 13 de outubro de 2026</x:v>
      </x:c>
      <x:c r="K24" s="32" t="str">
        <x:v>F007</x:v>
      </x:c>
    </x:row>
    <x:row r="25" ht="24" customHeight="1">
      <x:c r="A25" s="32" t="str">
        <x:v>C01</x:v>
      </x:c>
      <x:c r="B25" s="33" t="str">
        <x:v>YT - Arrozes especiais Bahia 01</x:v>
      </x:c>
      <x:c r="C25" s="33" t="str">
        <x:v>15,0|km|Aratuípe, BA</x:v>
      </x:c>
      <x:c r="D25" s="38" t="n">
        <x:v>0</x:v>
      </x:c>
      <x:c r="E25" s="38" t="n">
        <x:v>0</x:v>
      </x:c>
      <x:c r="F25" s="39"/>
      <x:c r="G25" s="40" t="n">
        <x:v>0</x:v>
      </x:c>
      <x:c r="H25" s="40" t="n">
        <x:v>0</x:v>
      </x:c>
      <x:c r="I25" s="32" t="n">
        <x:v>0</x:v>
      </x:c>
      <x:c r="J25" s="32" t="str">
        <x:v>1 de julho de 2026 - 13 de outubro de 2026</x:v>
      </x:c>
      <x:c r="K25" s="32" t="str">
        <x:v>F007</x:v>
      </x:c>
    </x:row>
    <x:row r="26" ht="24" customHeight="1">
      <x:c r="A26" s="32" t="str">
        <x:v>C01</x:v>
      </x:c>
      <x:c r="B26" s="33" t="str">
        <x:v>YT - Arrozes especiais Bahia 01</x:v>
      </x:c>
      <x:c r="C26" s="33" t="str">
        <x:v>15,0|km|Cachoeira, BA</x:v>
      </x:c>
      <x:c r="D26" s="38" t="n">
        <x:v>7</x:v>
      </x:c>
      <x:c r="E26" s="38" t="n">
        <x:v>3</x:v>
      </x:c>
      <x:c r="F26" s="39" t="n">
        <x:v>0.4286</x:v>
      </x:c>
      <x:c r="G26" s="40" t="n">
        <x:v>0.17</x:v>
      </x:c>
      <x:c r="H26" s="40" t="n">
        <x:v>24.81</x:v>
      </x:c>
      <x:c r="I26" s="32" t="n">
        <x:v>0</x:v>
      </x:c>
      <x:c r="J26" s="32" t="str">
        <x:v>1 de julho de 2026 - 13 de outubro de 2026</x:v>
      </x:c>
      <x:c r="K26" s="32" t="str">
        <x:v>F007</x:v>
      </x:c>
    </x:row>
    <x:row r="27" ht="24" customHeight="1">
      <x:c r="A27" s="32" t="str">
        <x:v>C01</x:v>
      </x:c>
      <x:c r="B27" s="33" t="str">
        <x:v>YT - Arrozes especiais Bahia 01</x:v>
      </x:c>
      <x:c r="C27" s="33" t="str">
        <x:v>15,0|km|São Felipe, BA</x:v>
      </x:c>
      <x:c r="D27" s="38" t="n">
        <x:v>44</x:v>
      </x:c>
      <x:c r="E27" s="38" t="n">
        <x:v>18</x:v>
      </x:c>
      <x:c r="F27" s="39" t="n">
        <x:v>0.40909999999999996</x:v>
      </x:c>
      <x:c r="G27" s="40" t="n">
        <x:v>0.26</x:v>
      </x:c>
      <x:c r="H27" s="40" t="n">
        <x:v>5.9</x:v>
      </x:c>
      <x:c r="I27" s="32" t="n">
        <x:v>0</x:v>
      </x:c>
      <x:c r="J27" s="32" t="str">
        <x:v>1 de julho de 2026 - 13 de outubro de 2026</x:v>
      </x:c>
      <x:c r="K27" s="32" t="str">
        <x:v>F007</x:v>
      </x:c>
    </x:row>
    <x:row r="28" ht="24" customHeight="1">
      <x:c r="A28" s="32" t="str">
        <x:v>C01</x:v>
      </x:c>
      <x:c r="B28" s="33" t="str">
        <x:v>YT - Arrozes especiais Bahia 01</x:v>
      </x:c>
      <x:c r="C28" s="33" t="str">
        <x:v>Catu, Bahia, Brasil</x:v>
      </x:c>
      <x:c r="D28" s="38" t="n">
        <x:v>2536</x:v>
      </x:c>
      <x:c r="E28" s="38" t="n">
        <x:v>1498</x:v>
      </x:c>
      <x:c r="F28" s="39" t="n">
        <x:v>0.5907</x:v>
      </x:c>
      <x:c r="G28" s="40" t="n">
        <x:v>13.11</x:v>
      </x:c>
      <x:c r="H28" s="40" t="n">
        <x:v>5.17</x:v>
      </x:c>
      <x:c r="I28" s="32" t="n">
        <x:v>0</x:v>
      </x:c>
      <x:c r="J28" s="32" t="str">
        <x:v>1 de julho de 2026 - 13 de outubro de 2026</x:v>
      </x:c>
      <x:c r="K28" s="32" t="str">
        <x:v>F007</x:v>
      </x:c>
    </x:row>
    <x:row r="29" ht="24" customHeight="1">
      <x:c r="A29" s="32" t="str">
        <x:v>C01</x:v>
      </x:c>
      <x:c r="B29" s="33" t="str">
        <x:v>YT - Arrozes especiais Bahia 01</x:v>
      </x:c>
      <x:c r="C29" s="33" t="str">
        <x:v>15,0|km|Castro Alves - BA</x:v>
      </x:c>
      <x:c r="D29" s="38" t="n">
        <x:v>3</x:v>
      </x:c>
      <x:c r="E29" s="38" t="n">
        <x:v>0</x:v>
      </x:c>
      <x:c r="F29" s="39" t="n">
        <x:v>0</x:v>
      </x:c>
      <x:c r="G29" s="40" t="n">
        <x:v>0</x:v>
      </x:c>
      <x:c r="H29" s="40" t="n">
        <x:v>0</x:v>
      </x:c>
      <x:c r="I29" s="32" t="n">
        <x:v>0</x:v>
      </x:c>
      <x:c r="J29" s="32" t="str">
        <x:v>1 de julho de 2026 - 13 de outubro de 2026</x:v>
      </x:c>
      <x:c r="K29" s="32" t="str">
        <x:v>F007</x:v>
      </x:c>
    </x:row>
    <x:row r="30" ht="24" customHeight="1">
      <x:c r="A30" s="32" t="str">
        <x:v>C01</x:v>
      </x:c>
      <x:c r="B30" s="33" t="str">
        <x:v>YT - Arrozes especiais Bahia 01</x:v>
      </x:c>
      <x:c r="C30" s="33" t="str">
        <x:v>Salvador, Bahia, Brasil</x:v>
      </x:c>
      <x:c r="D30" s="38" t="n">
        <x:v>89442</x:v>
      </x:c>
      <x:c r="E30" s="38" t="n">
        <x:v>50913</x:v>
      </x:c>
      <x:c r="F30" s="39" t="n">
        <x:v>0.5692</x:v>
      </x:c>
      <x:c r="G30" s="40" t="n">
        <x:v>459.06</x:v>
      </x:c>
      <x:c r="H30" s="40" t="n">
        <x:v>5.13</x:v>
      </x:c>
      <x:c r="I30" s="32" t="n">
        <x:v>0</x:v>
      </x:c>
      <x:c r="J30" s="32" t="str">
        <x:v>1 de julho de 2026 - 13 de outubro de 2026</x:v>
      </x:c>
      <x:c r="K30" s="32" t="str">
        <x:v>F007</x:v>
      </x:c>
    </x:row>
    <x:row r="31" ht="24" customHeight="1">
      <x:c r="A31" s="32" t="str">
        <x:v>C01</x:v>
      </x:c>
      <x:c r="B31" s="33" t="str">
        <x:v>YT - Arrozes especiais Bahia 01</x:v>
      </x:c>
      <x:c r="C31" s="33" t="str">
        <x:v>15,0|km|Dom Macedo Costa, BA</x:v>
      </x:c>
      <x:c r="D31" s="38" t="n">
        <x:v>29</x:v>
      </x:c>
      <x:c r="E31" s="38" t="n">
        <x:v>8</x:v>
      </x:c>
      <x:c r="F31" s="39" t="n">
        <x:v>0.2759</x:v>
      </x:c>
      <x:c r="G31" s="40" t="n">
        <x:v>0.09</x:v>
      </x:c>
      <x:c r="H31" s="40" t="n">
        <x:v>3.18</x:v>
      </x:c>
      <x:c r="I31" s="32" t="n">
        <x:v>0</x:v>
      </x:c>
      <x:c r="J31" s="32" t="str">
        <x:v>1 de julho de 2026 - 13 de outubro de 2026</x:v>
      </x:c>
      <x:c r="K31" s="32" t="str">
        <x:v>F007</x:v>
      </x:c>
    </x:row>
    <x:row r="32" ht="24" customHeight="1">
      <x:c r="A32" s="32" t="str">
        <x:v>C01</x:v>
      </x:c>
      <x:c r="B32" s="33" t="str">
        <x:v>YT - Arrozes especiais Bahia 01</x:v>
      </x:c>
      <x:c r="C32" s="33" t="str">
        <x:v>Mata de São João, Bahia, Brasil</x:v>
      </x:c>
      <x:c r="D32" s="38" t="n">
        <x:v>3112</x:v>
      </x:c>
      <x:c r="E32" s="38" t="n">
        <x:v>1891</x:v>
      </x:c>
      <x:c r="F32" s="39" t="n">
        <x:v>0.6076</x:v>
      </x:c>
      <x:c r="G32" s="40" t="n">
        <x:v>14.64</x:v>
      </x:c>
      <x:c r="H32" s="40" t="n">
        <x:v>4.7</x:v>
      </x:c>
      <x:c r="I32" s="32" t="n">
        <x:v>0</x:v>
      </x:c>
      <x:c r="J32" s="32" t="str">
        <x:v>1 de julho de 2026 - 13 de outubro de 2026</x:v>
      </x:c>
      <x:c r="K32" s="32" t="str">
        <x:v>F007</x:v>
      </x:c>
    </x:row>
    <x:row r="33" ht="24" customHeight="1">
      <x:c r="A33" s="32" t="str">
        <x:v>C01</x:v>
      </x:c>
      <x:c r="B33" s="33" t="str">
        <x:v>YT - Arrozes especiais Bahia 01</x:v>
      </x:c>
      <x:c r="C33" s="33" t="str">
        <x:v>Santo Amaro, Bahia, Brasil</x:v>
      </x:c>
      <x:c r="D33" s="38" t="n">
        <x:v>3033</x:v>
      </x:c>
      <x:c r="E33" s="38" t="n">
        <x:v>1791</x:v>
      </x:c>
      <x:c r="F33" s="39" t="n">
        <x:v>0.5905</x:v>
      </x:c>
      <x:c r="G33" s="40" t="n">
        <x:v>14.45</x:v>
      </x:c>
      <x:c r="H33" s="40" t="n">
        <x:v>4.77</x:v>
      </x:c>
      <x:c r="I33" s="32" t="n">
        <x:v>0</x:v>
      </x:c>
      <x:c r="J33" s="32" t="str">
        <x:v>1 de julho de 2026 - 13 de outubro de 2026</x:v>
      </x:c>
      <x:c r="K33" s="32" t="str">
        <x:v>F007</x:v>
      </x:c>
    </x:row>
    <x:row r="34" ht="24" customHeight="1">
      <x:c r="A34" s="32" t="str">
        <x:v>C01</x:v>
      </x:c>
      <x:c r="B34" s="33" t="str">
        <x:v>YT - Arrozes especiais Bahia 01</x:v>
      </x:c>
      <x:c r="C34" s="33" t="str">
        <x:v>Itaparica, Bahia, Brasil</x:v>
      </x:c>
      <x:c r="D34" s="38" t="n">
        <x:v>1074</x:v>
      </x:c>
      <x:c r="E34" s="38" t="n">
        <x:v>607</x:v>
      </x:c>
      <x:c r="F34" s="39" t="n">
        <x:v>0.5652</x:v>
      </x:c>
      <x:c r="G34" s="40" t="n">
        <x:v>4.92</x:v>
      </x:c>
      <x:c r="H34" s="40" t="n">
        <x:v>4.59</x:v>
      </x:c>
      <x:c r="I34" s="32" t="n">
        <x:v>0</x:v>
      </x:c>
      <x:c r="J34" s="32" t="str">
        <x:v>1 de julho de 2026 - 13 de outubro de 2026</x:v>
      </x:c>
      <x:c r="K34" s="32" t="str">
        <x:v>F007</x:v>
      </x:c>
    </x:row>
    <x:row r="35" ht="24" customHeight="1">
      <x:c r="A35" s="32" t="str">
        <x:v>C01</x:v>
      </x:c>
      <x:c r="B35" s="33" t="str">
        <x:v>YT - Arrozes especiais Bahia 01</x:v>
      </x:c>
      <x:c r="C35" s="33" t="str">
        <x:v>Saubara, Bahia, Brasil</x:v>
      </x:c>
      <x:c r="D35" s="38" t="n">
        <x:v>442</x:v>
      </x:c>
      <x:c r="E35" s="38" t="n">
        <x:v>251</x:v>
      </x:c>
      <x:c r="F35" s="39" t="n">
        <x:v>0.5679</x:v>
      </x:c>
      <x:c r="G35" s="40" t="n">
        <x:v>1.96</x:v>
      </x:c>
      <x:c r="H35" s="40" t="n">
        <x:v>4.44</x:v>
      </x:c>
      <x:c r="I35" s="32" t="n">
        <x:v>0</x:v>
      </x:c>
      <x:c r="J35" s="32" t="str">
        <x:v>1 de julho de 2026 - 13 de outubro de 2026</x:v>
      </x:c>
      <x:c r="K35" s="32" t="str">
        <x:v>F007</x:v>
      </x:c>
    </x:row>
    <x:row r="36" ht="24" customHeight="1">
      <x:c r="A36" s="32" t="str">
        <x:v>C01</x:v>
      </x:c>
      <x:c r="B36" s="33" t="str">
        <x:v>YT - Arrozes especiais Bahia 01</x:v>
      </x:c>
      <x:c r="C36" s="33" t="str">
        <x:v>Pojuca, Bahia, Brasil</x:v>
      </x:c>
      <x:c r="D36" s="38" t="n">
        <x:v>1389</x:v>
      </x:c>
      <x:c r="E36" s="38" t="n">
        <x:v>832</x:v>
      </x:c>
      <x:c r="F36" s="39" t="n">
        <x:v>0.599</x:v>
      </x:c>
      <x:c r="G36" s="40" t="n">
        <x:v>7.35</x:v>
      </x:c>
      <x:c r="H36" s="40" t="n">
        <x:v>5.29</x:v>
      </x:c>
      <x:c r="I36" s="32" t="n">
        <x:v>0</x:v>
      </x:c>
      <x:c r="J36" s="32" t="str">
        <x:v>1 de julho de 2026 - 13 de outubro de 2026</x:v>
      </x:c>
      <x:c r="K36" s="32" t="str">
        <x:v>F007</x:v>
      </x:c>
    </x:row>
    <x:row r="37" ht="24" customHeight="1">
      <x:c r="A37" s="32" t="str">
        <x:v>C01</x:v>
      </x:c>
      <x:c r="B37" s="33" t="str">
        <x:v>YT - Arrozes especiais Bahia 01</x:v>
      </x:c>
      <x:c r="C37" s="33" t="str">
        <x:v>15,0|km|Itanagra, BA</x:v>
      </x:c>
      <x:c r="D37" s="38" t="n">
        <x:v>3</x:v>
      </x:c>
      <x:c r="E37" s="38" t="n">
        <x:v>1</x:v>
      </x:c>
      <x:c r="F37" s="39" t="n">
        <x:v>0.3333</x:v>
      </x:c>
      <x:c r="G37" s="40" t="n">
        <x:v>0.03</x:v>
      </x:c>
      <x:c r="H37" s="40" t="n">
        <x:v>11.53</x:v>
      </x:c>
      <x:c r="I37" s="32" t="n">
        <x:v>0</x:v>
      </x:c>
      <x:c r="J37" s="32" t="str">
        <x:v>1 de julho de 2026 - 13 de outubro de 2026</x:v>
      </x:c>
      <x:c r="K37" s="32" t="str">
        <x:v>F007</x:v>
      </x:c>
    </x:row>
    <x:row r="38" ht="24" customHeight="1">
      <x:c r="A38" s="32" t="str">
        <x:v>C01</x:v>
      </x:c>
      <x:c r="B38" s="33" t="str">
        <x:v>YT - Arrozes especiais Bahia 01</x:v>
      </x:c>
      <x:c r="C38" s="33" t="str">
        <x:v>Dias d'Ávila, Bahia, Brasil</x:v>
      </x:c>
      <x:c r="D38" s="38" t="n">
        <x:v>5</x:v>
      </x:c>
      <x:c r="E38" s="38" t="n">
        <x:v>1</x:v>
      </x:c>
      <x:c r="F38" s="39" t="n">
        <x:v>0.2</x:v>
      </x:c>
      <x:c r="G38" s="40" t="n">
        <x:v>0.02</x:v>
      </x:c>
      <x:c r="H38" s="40" t="n">
        <x:v>4.11</x:v>
      </x:c>
      <x:c r="I38" s="32" t="n">
        <x:v>0</x:v>
      </x:c>
      <x:c r="J38" s="32" t="str">
        <x:v>1 de julho de 2026 - 13 de outubro de 2026</x:v>
      </x:c>
      <x:c r="K38" s="32" t="str">
        <x:v>F007</x:v>
      </x:c>
    </x:row>
    <x:row r="39" ht="24" customHeight="1">
      <x:c r="A39" s="32" t="str">
        <x:v>C01</x:v>
      </x:c>
      <x:c r="B39" s="33" t="str">
        <x:v>YT - Arrozes especiais Bahia 01</x:v>
      </x:c>
      <x:c r="C39" s="33" t="str">
        <x:v>15,0|km|Vera Cruz, BA</x:v>
      </x:c>
      <x:c r="D39" s="38" t="n">
        <x:v>1</x:v>
      </x:c>
      <x:c r="E39" s="38" t="n">
        <x:v>1</x:v>
      </x:c>
      <x:c r="F39" s="39" t="n">
        <x:v>1</x:v>
      </x:c>
      <x:c r="G39" s="40" t="n">
        <x:v>0.02</x:v>
      </x:c>
      <x:c r="H39" s="40" t="n">
        <x:v>21.29</x:v>
      </x:c>
      <x:c r="I39" s="32" t="n">
        <x:v>0</x:v>
      </x:c>
      <x:c r="J39" s="32" t="str">
        <x:v>1 de julho de 2026 - 13 de outubro de 2026</x:v>
      </x:c>
      <x:c r="K39" s="32" t="str">
        <x:v>F007</x:v>
      </x:c>
    </x:row>
    <x:row r="40" ht="24" customHeight="1">
      <x:c r="A40" s="32" t="str">
        <x:v>C01</x:v>
      </x:c>
      <x:c r="B40" s="33" t="str">
        <x:v>YT - Arrozes especiais Bahia 01</x:v>
      </x:c>
      <x:c r="C40" s="33" t="str">
        <x:v>15,0|km|Salinas da Margarida, BA</x:v>
      </x:c>
      <x:c r="D40" s="38" t="n">
        <x:v>30</x:v>
      </x:c>
      <x:c r="E40" s="38" t="n">
        <x:v>8</x:v>
      </x:c>
      <x:c r="F40" s="39" t="n">
        <x:v>0.2667</x:v>
      </x:c>
      <x:c r="G40" s="40" t="n">
        <x:v>0.29</x:v>
      </x:c>
      <x:c r="H40" s="40" t="n">
        <x:v>9.76</x:v>
      </x:c>
      <x:c r="I40" s="32" t="n">
        <x:v>0</x:v>
      </x:c>
      <x:c r="J40" s="32" t="str">
        <x:v>1 de julho de 2026 - 13 de outubro de 2026</x:v>
      </x:c>
      <x:c r="K40" s="32" t="str">
        <x:v>F007</x:v>
      </x:c>
    </x:row>
    <x:row r="41" ht="24" customHeight="1">
      <x:c r="A41" s="32" t="str">
        <x:v>C01</x:v>
      </x:c>
      <x:c r="B41" s="33" t="str">
        <x:v>YT - Arrozes especiais Bahia 01</x:v>
      </x:c>
      <x:c r="C41" s="33" t="str">
        <x:v>São Sebastião do Passé, Bahia, Brasil</x:v>
      </x:c>
      <x:c r="D41" s="38" t="n">
        <x:v>652</x:v>
      </x:c>
      <x:c r="E41" s="38" t="n">
        <x:v>378</x:v>
      </x:c>
      <x:c r="F41" s="39" t="n">
        <x:v>0.5798</x:v>
      </x:c>
      <x:c r="G41" s="40" t="n">
        <x:v>3.29</x:v>
      </x:c>
      <x:c r="H41" s="40" t="n">
        <x:v>5.04</x:v>
      </x:c>
      <x:c r="I41" s="32" t="n">
        <x:v>0</x:v>
      </x:c>
      <x:c r="J41" s="32" t="str">
        <x:v>1 de julho de 2026 - 13 de outubro de 2026</x:v>
      </x:c>
      <x:c r="K41" s="32" t="str">
        <x:v>F007</x:v>
      </x:c>
    </x:row>
    <x:row r="42" ht="24" customHeight="1">
      <x:c r="A42" s="32" t="str">
        <x:v>C01</x:v>
      </x:c>
      <x:c r="B42" s="33" t="str">
        <x:v>YT - Arrozes especiais Bahia 01</x:v>
      </x:c>
      <x:c r="C42" s="33" t="str">
        <x:v>Lauro de Freitas, Bahia, Brasil</x:v>
      </x:c>
      <x:c r="D42" s="38" t="n">
        <x:v>1068</x:v>
      </x:c>
      <x:c r="E42" s="38" t="n">
        <x:v>627</x:v>
      </x:c>
      <x:c r="F42" s="39" t="n">
        <x:v>0.5871</x:v>
      </x:c>
      <x:c r="G42" s="40" t="n">
        <x:v>6.12</x:v>
      </x:c>
      <x:c r="H42" s="40" t="n">
        <x:v>5.73</x:v>
      </x:c>
      <x:c r="I42" s="32" t="n">
        <x:v>0</x:v>
      </x:c>
      <x:c r="J42" s="32" t="str">
        <x:v>1 de julho de 2026 - 13 de outubro de 2026</x:v>
      </x:c>
      <x:c r="K42" s="32" t="str">
        <x:v>F007</x:v>
      </x:c>
    </x:row>
    <x:row r="43" ht="24" customHeight="1">
      <x:c r="A43" s="32" t="str">
        <x:v>C01</x:v>
      </x:c>
      <x:c r="B43" s="33" t="str">
        <x:v>YT - Arrozes especiais Bahia 01</x:v>
      </x:c>
      <x:c r="C43" s="33" t="str">
        <x:v>15,0|km|Maragogipe, BA</x:v>
      </x:c>
      <x:c r="D43" s="38" t="n">
        <x:v>48</x:v>
      </x:c>
      <x:c r="E43" s="38" t="n">
        <x:v>28</x:v>
      </x:c>
      <x:c r="F43" s="39" t="n">
        <x:v>0.5832999999999999</x:v>
      </x:c>
      <x:c r="G43" s="40" t="n">
        <x:v>0.28</x:v>
      </x:c>
      <x:c r="H43" s="40" t="n">
        <x:v>5.9</x:v>
      </x:c>
      <x:c r="I43" s="32" t="n">
        <x:v>0</x:v>
      </x:c>
      <x:c r="J43" s="32" t="str">
        <x:v>1 de julho de 2026 - 13 de outubro de 2026</x:v>
      </x:c>
      <x:c r="K43" s="32" t="str">
        <x:v>F007</x:v>
      </x:c>
    </x:row>
    <x:row r="44" ht="24" customHeight="1">
      <x:c r="A44" s="32" t="str">
        <x:v>C02</x:v>
      </x:c>
      <x:c r="B44" s="33" t="str">
        <x:v>YT - Arrozes especiais Bahia 02</x:v>
      </x:c>
      <x:c r="C44" s="33" t="str">
        <x:v>15,0|mi|Teolândia, BA</x:v>
      </x:c>
      <x:c r="D44" s="38" t="n">
        <x:v>72</x:v>
      </x:c>
      <x:c r="E44" s="38" t="n">
        <x:v>18</x:v>
      </x:c>
      <x:c r="F44" s="39" t="n">
        <x:v>0.25</x:v>
      </x:c>
      <x:c r="G44" s="40" t="n">
        <x:v>1.06</x:v>
      </x:c>
      <x:c r="H44" s="40" t="n">
        <x:v>14.66</x:v>
      </x:c>
      <x:c r="I44" s="32" t="n">
        <x:v>0</x:v>
      </x:c>
      <x:c r="J44" s="32" t="str">
        <x:v>1 de julho de 2026 - 13 de outubro de 2026</x:v>
      </x:c>
      <x:c r="K44" s="32" t="str">
        <x:v>F014</x:v>
      </x:c>
    </x:row>
    <x:row r="45" ht="24" customHeight="1">
      <x:c r="A45" s="32" t="str">
        <x:v>C02</x:v>
      </x:c>
      <x:c r="B45" s="33" t="str">
        <x:v>YT - Arrozes especiais Bahia 02</x:v>
      </x:c>
      <x:c r="C45" s="33" t="str">
        <x:v>15,0|mi|Floresta Azul, BA</x:v>
      </x:c>
      <x:c r="D45" s="38" t="n">
        <x:v>12</x:v>
      </x:c>
      <x:c r="E45" s="38" t="n">
        <x:v>5</x:v>
      </x:c>
      <x:c r="F45" s="39" t="n">
        <x:v>0.4167</x:v>
      </x:c>
      <x:c r="G45" s="40" t="n">
        <x:v>0.08</x:v>
      </x:c>
      <x:c r="H45" s="40" t="n">
        <x:v>6.45</x:v>
      </x:c>
      <x:c r="I45" s="32" t="n">
        <x:v>0</x:v>
      </x:c>
      <x:c r="J45" s="32" t="str">
        <x:v>1 de julho de 2026 - 13 de outubro de 2026</x:v>
      </x:c>
      <x:c r="K45" s="32" t="str">
        <x:v>F014</x:v>
      </x:c>
    </x:row>
    <x:row r="46" ht="24" customHeight="1">
      <x:c r="A46" s="32" t="str">
        <x:v>C02</x:v>
      </x:c>
      <x:c r="B46" s="33" t="str">
        <x:v>YT - Arrozes especiais Bahia 02</x:v>
      </x:c>
      <x:c r="C46" s="33" t="str">
        <x:v>Itabuna, Bahia, Brasil</x:v>
      </x:c>
      <x:c r="D46" s="38" t="n">
        <x:v>52756</x:v>
      </x:c>
      <x:c r="E46" s="38" t="n">
        <x:v>29416</x:v>
      </x:c>
      <x:c r="F46" s="39" t="n">
        <x:v>0.5576</x:v>
      </x:c>
      <x:c r="G46" s="40" t="n">
        <x:v>229</x:v>
      </x:c>
      <x:c r="H46" s="40" t="n">
        <x:v>4.34</x:v>
      </x:c>
      <x:c r="I46" s="32" t="n">
        <x:v>0</x:v>
      </x:c>
      <x:c r="J46" s="32" t="str">
        <x:v>1 de julho de 2026 - 13 de outubro de 2026</x:v>
      </x:c>
      <x:c r="K46" s="32" t="str">
        <x:v>F014</x:v>
      </x:c>
    </x:row>
    <x:row r="47" ht="24" customHeight="1">
      <x:c r="A47" s="32" t="str">
        <x:v>C02</x:v>
      </x:c>
      <x:c r="B47" s="33" t="str">
        <x:v>YT - Arrozes especiais Bahia 02</x:v>
      </x:c>
      <x:c r="C47" s="33" t="str">
        <x:v>15,0|mi|Maraú, BA</x:v>
      </x:c>
      <x:c r="D47" s="38" t="n">
        <x:v>0</x:v>
      </x:c>
      <x:c r="E47" s="38" t="n">
        <x:v>0</x:v>
      </x:c>
      <x:c r="F47" s="39"/>
      <x:c r="G47" s="40" t="n">
        <x:v>0</x:v>
      </x:c>
      <x:c r="H47" s="40" t="n">
        <x:v>0</x:v>
      </x:c>
      <x:c r="I47" s="32" t="n">
        <x:v>0</x:v>
      </x:c>
      <x:c r="J47" s="32" t="str">
        <x:v>1 de julho de 2026 - 13 de outubro de 2026</x:v>
      </x:c>
      <x:c r="K47" s="32" t="str">
        <x:v>F014</x:v>
      </x:c>
    </x:row>
    <x:row r="48" ht="24" customHeight="1">
      <x:c r="A48" s="32" t="str">
        <x:v>C02</x:v>
      </x:c>
      <x:c r="B48" s="33" t="str">
        <x:v>YT - Arrozes especiais Bahia 02</x:v>
      </x:c>
      <x:c r="C48" s="33" t="str">
        <x:v>15,0|mi|Ibirapitanga, BA</x:v>
      </x:c>
      <x:c r="D48" s="38" t="n">
        <x:v>9</x:v>
      </x:c>
      <x:c r="E48" s="38" t="n">
        <x:v>2</x:v>
      </x:c>
      <x:c r="F48" s="39" t="n">
        <x:v>0.22219999999999998</x:v>
      </x:c>
      <x:c r="G48" s="40" t="n">
        <x:v>0.02</x:v>
      </x:c>
      <x:c r="H48" s="40" t="n">
        <x:v>2.39</x:v>
      </x:c>
      <x:c r="I48" s="32" t="n">
        <x:v>0</x:v>
      </x:c>
      <x:c r="J48" s="32" t="str">
        <x:v>1 de julho de 2026 - 13 de outubro de 2026</x:v>
      </x:c>
      <x:c r="K48" s="32" t="str">
        <x:v>F014</x:v>
      </x:c>
    </x:row>
    <x:row r="49" ht="24" customHeight="1">
      <x:c r="A49" s="32" t="str">
        <x:v>C02</x:v>
      </x:c>
      <x:c r="B49" s="33" t="str">
        <x:v>YT - Arrozes especiais Bahia 02</x:v>
      </x:c>
      <x:c r="C49" s="33" t="str">
        <x:v>15,0|mi|Presidente Tancredo Neves, BA</x:v>
      </x:c>
      <x:c r="D49" s="38" t="n">
        <x:v>92</x:v>
      </x:c>
      <x:c r="E49" s="38" t="n">
        <x:v>22</x:v>
      </x:c>
      <x:c r="F49" s="39" t="n">
        <x:v>0.2391</x:v>
      </x:c>
      <x:c r="G49" s="40" t="n">
        <x:v>0.83</x:v>
      </x:c>
      <x:c r="H49" s="40" t="n">
        <x:v>8.99</x:v>
      </x:c>
      <x:c r="I49" s="32" t="n">
        <x:v>0</x:v>
      </x:c>
      <x:c r="J49" s="32" t="str">
        <x:v>1 de julho de 2026 - 13 de outubro de 2026</x:v>
      </x:c>
      <x:c r="K49" s="32" t="str">
        <x:v>F014</x:v>
      </x:c>
    </x:row>
    <x:row r="50" ht="24" customHeight="1">
      <x:c r="A50" s="32" t="str">
        <x:v>C02</x:v>
      </x:c>
      <x:c r="B50" s="33" t="str">
        <x:v>YT - Arrozes especiais Bahia 02</x:v>
      </x:c>
      <x:c r="C50" s="33" t="str">
        <x:v>15,0|mi|Belmonte, BA</x:v>
      </x:c>
      <x:c r="D50" s="38" t="n">
        <x:v>148</x:v>
      </x:c>
      <x:c r="E50" s="38" t="n">
        <x:v>46</x:v>
      </x:c>
      <x:c r="F50" s="39" t="n">
        <x:v>0.31079999999999997</x:v>
      </x:c>
      <x:c r="G50" s="40" t="n">
        <x:v>1.08</x:v>
      </x:c>
      <x:c r="H50" s="40" t="n">
        <x:v>7.33</x:v>
      </x:c>
      <x:c r="I50" s="32" t="n">
        <x:v>0</x:v>
      </x:c>
      <x:c r="J50" s="32" t="str">
        <x:v>1 de julho de 2026 - 13 de outubro de 2026</x:v>
      </x:c>
      <x:c r="K50" s="32" t="str">
        <x:v>F014</x:v>
      </x:c>
    </x:row>
    <x:row r="51" ht="24" customHeight="1">
      <x:c r="A51" s="32" t="str">
        <x:v>C02</x:v>
      </x:c>
      <x:c r="B51" s="33" t="str">
        <x:v>YT - Arrozes especiais Bahia 02</x:v>
      </x:c>
      <x:c r="C51" s="33" t="str">
        <x:v>15,0|mi|Piraí do Norte, BA</x:v>
      </x:c>
      <x:c r="D51" s="38" t="n">
        <x:v>0</x:v>
      </x:c>
      <x:c r="E51" s="38" t="n">
        <x:v>0</x:v>
      </x:c>
      <x:c r="F51" s="39"/>
      <x:c r="G51" s="40" t="n">
        <x:v>0</x:v>
      </x:c>
      <x:c r="H51" s="40" t="n">
        <x:v>0</x:v>
      </x:c>
      <x:c r="I51" s="32" t="n">
        <x:v>0</x:v>
      </x:c>
      <x:c r="J51" s="32" t="str">
        <x:v>1 de julho de 2026 - 13 de outubro de 2026</x:v>
      </x:c>
      <x:c r="K51" s="32" t="str">
        <x:v>F014</x:v>
      </x:c>
    </x:row>
    <x:row r="52" ht="24" customHeight="1">
      <x:c r="A52" s="32" t="str">
        <x:v>C02</x:v>
      </x:c>
      <x:c r="B52" s="33" t="str">
        <x:v>YT - Arrozes especiais Bahia 02</x:v>
      </x:c>
      <x:c r="C52" s="33" t="str">
        <x:v>15,0|mi|Barro Preto, BA</x:v>
      </x:c>
      <x:c r="D52" s="38" t="n">
        <x:v>5510</x:v>
      </x:c>
      <x:c r="E52" s="38" t="n">
        <x:v>3250</x:v>
      </x:c>
      <x:c r="F52" s="39" t="n">
        <x:v>0.5898</x:v>
      </x:c>
      <x:c r="G52" s="40" t="n">
        <x:v>23.58</x:v>
      </x:c>
      <x:c r="H52" s="40" t="n">
        <x:v>4.28</x:v>
      </x:c>
      <x:c r="I52" s="32" t="n">
        <x:v>0</x:v>
      </x:c>
      <x:c r="J52" s="32" t="str">
        <x:v>1 de julho de 2026 - 13 de outubro de 2026</x:v>
      </x:c>
      <x:c r="K52" s="32" t="str">
        <x:v>F014</x:v>
      </x:c>
    </x:row>
    <x:row r="53" ht="24" customHeight="1">
      <x:c r="A53" s="32" t="str">
        <x:v>C02</x:v>
      </x:c>
      <x:c r="B53" s="33" t="str">
        <x:v>YT - Arrozes especiais Bahia 02</x:v>
      </x:c>
      <x:c r="C53" s="33" t="str">
        <x:v>15,0|mi|Nilo Peçanha, BA</x:v>
      </x:c>
      <x:c r="D53" s="38" t="n">
        <x:v>0</x:v>
      </x:c>
      <x:c r="E53" s="38" t="n">
        <x:v>0</x:v>
      </x:c>
      <x:c r="F53" s="39"/>
      <x:c r="G53" s="40" t="n">
        <x:v>0</x:v>
      </x:c>
      <x:c r="H53" s="40" t="n">
        <x:v>0</x:v>
      </x:c>
      <x:c r="I53" s="32" t="n">
        <x:v>0</x:v>
      </x:c>
      <x:c r="J53" s="32" t="str">
        <x:v>1 de julho de 2026 - 13 de outubro de 2026</x:v>
      </x:c>
      <x:c r="K53" s="32" t="str">
        <x:v>F014</x:v>
      </x:c>
    </x:row>
    <x:row r="54" ht="24" customHeight="1">
      <x:c r="A54" s="32" t="str">
        <x:v>C02</x:v>
      </x:c>
      <x:c r="B54" s="33" t="str">
        <x:v>YT - Arrozes especiais Bahia 02</x:v>
      </x:c>
      <x:c r="C54" s="33" t="str">
        <x:v>15,0|mi|Wenceslau Guimarães, BA</x:v>
      </x:c>
      <x:c r="D54" s="38" t="n">
        <x:v>33</x:v>
      </x:c>
      <x:c r="E54" s="38" t="n">
        <x:v>12</x:v>
      </x:c>
      <x:c r="F54" s="39" t="n">
        <x:v>0.3636</x:v>
      </x:c>
      <x:c r="G54" s="40" t="n">
        <x:v>0.51</x:v>
      </x:c>
      <x:c r="H54" s="40" t="n">
        <x:v>15.5</x:v>
      </x:c>
      <x:c r="I54" s="32" t="n">
        <x:v>0</x:v>
      </x:c>
      <x:c r="J54" s="32" t="str">
        <x:v>1 de julho de 2026 - 13 de outubro de 2026</x:v>
      </x:c>
      <x:c r="K54" s="32" t="str">
        <x:v>F014</x:v>
      </x:c>
    </x:row>
    <x:row r="55" ht="24" customHeight="1">
      <x:c r="A55" s="32" t="str">
        <x:v>C02</x:v>
      </x:c>
      <x:c r="B55" s="33" t="str">
        <x:v>YT - Arrozes especiais Bahia 02</x:v>
      </x:c>
      <x:c r="C55" s="33" t="str">
        <x:v>15,0|mi|Taperoá, BA</x:v>
      </x:c>
      <x:c r="D55" s="38" t="n">
        <x:v>2704</x:v>
      </x:c>
      <x:c r="E55" s="38" t="n">
        <x:v>1696</x:v>
      </x:c>
      <x:c r="F55" s="39" t="n">
        <x:v>0.6272</x:v>
      </x:c>
      <x:c r="G55" s="40" t="n">
        <x:v>12.83</x:v>
      </x:c>
      <x:c r="H55" s="40" t="n">
        <x:v>4.75</x:v>
      </x:c>
      <x:c r="I55" s="32" t="n">
        <x:v>0</x:v>
      </x:c>
      <x:c r="J55" s="32" t="str">
        <x:v>1 de julho de 2026 - 13 de outubro de 2026</x:v>
      </x:c>
      <x:c r="K55" s="32" t="str">
        <x:v>F014</x:v>
      </x:c>
    </x:row>
    <x:row r="56" ht="24" customHeight="1">
      <x:c r="A56" s="32" t="str">
        <x:v>C02</x:v>
      </x:c>
      <x:c r="B56" s="33" t="str">
        <x:v>YT - Arrozes especiais Bahia 02</x:v>
      </x:c>
      <x:c r="C56" s="33" t="str">
        <x:v>15,0|mi|Canavieiras, BA</x:v>
      </x:c>
      <x:c r="D56" s="38" t="n">
        <x:v>1</x:v>
      </x:c>
      <x:c r="E56" s="38" t="n">
        <x:v>1</x:v>
      </x:c>
      <x:c r="F56" s="39" t="n">
        <x:v>1</x:v>
      </x:c>
      <x:c r="G56" s="40" t="n">
        <x:v>0.01</x:v>
      </x:c>
      <x:c r="H56" s="40" t="n">
        <x:v>7.39</x:v>
      </x:c>
      <x:c r="I56" s="32" t="n">
        <x:v>0</x:v>
      </x:c>
      <x:c r="J56" s="32" t="str">
        <x:v>1 de julho de 2026 - 13 de outubro de 2026</x:v>
      </x:c>
      <x:c r="K56" s="32" t="str">
        <x:v>F014</x:v>
      </x:c>
    </x:row>
    <x:row r="57" ht="24" customHeight="1">
      <x:c r="A57" s="32" t="str">
        <x:v>C02</x:v>
      </x:c>
      <x:c r="B57" s="33" t="str">
        <x:v>YT - Arrozes especiais Bahia 02</x:v>
      </x:c>
      <x:c r="C57" s="33" t="str">
        <x:v>15,0|mi|Coaraci, BA</x:v>
      </x:c>
      <x:c r="D57" s="38" t="n">
        <x:v>0</x:v>
      </x:c>
      <x:c r="E57" s="38" t="n">
        <x:v>0</x:v>
      </x:c>
      <x:c r="F57" s="39"/>
      <x:c r="G57" s="40" t="n">
        <x:v>0</x:v>
      </x:c>
      <x:c r="H57" s="40" t="n">
        <x:v>0</x:v>
      </x:c>
      <x:c r="I57" s="32" t="n">
        <x:v>0</x:v>
      </x:c>
      <x:c r="J57" s="32" t="str">
        <x:v>1 de julho de 2026 - 13 de outubro de 2026</x:v>
      </x:c>
      <x:c r="K57" s="32" t="str">
        <x:v>F014</x:v>
      </x:c>
    </x:row>
    <x:row r="58" ht="24" customHeight="1">
      <x:c r="A58" s="32" t="str">
        <x:v>C02</x:v>
      </x:c>
      <x:c r="B58" s="33" t="str">
        <x:v>YT - Arrozes especiais Bahia 02</x:v>
      </x:c>
      <x:c r="C58" s="33" t="str">
        <x:v>15,0|mi|Arataca, BA</x:v>
      </x:c>
      <x:c r="D58" s="38" t="n">
        <x:v>0</x:v>
      </x:c>
      <x:c r="E58" s="38" t="n">
        <x:v>0</x:v>
      </x:c>
      <x:c r="F58" s="39"/>
      <x:c r="G58" s="40" t="n">
        <x:v>0</x:v>
      </x:c>
      <x:c r="H58" s="40" t="n">
        <x:v>0</x:v>
      </x:c>
      <x:c r="I58" s="32" t="n">
        <x:v>0</x:v>
      </x:c>
      <x:c r="J58" s="32" t="str">
        <x:v>1 de julho de 2026 - 13 de outubro de 2026</x:v>
      </x:c>
      <x:c r="K58" s="32" t="str">
        <x:v>F014</x:v>
      </x:c>
    </x:row>
    <x:row r="59" ht="24" customHeight="1">
      <x:c r="A59" s="32" t="str">
        <x:v>C02</x:v>
      </x:c>
      <x:c r="B59" s="33" t="str">
        <x:v>YT - Arrozes especiais Bahia 02</x:v>
      </x:c>
      <x:c r="C59" s="33" t="str">
        <x:v>15,0|mi|Buerarema, BA</x:v>
      </x:c>
      <x:c r="D59" s="38" t="n">
        <x:v>0</x:v>
      </x:c>
      <x:c r="E59" s="38" t="n">
        <x:v>0</x:v>
      </x:c>
      <x:c r="F59" s="39"/>
      <x:c r="G59" s="40" t="n">
        <x:v>0</x:v>
      </x:c>
      <x:c r="H59" s="40" t="n">
        <x:v>0</x:v>
      </x:c>
      <x:c r="I59" s="32" t="n">
        <x:v>0</x:v>
      </x:c>
      <x:c r="J59" s="32" t="str">
        <x:v>1 de julho de 2026 - 13 de outubro de 2026</x:v>
      </x:c>
      <x:c r="K59" s="32" t="str">
        <x:v>F014</x:v>
      </x:c>
    </x:row>
    <x:row r="60" ht="24" customHeight="1">
      <x:c r="A60" s="32" t="str">
        <x:v>C02</x:v>
      </x:c>
      <x:c r="B60" s="33" t="str">
        <x:v>YT - Arrozes especiais Bahia 02</x:v>
      </x:c>
      <x:c r="C60" s="33" t="str">
        <x:v>15,0|mi|Aurelino Leal, BA</x:v>
      </x:c>
      <x:c r="D60" s="38" t="n">
        <x:v>0</x:v>
      </x:c>
      <x:c r="E60" s="38" t="n">
        <x:v>0</x:v>
      </x:c>
      <x:c r="F60" s="39"/>
      <x:c r="G60" s="40" t="n">
        <x:v>0</x:v>
      </x:c>
      <x:c r="H60" s="40" t="n">
        <x:v>0</x:v>
      </x:c>
      <x:c r="I60" s="32" t="n">
        <x:v>0</x:v>
      </x:c>
      <x:c r="J60" s="32" t="str">
        <x:v>1 de julho de 2026 - 13 de outubro de 2026</x:v>
      </x:c>
      <x:c r="K60" s="32" t="str">
        <x:v>F014</x:v>
      </x:c>
    </x:row>
    <x:row r="61" ht="24" customHeight="1">
      <x:c r="A61" s="32" t="str">
        <x:v>C02</x:v>
      </x:c>
      <x:c r="B61" s="33" t="str">
        <x:v>YT - Arrozes especiais Bahia 02</x:v>
      </x:c>
      <x:c r="C61" s="33" t="str">
        <x:v>15,0|mi|Itacaré, BA</x:v>
      </x:c>
      <x:c r="D61" s="38" t="n">
        <x:v>8</x:v>
      </x:c>
      <x:c r="E61" s="38" t="n">
        <x:v>3</x:v>
      </x:c>
      <x:c r="F61" s="39" t="n">
        <x:v>0.375</x:v>
      </x:c>
      <x:c r="G61" s="40" t="n">
        <x:v>0.07</x:v>
      </x:c>
      <x:c r="H61" s="40" t="n">
        <x:v>8.58</x:v>
      </x:c>
      <x:c r="I61" s="32" t="n">
        <x:v>0</x:v>
      </x:c>
      <x:c r="J61" s="32" t="str">
        <x:v>1 de julho de 2026 - 13 de outubro de 2026</x:v>
      </x:c>
      <x:c r="K61" s="32" t="str">
        <x:v>F014</x:v>
      </x:c>
    </x:row>
    <x:row r="62" ht="24" customHeight="1">
      <x:c r="A62" s="32" t="str">
        <x:v>C02</x:v>
      </x:c>
      <x:c r="B62" s="33" t="str">
        <x:v>YT - Arrozes especiais Bahia 02</x:v>
      </x:c>
      <x:c r="C62" s="33" t="str">
        <x:v>15,0|mi|Camacã - Camacan, BA</x:v>
      </x:c>
      <x:c r="D62" s="38" t="n">
        <x:v>14</x:v>
      </x:c>
      <x:c r="E62" s="38" t="n">
        <x:v>1</x:v>
      </x:c>
      <x:c r="F62" s="39" t="n">
        <x:v>0.07139999999999999</x:v>
      </x:c>
      <x:c r="G62" s="40" t="n">
        <x:v>0.01</x:v>
      </x:c>
      <x:c r="H62" s="40" t="n">
        <x:v>0.56</x:v>
      </x:c>
      <x:c r="I62" s="32" t="n">
        <x:v>0</x:v>
      </x:c>
      <x:c r="J62" s="32" t="str">
        <x:v>1 de julho de 2026 - 13 de outubro de 2026</x:v>
      </x:c>
      <x:c r="K62" s="32" t="str">
        <x:v>F014</x:v>
      </x:c>
    </x:row>
    <x:row r="63" ht="24" customHeight="1">
      <x:c r="A63" s="32" t="str">
        <x:v>C02</x:v>
      </x:c>
      <x:c r="B63" s="33" t="str">
        <x:v>YT - Arrozes especiais Bahia 02</x:v>
      </x:c>
      <x:c r="C63" s="33" t="str">
        <x:v>Gandu, Bahia, Brasil</x:v>
      </x:c>
      <x:c r="D63" s="38" t="n">
        <x:v>4195</x:v>
      </x:c>
      <x:c r="E63" s="38" t="n">
        <x:v>2395</x:v>
      </x:c>
      <x:c r="F63" s="39" t="n">
        <x:v>0.5709000000000001</x:v>
      </x:c>
      <x:c r="G63" s="40" t="n">
        <x:v>19.28</x:v>
      </x:c>
      <x:c r="H63" s="40" t="n">
        <x:v>4.6</x:v>
      </x:c>
      <x:c r="I63" s="32" t="n">
        <x:v>0</x:v>
      </x:c>
      <x:c r="J63" s="32" t="str">
        <x:v>1 de julho de 2026 - 13 de outubro de 2026</x:v>
      </x:c>
      <x:c r="K63" s="32" t="str">
        <x:v>F014</x:v>
      </x:c>
    </x:row>
    <x:row r="64" ht="24" customHeight="1">
      <x:c r="A64" s="32" t="str">
        <x:v>C02</x:v>
      </x:c>
      <x:c r="B64" s="33" t="str">
        <x:v>YT - Arrozes especiais Bahia 02</x:v>
      </x:c>
      <x:c r="C64" s="33" t="str">
        <x:v>15,0|mi|Ituberá, BA</x:v>
      </x:c>
      <x:c r="D64" s="38" t="n">
        <x:v>6</x:v>
      </x:c>
      <x:c r="E64" s="38" t="n">
        <x:v>1</x:v>
      </x:c>
      <x:c r="F64" s="39" t="n">
        <x:v>0.16670000000000001</x:v>
      </x:c>
      <x:c r="G64" s="40" t="n">
        <x:v>0.08</x:v>
      </x:c>
      <x:c r="H64" s="40" t="n">
        <x:v>13.33</x:v>
      </x:c>
      <x:c r="I64" s="32" t="n">
        <x:v>0</x:v>
      </x:c>
      <x:c r="J64" s="32" t="str">
        <x:v>1 de julho de 2026 - 13 de outubro de 2026</x:v>
      </x:c>
      <x:c r="K64" s="32" t="str">
        <x:v>F014</x:v>
      </x:c>
    </x:row>
    <x:row r="65" ht="24" customHeight="1">
      <x:c r="A65" s="32" t="str">
        <x:v>C02</x:v>
      </x:c>
      <x:c r="B65" s="33" t="str">
        <x:v>YT - Arrozes especiais Bahia 02</x:v>
      </x:c>
      <x:c r="C65" s="33" t="str">
        <x:v>Valença, Bahia, Brasil</x:v>
      </x:c>
      <x:c r="D65" s="38" t="n">
        <x:v>41157</x:v>
      </x:c>
      <x:c r="E65" s="38" t="n">
        <x:v>24079</x:v>
      </x:c>
      <x:c r="F65" s="39" t="n">
        <x:v>0.5851</x:v>
      </x:c>
      <x:c r="G65" s="40" t="n">
        <x:v>183.12</x:v>
      </x:c>
      <x:c r="H65" s="40" t="n">
        <x:v>4.45</x:v>
      </x:c>
      <x:c r="I65" s="32" t="n">
        <x:v>0</x:v>
      </x:c>
      <x:c r="J65" s="32" t="str">
        <x:v>1 de julho de 2026 - 13 de outubro de 2026</x:v>
      </x:c>
      <x:c r="K65" s="32" t="str">
        <x:v>F014</x:v>
      </x:c>
    </x:row>
    <x:row r="66" ht="24" customHeight="1">
      <x:c r="A66" s="32" t="str">
        <x:v>C02</x:v>
      </x:c>
      <x:c r="B66" s="33" t="str">
        <x:v>YT - Arrozes especiais Bahia 02</x:v>
      </x:c>
      <x:c r="C66" s="33" t="str">
        <x:v>15,0|mi|Una, BA</x:v>
      </x:c>
      <x:c r="D66" s="38" t="n">
        <x:v>4</x:v>
      </x:c>
      <x:c r="E66" s="38" t="n">
        <x:v>1</x:v>
      </x:c>
      <x:c r="F66" s="39" t="n">
        <x:v>0.25</x:v>
      </x:c>
      <x:c r="G66" s="40" t="n">
        <x:v>0.06</x:v>
      </x:c>
      <x:c r="H66" s="40" t="n">
        <x:v>14.69</x:v>
      </x:c>
      <x:c r="I66" s="32" t="n">
        <x:v>0</x:v>
      </x:c>
      <x:c r="J66" s="32" t="str">
        <x:v>1 de julho de 2026 - 13 de outubro de 2026</x:v>
      </x:c>
      <x:c r="K66" s="32" t="str">
        <x:v>F014</x:v>
      </x:c>
    </x:row>
    <x:row r="67" ht="24" customHeight="1">
      <x:c r="A67" s="32" t="str">
        <x:v>C02</x:v>
      </x:c>
      <x:c r="B67" s="33" t="str">
        <x:v>YT - Arrozes especiais Bahia 02</x:v>
      </x:c>
      <x:c r="C67" s="33" t="str">
        <x:v>15,0|mi|Ubaitaba, BA</x:v>
      </x:c>
      <x:c r="D67" s="38" t="n">
        <x:v>1</x:v>
      </x:c>
      <x:c r="E67" s="38" t="n">
        <x:v>0</x:v>
      </x:c>
      <x:c r="F67" s="39" t="n">
        <x:v>0</x:v>
      </x:c>
      <x:c r="G67" s="40" t="n">
        <x:v>0</x:v>
      </x:c>
      <x:c r="H67" s="40" t="n">
        <x:v>0</x:v>
      </x:c>
      <x:c r="I67" s="32" t="n">
        <x:v>0</x:v>
      </x:c>
      <x:c r="J67" s="32" t="str">
        <x:v>1 de julho de 2026 - 13 de outubro de 2026</x:v>
      </x:c>
      <x:c r="K67" s="32" t="str">
        <x:v>F014</x:v>
      </x:c>
    </x:row>
    <x:row r="68" ht="24" customHeight="1">
      <x:c r="A68" s="32" t="str">
        <x:v>C02</x:v>
      </x:c>
      <x:c r="B68" s="33" t="str">
        <x:v>YT - Arrozes especiais Bahia 02</x:v>
      </x:c>
      <x:c r="C68" s="33" t="str">
        <x:v>15,0|mi|Barra do Rocha, BA</x:v>
      </x:c>
      <x:c r="D68" s="38" t="n">
        <x:v>203</x:v>
      </x:c>
      <x:c r="E68" s="38" t="n">
        <x:v>51</x:v>
      </x:c>
      <x:c r="F68" s="39" t="n">
        <x:v>0.25120000000000003</x:v>
      </x:c>
      <x:c r="G68" s="40" t="n">
        <x:v>2.13</x:v>
      </x:c>
      <x:c r="H68" s="40" t="n">
        <x:v>10.49</x:v>
      </x:c>
      <x:c r="I68" s="32" t="n">
        <x:v>0</x:v>
      </x:c>
      <x:c r="J68" s="32" t="str">
        <x:v>1 de julho de 2026 - 13 de outubro de 2026</x:v>
      </x:c>
      <x:c r="K68" s="32" t="str">
        <x:v>F014</x:v>
      </x:c>
    </x:row>
    <x:row r="69" ht="24" customHeight="1">
      <x:c r="A69" s="32" t="str">
        <x:v>C02</x:v>
      </x:c>
      <x:c r="B69" s="33" t="str">
        <x:v>YT - Arrozes especiais Bahia 02</x:v>
      </x:c>
      <x:c r="C69" s="33" t="str">
        <x:v>15,0|mi|Igrapiúna, BA</x:v>
      </x:c>
      <x:c r="D69" s="38" t="n">
        <x:v>27</x:v>
      </x:c>
      <x:c r="E69" s="38" t="n">
        <x:v>3</x:v>
      </x:c>
      <x:c r="F69" s="39" t="n">
        <x:v>0.11109999999999999</x:v>
      </x:c>
      <x:c r="G69" s="40" t="n">
        <x:v>0.13</x:v>
      </x:c>
      <x:c r="H69" s="40" t="n">
        <x:v>4.88</x:v>
      </x:c>
      <x:c r="I69" s="32" t="n">
        <x:v>0</x:v>
      </x:c>
      <x:c r="J69" s="32" t="str">
        <x:v>1 de julho de 2026 - 13 de outubro de 2026</x:v>
      </x:c>
      <x:c r="K69" s="32" t="str">
        <x:v>F014</x:v>
      </x:c>
    </x:row>
    <x:row r="70" ht="24" customHeight="1">
      <x:c r="A70" s="32" t="str">
        <x:v>C02</x:v>
      </x:c>
      <x:c r="B70" s="33" t="str">
        <x:v>YT - Arrozes especiais Bahia 02</x:v>
      </x:c>
      <x:c r="C70" s="33" t="str">
        <x:v>15,0|mi|Jussari, BA</x:v>
      </x:c>
      <x:c r="D70" s="38" t="n">
        <x:v>55</x:v>
      </x:c>
      <x:c r="E70" s="38" t="n">
        <x:v>9</x:v>
      </x:c>
      <x:c r="F70" s="39" t="n">
        <x:v>0.1636</x:v>
      </x:c>
      <x:c r="G70" s="40" t="n">
        <x:v>0.28</x:v>
      </x:c>
      <x:c r="H70" s="40" t="n">
        <x:v>5.03</x:v>
      </x:c>
      <x:c r="I70" s="32" t="n">
        <x:v>0</x:v>
      </x:c>
      <x:c r="J70" s="32" t="str">
        <x:v>1 de julho de 2026 - 13 de outubro de 2026</x:v>
      </x:c>
      <x:c r="K70" s="32" t="str">
        <x:v>F014</x:v>
      </x:c>
    </x:row>
    <x:row r="71" ht="24" customHeight="1">
      <x:c r="A71" s="32" t="str">
        <x:v>C02</x:v>
      </x:c>
      <x:c r="B71" s="33" t="str">
        <x:v>YT - Arrozes especiais Bahia 02</x:v>
      </x:c>
      <x:c r="C71" s="33" t="str">
        <x:v>15,0|mi|Santa Luzia, BA</x:v>
      </x:c>
      <x:c r="D71" s="38" t="n">
        <x:v>42</x:v>
      </x:c>
      <x:c r="E71" s="38" t="n">
        <x:v>5</x:v>
      </x:c>
      <x:c r="F71" s="39" t="n">
        <x:v>0.11900000000000001</x:v>
      </x:c>
      <x:c r="G71" s="40" t="n">
        <x:v>0.19</x:v>
      </x:c>
      <x:c r="H71" s="40" t="n">
        <x:v>4.52</x:v>
      </x:c>
      <x:c r="I71" s="32" t="n">
        <x:v>0</x:v>
      </x:c>
      <x:c r="J71" s="32" t="str">
        <x:v>1 de julho de 2026 - 13 de outubro de 2026</x:v>
      </x:c>
      <x:c r="K71" s="32" t="str">
        <x:v>F014</x:v>
      </x:c>
    </x:row>
    <x:row r="72" ht="24" customHeight="1">
      <x:c r="A72" s="32" t="str">
        <x:v>C02</x:v>
      </x:c>
      <x:c r="B72" s="33" t="str">
        <x:v>YT - Arrozes especiais Bahia 02</x:v>
      </x:c>
      <x:c r="C72" s="33" t="str">
        <x:v>15,0|mi|Itapebi, BA</x:v>
      </x:c>
      <x:c r="D72" s="38" t="n">
        <x:v>821</x:v>
      </x:c>
      <x:c r="E72" s="38" t="n">
        <x:v>470</x:v>
      </x:c>
      <x:c r="F72" s="39" t="n">
        <x:v>0.5725</x:v>
      </x:c>
      <x:c r="G72" s="40" t="n">
        <x:v>3.51</x:v>
      </x:c>
      <x:c r="H72" s="40" t="n">
        <x:v>4.27</x:v>
      </x:c>
      <x:c r="I72" s="32" t="n">
        <x:v>0</x:v>
      </x:c>
      <x:c r="J72" s="32" t="str">
        <x:v>1 de julho de 2026 - 13 de outubro de 2026</x:v>
      </x:c>
      <x:c r="K72" s="32" t="str">
        <x:v>F014</x:v>
      </x:c>
    </x:row>
    <x:row r="73" ht="24" customHeight="1">
      <x:c r="A73" s="32" t="str">
        <x:v>C02</x:v>
      </x:c>
      <x:c r="B73" s="33" t="str">
        <x:v>YT - Arrozes especiais Bahia 02</x:v>
      </x:c>
      <x:c r="C73" s="33" t="str">
        <x:v>15,0|mi|São José da Vitória, BA</x:v>
      </x:c>
      <x:c r="D73" s="38" t="n">
        <x:v>3</x:v>
      </x:c>
      <x:c r="E73" s="38" t="n">
        <x:v>1</x:v>
      </x:c>
      <x:c r="F73" s="39" t="n">
        <x:v>0.3333</x:v>
      </x:c>
      <x:c r="G73" s="40" t="n">
        <x:v>0.01</x:v>
      </x:c>
      <x:c r="H73" s="40" t="n">
        <x:v>2.47</x:v>
      </x:c>
      <x:c r="I73" s="32" t="n">
        <x:v>0</x:v>
      </x:c>
      <x:c r="J73" s="32" t="str">
        <x:v>1 de julho de 2026 - 13 de outubro de 2026</x:v>
      </x:c>
      <x:c r="K73" s="32" t="str">
        <x:v>F014</x:v>
      </x:c>
    </x:row>
    <x:row r="74" ht="24" customHeight="1">
      <x:c r="A74" s="32" t="str">
        <x:v>C02</x:v>
      </x:c>
      <x:c r="B74" s="33" t="str">
        <x:v>YT - Arrozes especiais Bahia 02</x:v>
      </x:c>
      <x:c r="C74" s="33" t="str">
        <x:v>Ilhéus, Bahia, Brasil</x:v>
      </x:c>
      <x:c r="D74" s="38" t="n">
        <x:v>52139</x:v>
      </x:c>
      <x:c r="E74" s="38" t="n">
        <x:v>30047</x:v>
      </x:c>
      <x:c r="F74" s="39" t="n">
        <x:v>0.5763</x:v>
      </x:c>
      <x:c r="G74" s="40" t="n">
        <x:v>229.67</x:v>
      </x:c>
      <x:c r="H74" s="40" t="n">
        <x:v>4.41</x:v>
      </x:c>
      <x:c r="I74" s="32" t="n">
        <x:v>0</x:v>
      </x:c>
      <x:c r="J74" s="32" t="str">
        <x:v>1 de julho de 2026 - 13 de outubro de 2026</x:v>
      </x:c>
      <x:c r="K74" s="32" t="str">
        <x:v>F014</x:v>
      </x:c>
    </x:row>
    <x:row r="75" ht="24" customHeight="1">
      <x:c r="A75" s="32" t="str">
        <x:v>C02</x:v>
      </x:c>
      <x:c r="B75" s="33" t="str">
        <x:v>YT - Arrozes especiais Bahia 02</x:v>
      </x:c>
      <x:c r="C75" s="33" t="str">
        <x:v>15,0|mi|Cairu, BA</x:v>
      </x:c>
      <x:c r="D75" s="38" t="n">
        <x:v>395</x:v>
      </x:c>
      <x:c r="E75" s="38" t="n">
        <x:v>252</x:v>
      </x:c>
      <x:c r="F75" s="39" t="n">
        <x:v>0.638</x:v>
      </x:c>
      <x:c r="G75" s="40" t="n">
        <x:v>1.7</x:v>
      </x:c>
      <x:c r="H75" s="40" t="n">
        <x:v>4.3</x:v>
      </x:c>
      <x:c r="I75" s="32" t="n">
        <x:v>0</x:v>
      </x:c>
      <x:c r="J75" s="32" t="str">
        <x:v>1 de julho de 2026 - 13 de outubro de 2026</x:v>
      </x:c>
      <x:c r="K75" s="32" t="str">
        <x:v>F014</x:v>
      </x:c>
    </x:row>
    <x:row r="76" ht="24" customHeight="1">
      <x:c r="A76" s="32" t="str">
        <x:v>C02</x:v>
      </x:c>
      <x:c r="B76" s="33" t="str">
        <x:v>YT - Arrozes especiais Bahia 02</x:v>
      </x:c>
      <x:c r="C76" s="33" t="str">
        <x:v>15,0|mi|Camamu, BA</x:v>
      </x:c>
      <x:c r="D76" s="38" t="n">
        <x:v>44</x:v>
      </x:c>
      <x:c r="E76" s="38" t="n">
        <x:v>1</x:v>
      </x:c>
      <x:c r="F76" s="39" t="n">
        <x:v>0.0227</x:v>
      </x:c>
      <x:c r="G76" s="40" t="n">
        <x:v>0.07</x:v>
      </x:c>
      <x:c r="H76" s="40" t="n">
        <x:v>1.7</x:v>
      </x:c>
      <x:c r="I76" s="32" t="n">
        <x:v>0</x:v>
      </x:c>
      <x:c r="J76" s="32" t="str">
        <x:v>1 de julho de 2026 - 13 de outubro de 2026</x:v>
      </x:c>
      <x:c r="K76" s="32" t="str">
        <x:v>F014</x:v>
      </x:c>
    </x:row>
    <x:row r="77" ht="24" customHeight="1">
      <x:c r="A77" s="32" t="str">
        <x:v>C02</x:v>
      </x:c>
      <x:c r="B77" s="33" t="str">
        <x:v>YT - Arrozes especiais Bahia 02</x:v>
      </x:c>
      <x:c r="C77" s="33" t="str">
        <x:v>15,0|mi|Firmino Alves, BA</x:v>
      </x:c>
      <x:c r="D77" s="38" t="n">
        <x:v>232</x:v>
      </x:c>
      <x:c r="E77" s="38" t="n">
        <x:v>40</x:v>
      </x:c>
      <x:c r="F77" s="39" t="n">
        <x:v>0.1724</x:v>
      </x:c>
      <x:c r="G77" s="40" t="n">
        <x:v>1.25</x:v>
      </x:c>
      <x:c r="H77" s="40" t="n">
        <x:v>5.38</x:v>
      </x:c>
      <x:c r="I77" s="32" t="n">
        <x:v>0</x:v>
      </x:c>
      <x:c r="J77" s="32" t="str">
        <x:v>1 de julho de 2026 - 13 de outubro de 2026</x:v>
      </x:c>
      <x:c r="K77" s="32" t="str">
        <x:v>F014</x:v>
      </x:c>
    </x:row>
    <x:row r="78" ht="24" customHeight="1">
      <x:c r="A78" s="32" t="str">
        <x:v>C02</x:v>
      </x:c>
      <x:c r="B78" s="33" t="str">
        <x:v>YT - Arrozes especiais Bahia 02</x:v>
      </x:c>
      <x:c r="C78" s="33" t="str">
        <x:v>15,0|mi|Santa Cruz da Vitória, BA</x:v>
      </x:c>
      <x:c r="D78" s="38" t="n">
        <x:v>2</x:v>
      </x:c>
      <x:c r="E78" s="38" t="n">
        <x:v>1</x:v>
      </x:c>
      <x:c r="F78" s="39" t="n">
        <x:v>0.5</x:v>
      </x:c>
      <x:c r="G78" s="40" t="n">
        <x:v>0.01</x:v>
      </x:c>
      <x:c r="H78" s="40" t="n">
        <x:v>2.77</x:v>
      </x:c>
      <x:c r="I78" s="32" t="n">
        <x:v>0</x:v>
      </x:c>
      <x:c r="J78" s="32" t="str">
        <x:v>1 de julho de 2026 - 13 de outubro de 2026</x:v>
      </x:c>
      <x:c r="K78" s="32" t="str">
        <x:v>F014</x:v>
      </x:c>
    </x:row>
    <x:row r="79" ht="24" customHeight="1">
      <x:c r="A79" s="32" t="str">
        <x:v>C02</x:v>
      </x:c>
      <x:c r="B79" s="33" t="str">
        <x:v>YT - Arrozes especiais Bahia 02</x:v>
      </x:c>
      <x:c r="C79" s="33" t="str">
        <x:v>15,0|mi|Gongogi, BA</x:v>
      </x:c>
      <x:c r="D79" s="38" t="n">
        <x:v>0</x:v>
      </x:c>
      <x:c r="E79" s="38" t="n">
        <x:v>0</x:v>
      </x:c>
      <x:c r="F79" s="39"/>
      <x:c r="G79" s="40" t="n">
        <x:v>0</x:v>
      </x:c>
      <x:c r="H79" s="40" t="n">
        <x:v>0</x:v>
      </x:c>
      <x:c r="I79" s="32" t="n">
        <x:v>0</x:v>
      </x:c>
      <x:c r="J79" s="32" t="str">
        <x:v>1 de julho de 2026 - 13 de outubro de 2026</x:v>
      </x:c>
      <x:c r="K79" s="32" t="str">
        <x:v>F014</x:v>
      </x:c>
    </x:row>
    <x:row r="80" ht="24" customHeight="1">
      <x:c r="A80" s="32" t="str">
        <x:v>C02</x:v>
      </x:c>
      <x:c r="B80" s="33" t="str">
        <x:v>YT - Arrozes especiais Bahia 02</x:v>
      </x:c>
      <x:c r="C80" s="33" t="str">
        <x:v>15,0|mi|Pau Brasil, BA</x:v>
      </x:c>
      <x:c r="D80" s="38" t="n">
        <x:v>15</x:v>
      </x:c>
      <x:c r="E80" s="38" t="n">
        <x:v>1</x:v>
      </x:c>
      <x:c r="F80" s="39" t="n">
        <x:v>0.0667</x:v>
      </x:c>
      <x:c r="G80" s="40" t="n">
        <x:v>0.08</x:v>
      </x:c>
      <x:c r="H80" s="40" t="n">
        <x:v>5.11</x:v>
      </x:c>
      <x:c r="I80" s="32" t="n">
        <x:v>0</x:v>
      </x:c>
      <x:c r="J80" s="32" t="str">
        <x:v>1 de julho de 2026 - 13 de outubro de 2026</x:v>
      </x:c>
      <x:c r="K80" s="32" t="str">
        <x:v>F014</x:v>
      </x:c>
    </x:row>
    <x:row r="81" ht="24" customHeight="1">
      <x:c r="A81" s="32" t="str">
        <x:v>C02</x:v>
      </x:c>
      <x:c r="B81" s="33" t="str">
        <x:v>YT - Arrozes especiais Bahia 02</x:v>
      </x:c>
      <x:c r="C81" s="33" t="str">
        <x:v>15,0|mi|Mascote, BA</x:v>
      </x:c>
      <x:c r="D81" s="38" t="n">
        <x:v>75</x:v>
      </x:c>
      <x:c r="E81" s="38" t="n">
        <x:v>22</x:v>
      </x:c>
      <x:c r="F81" s="39" t="n">
        <x:v>0.2933</x:v>
      </x:c>
      <x:c r="G81" s="40" t="n">
        <x:v>0.82</x:v>
      </x:c>
      <x:c r="H81" s="40" t="n">
        <x:v>10.92</x:v>
      </x:c>
      <x:c r="I81" s="32" t="n">
        <x:v>0</x:v>
      </x:c>
      <x:c r="J81" s="32" t="str">
        <x:v>1 de julho de 2026 - 13 de outubro de 2026</x:v>
      </x:c>
      <x:c r="K81" s="32" t="str">
        <x:v>F014</x:v>
      </x:c>
    </x:row>
    <x:row r="82" ht="24" customHeight="1">
      <x:c r="A82" s="32" t="str">
        <x:v>C02</x:v>
      </x:c>
      <x:c r="B82" s="33" t="str">
        <x:v>YT - Arrozes especiais Bahia 02</x:v>
      </x:c>
      <x:c r="C82" s="33" t="str">
        <x:v>15,0|mi|Almadina, BA</x:v>
      </x:c>
      <x:c r="D82" s="38" t="n">
        <x:v>7</x:v>
      </x:c>
      <x:c r="E82" s="38" t="n">
        <x:v>3</x:v>
      </x:c>
      <x:c r="F82" s="39" t="n">
        <x:v>0.4286</x:v>
      </x:c>
      <x:c r="G82" s="40" t="n">
        <x:v>0.05</x:v>
      </x:c>
      <x:c r="H82" s="40" t="n">
        <x:v>6.69</x:v>
      </x:c>
      <x:c r="I82" s="32" t="n">
        <x:v>0</x:v>
      </x:c>
      <x:c r="J82" s="32" t="str">
        <x:v>1 de julho de 2026 - 13 de outubro de 2026</x:v>
      </x:c>
      <x:c r="K82" s="32" t="str">
        <x:v>F014</x:v>
      </x:c>
    </x:row>
    <x:row r="83" ht="24" customHeight="1">
      <x:c r="A83" s="32" t="str">
        <x:v>C02</x:v>
      </x:c>
      <x:c r="B83" s="33" t="str">
        <x:v>YT - Arrozes especiais Bahia 02</x:v>
      </x:c>
      <x:c r="C83" s="33" t="str">
        <x:v>15,0|mi|Ibirataia, BA</x:v>
      </x:c>
      <x:c r="D83" s="38" t="n">
        <x:v>15</x:v>
      </x:c>
      <x:c r="E83" s="38" t="n">
        <x:v>1</x:v>
      </x:c>
      <x:c r="F83" s="39" t="n">
        <x:v>0.0667</x:v>
      </x:c>
      <x:c r="G83" s="40" t="n">
        <x:v>0.03</x:v>
      </x:c>
      <x:c r="H83" s="40" t="n">
        <x:v>1.81</x:v>
      </x:c>
      <x:c r="I83" s="32" t="n">
        <x:v>0</x:v>
      </x:c>
      <x:c r="J83" s="32" t="str">
        <x:v>1 de julho de 2026 - 13 de outubro de 2026</x:v>
      </x:c>
      <x:c r="K83" s="32" t="str">
        <x:v>F014</x:v>
      </x:c>
    </x:row>
    <x:row r="84" ht="24" customHeight="1">
      <x:c r="A84" s="32" t="str">
        <x:v>C02</x:v>
      </x:c>
      <x:c r="B84" s="33" t="str">
        <x:v>YT - Arrozes especiais Bahia 02</x:v>
      </x:c>
      <x:c r="C84" s="33" t="str">
        <x:v>15,0|mi|Uruçuca, BA</x:v>
      </x:c>
      <x:c r="D84" s="38" t="n">
        <x:v>0</x:v>
      </x:c>
      <x:c r="E84" s="38" t="n">
        <x:v>0</x:v>
      </x:c>
      <x:c r="F84" s="39"/>
      <x:c r="G84" s="40" t="n">
        <x:v>0</x:v>
      </x:c>
      <x:c r="H84" s="40" t="n">
        <x:v>0</x:v>
      </x:c>
      <x:c r="I84" s="32" t="n">
        <x:v>0</x:v>
      </x:c>
      <x:c r="J84" s="32" t="str">
        <x:v>1 de julho de 2026 - 13 de outubro de 2026</x:v>
      </x:c>
      <x:c r="K84" s="32" t="str">
        <x:v>F014</x:v>
      </x:c>
    </x:row>
    <x:row r="85" ht="24" customHeight="1">
      <x:c r="A85" s="32" t="str">
        <x:v>C02</x:v>
      </x:c>
      <x:c r="B85" s="33" t="str">
        <x:v>YT - Arrozes especiais Bahia 02</x:v>
      </x:c>
      <x:c r="C85" s="33" t="str">
        <x:v>Ipiaú, Bahia, Brasil</x:v>
      </x:c>
      <x:c r="D85" s="38" t="n">
        <x:v>11781</x:v>
      </x:c>
      <x:c r="E85" s="38" t="n">
        <x:v>6841</x:v>
      </x:c>
      <x:c r="F85" s="39" t="n">
        <x:v>0.5807</x:v>
      </x:c>
      <x:c r="G85" s="40" t="n">
        <x:v>54.22</x:v>
      </x:c>
      <x:c r="H85" s="40" t="n">
        <x:v>4.6</x:v>
      </x:c>
      <x:c r="I85" s="32" t="n">
        <x:v>0</x:v>
      </x:c>
      <x:c r="J85" s="32" t="str">
        <x:v>1 de julho de 2026 - 13 de outubro de 2026</x:v>
      </x:c>
      <x:c r="K85" s="32" t="str">
        <x:v>F014</x:v>
      </x:c>
    </x:row>
    <x:row r="86" ht="24" customHeight="1">
      <x:c r="A86" s="32" t="str">
        <x:v>C02</x:v>
      </x:c>
      <x:c r="B86" s="33" t="str">
        <x:v>YT - Arrozes especiais Bahia 02</x:v>
      </x:c>
      <x:c r="C86" s="33" t="str">
        <x:v>15,0|mi|Nova Ibiá, BA</x:v>
      </x:c>
      <x:c r="D86" s="38" t="n">
        <x:v>2</x:v>
      </x:c>
      <x:c r="E86" s="38" t="n">
        <x:v>1</x:v>
      </x:c>
      <x:c r="F86" s="39" t="n">
        <x:v>0.5</x:v>
      </x:c>
      <x:c r="G86" s="40" t="n">
        <x:v>0.01</x:v>
      </x:c>
      <x:c r="H86" s="40" t="n">
        <x:v>5.29</x:v>
      </x:c>
      <x:c r="I86" s="32" t="n">
        <x:v>0</x:v>
      </x:c>
      <x:c r="J86" s="32" t="str">
        <x:v>1 de julho de 2026 - 13 de outubro de 2026</x:v>
      </x:c>
      <x:c r="K86" s="32" t="str">
        <x:v>F014</x:v>
      </x:c>
    </x:row>
    <x:row r="87" ht="24" customHeight="1">
      <x:c r="A87" s="32" t="str">
        <x:v>C02</x:v>
      </x:c>
      <x:c r="B87" s="33" t="str">
        <x:v>YT - Arrozes especiais Bahia 02</x:v>
      </x:c>
      <x:c r="C87" s="33" t="str">
        <x:v>15,0|mi|Ubatã, BA</x:v>
      </x:c>
      <x:c r="D87" s="38" t="n">
        <x:v>12</x:v>
      </x:c>
      <x:c r="E87" s="38" t="n">
        <x:v>0</x:v>
      </x:c>
      <x:c r="F87" s="39" t="n">
        <x:v>0</x:v>
      </x:c>
      <x:c r="G87" s="40" t="n">
        <x:v>0</x:v>
      </x:c>
      <x:c r="H87" s="40" t="n">
        <x:v>0</x:v>
      </x:c>
      <x:c r="I87" s="32" t="n">
        <x:v>0</x:v>
      </x:c>
      <x:c r="J87" s="32" t="str">
        <x:v>1 de julho de 2026 - 13 de outubro de 2026</x:v>
      </x:c>
      <x:c r="K87" s="32" t="str">
        <x:v>F014</x:v>
      </x:c>
    </x:row>
    <x:row r="88" ht="24" customHeight="1">
      <x:c r="A88" s="32" t="str">
        <x:v>C03</x:v>
      </x:c>
      <x:c r="B88" s="33" t="str">
        <x:v>YT - Arrozes especiais Bahia 03</x:v>
      </x:c>
      <x:c r="C88" s="33" t="str">
        <x:v>20,0|mi|Uruçuca, BA</x:v>
      </x:c>
      <x:c r="D88" s="38" t="n">
        <x:v>50752</x:v>
      </x:c>
      <x:c r="E88" s="38" t="n">
        <x:v>29426</x:v>
      </x:c>
      <x:c r="F88" s="39" t="n">
        <x:v>0.5798</x:v>
      </x:c>
      <x:c r="G88" s="40" t="n">
        <x:v>226.9</x:v>
      </x:c>
      <x:c r="H88" s="40" t="n">
        <x:v>4.47</x:v>
      </x:c>
      <x:c r="I88" s="32" t="n">
        <x:v>0</x:v>
      </x:c>
      <x:c r="J88" s="32" t="str">
        <x:v>1 de julho de 2026 - 13 de outubro de 2026</x:v>
      </x:c>
      <x:c r="K88" s="32" t="str">
        <x:v>F023</x:v>
      </x:c>
    </x:row>
    <x:row r="89" ht="24" customHeight="1">
      <x:c r="A89" s="32" t="str">
        <x:v>C03</x:v>
      </x:c>
      <x:c r="B89" s="33" t="str">
        <x:v>YT - Arrozes especiais Bahia 03</x:v>
      </x:c>
      <x:c r="C89" s="33" t="str">
        <x:v>15,0|km|Wenceslau Guimarães, BA</x:v>
      </x:c>
      <x:c r="D89" s="38" t="n">
        <x:v>2451</x:v>
      </x:c>
      <x:c r="E89" s="38" t="n">
        <x:v>1420</x:v>
      </x:c>
      <x:c r="F89" s="39" t="n">
        <x:v>0.5794</x:v>
      </x:c>
      <x:c r="G89" s="40" t="n">
        <x:v>11.35</x:v>
      </x:c>
      <x:c r="H89" s="40" t="n">
        <x:v>4.63</x:v>
      </x:c>
      <x:c r="I89" s="32" t="n">
        <x:v>0</x:v>
      </x:c>
      <x:c r="J89" s="32" t="str">
        <x:v>1 de julho de 2026 - 13 de outubro de 2026</x:v>
      </x:c>
      <x:c r="K89" s="32" t="str">
        <x:v>F023</x:v>
      </x:c>
    </x:row>
    <x:row r="90" ht="24" customHeight="1">
      <x:c r="A90" s="32" t="str">
        <x:v>C03</x:v>
      </x:c>
      <x:c r="B90" s="33" t="str">
        <x:v>YT - Arrozes especiais Bahia 03</x:v>
      </x:c>
      <x:c r="C90" s="33" t="str">
        <x:v>Prado, Bahia, Brasil</x:v>
      </x:c>
      <x:c r="D90" s="38" t="n">
        <x:v>3537</x:v>
      </x:c>
      <x:c r="E90" s="38" t="n">
        <x:v>2120</x:v>
      </x:c>
      <x:c r="F90" s="39" t="n">
        <x:v>0.5993999999999999</x:v>
      </x:c>
      <x:c r="G90" s="40" t="n">
        <x:v>15</x:v>
      </x:c>
      <x:c r="H90" s="40" t="n">
        <x:v>4.24</x:v>
      </x:c>
      <x:c r="I90" s="32" t="n">
        <x:v>0</x:v>
      </x:c>
      <x:c r="J90" s="32" t="str">
        <x:v>1 de julho de 2026 - 13 de outubro de 2026</x:v>
      </x:c>
      <x:c r="K90" s="32" t="str">
        <x:v>F023</x:v>
      </x:c>
    </x:row>
    <x:row r="91" ht="24" customHeight="1">
      <x:c r="A91" s="32" t="str">
        <x:v>C03</x:v>
      </x:c>
      <x:c r="B91" s="33" t="str">
        <x:v>YT - Arrozes especiais Bahia 03</x:v>
      </x:c>
      <x:c r="C91" s="33" t="str">
        <x:v>15,0|km|Medeiros Neto, BA</x:v>
      </x:c>
      <x:c r="D91" s="38" t="n">
        <x:v>35</x:v>
      </x:c>
      <x:c r="E91" s="38" t="n">
        <x:v>12</x:v>
      </x:c>
      <x:c r="F91" s="39" t="n">
        <x:v>0.3429</x:v>
      </x:c>
      <x:c r="G91" s="40" t="n">
        <x:v>0.12</x:v>
      </x:c>
      <x:c r="H91" s="40" t="n">
        <x:v>3.48</x:v>
      </x:c>
      <x:c r="I91" s="32" t="n">
        <x:v>0</x:v>
      </x:c>
      <x:c r="J91" s="32" t="str">
        <x:v>1 de julho de 2026 - 13 de outubro de 2026</x:v>
      </x:c>
      <x:c r="K91" s="32" t="str">
        <x:v>F023</x:v>
      </x:c>
    </x:row>
    <x:row r="92" ht="24" customHeight="1">
      <x:c r="A92" s="32" t="str">
        <x:v>C03</x:v>
      </x:c>
      <x:c r="B92" s="33" t="str">
        <x:v>YT - Arrozes especiais Bahia 03</x:v>
      </x:c>
      <x:c r="C92" s="33" t="str">
        <x:v>15,0|km|Ibirapuã, BA</x:v>
      </x:c>
      <x:c r="D92" s="38" t="n">
        <x:v>3</x:v>
      </x:c>
      <x:c r="E92" s="38" t="n">
        <x:v>0</x:v>
      </x:c>
      <x:c r="F92" s="39" t="n">
        <x:v>0</x:v>
      </x:c>
      <x:c r="G92" s="40" t="n">
        <x:v>0</x:v>
      </x:c>
      <x:c r="H92" s="40" t="n">
        <x:v>0</x:v>
      </x:c>
      <x:c r="I92" s="32" t="n">
        <x:v>0</x:v>
      </x:c>
      <x:c r="J92" s="32" t="str">
        <x:v>1 de julho de 2026 - 13 de outubro de 2026</x:v>
      </x:c>
      <x:c r="K92" s="32" t="str">
        <x:v>F023</x:v>
      </x:c>
    </x:row>
    <x:row r="93" ht="24" customHeight="1">
      <x:c r="A93" s="32" t="str">
        <x:v>C03</x:v>
      </x:c>
      <x:c r="B93" s="33" t="str">
        <x:v>YT - Arrozes especiais Bahia 03</x:v>
      </x:c>
      <x:c r="C93" s="33" t="str">
        <x:v>20,0|mi|Teolândia, BA</x:v>
      </x:c>
      <x:c r="D93" s="38" t="n">
        <x:v>4409</x:v>
      </x:c>
      <x:c r="E93" s="38" t="n">
        <x:v>2609</x:v>
      </x:c>
      <x:c r="F93" s="39" t="n">
        <x:v>0.5917</x:v>
      </x:c>
      <x:c r="G93" s="40" t="n">
        <x:v>20.72</x:v>
      </x:c>
      <x:c r="H93" s="40" t="n">
        <x:v>4.7</x:v>
      </x:c>
      <x:c r="I93" s="32" t="n">
        <x:v>0</x:v>
      </x:c>
      <x:c r="J93" s="32" t="str">
        <x:v>1 de julho de 2026 - 13 de outubro de 2026</x:v>
      </x:c>
      <x:c r="K93" s="32" t="str">
        <x:v>F023</x:v>
      </x:c>
    </x:row>
    <x:row r="94" ht="24" customHeight="1">
      <x:c r="A94" s="32" t="str">
        <x:v>C03</x:v>
      </x:c>
      <x:c r="B94" s="33" t="str">
        <x:v>YT - Arrozes especiais Bahia 03</x:v>
      </x:c>
      <x:c r="C94" s="33" t="str">
        <x:v>Itamaraju, Bahia, Brasil</x:v>
      </x:c>
      <x:c r="D94" s="38" t="n">
        <x:v>7558</x:v>
      </x:c>
      <x:c r="E94" s="38" t="n">
        <x:v>4270</x:v>
      </x:c>
      <x:c r="F94" s="39" t="n">
        <x:v>0.565</x:v>
      </x:c>
      <x:c r="G94" s="40" t="n">
        <x:v>32.84</x:v>
      </x:c>
      <x:c r="H94" s="40" t="n">
        <x:v>4.34</x:v>
      </x:c>
      <x:c r="I94" s="32" t="n">
        <x:v>0</x:v>
      </x:c>
      <x:c r="J94" s="32" t="str">
        <x:v>1 de julho de 2026 - 13 de outubro de 2026</x:v>
      </x:c>
      <x:c r="K94" s="32" t="str">
        <x:v>F023</x:v>
      </x:c>
    </x:row>
    <x:row r="95" ht="24" customHeight="1">
      <x:c r="A95" s="32" t="str">
        <x:v>C03</x:v>
      </x:c>
      <x:c r="B95" s="33" t="str">
        <x:v>YT - Arrozes especiais Bahia 03</x:v>
      </x:c>
      <x:c r="C95" s="33" t="str">
        <x:v>Eunápolis, Bahia, Brasil</x:v>
      </x:c>
      <x:c r="D95" s="38" t="n">
        <x:v>18193</x:v>
      </x:c>
      <x:c r="E95" s="38" t="n">
        <x:v>10540</x:v>
      </x:c>
      <x:c r="F95" s="39" t="n">
        <x:v>0.5793</x:v>
      </x:c>
      <x:c r="G95" s="40" t="n">
        <x:v>81.3</x:v>
      </x:c>
      <x:c r="H95" s="40" t="n">
        <x:v>4.47</x:v>
      </x:c>
      <x:c r="I95" s="32" t="n">
        <x:v>0</x:v>
      </x:c>
      <x:c r="J95" s="32" t="str">
        <x:v>1 de julho de 2026 - 13 de outubro de 2026</x:v>
      </x:c>
      <x:c r="K95" s="32" t="str">
        <x:v>F023</x:v>
      </x:c>
    </x:row>
    <x:row r="96" ht="24" customHeight="1">
      <x:c r="A96" s="32" t="str">
        <x:v>C03</x:v>
      </x:c>
      <x:c r="B96" s="33" t="str">
        <x:v>YT - Arrozes especiais Bahia 03</x:v>
      </x:c>
      <x:c r="C96" s="33" t="str">
        <x:v>Nova Viçosa, Bahia, Brasil</x:v>
      </x:c>
      <x:c r="D96" s="38" t="n">
        <x:v>9508</x:v>
      </x:c>
      <x:c r="E96" s="38" t="n">
        <x:v>5752</x:v>
      </x:c>
      <x:c r="F96" s="39" t="n">
        <x:v>0.605</x:v>
      </x:c>
      <x:c r="G96" s="40" t="n">
        <x:v>40.46</x:v>
      </x:c>
      <x:c r="H96" s="40" t="n">
        <x:v>4.26</x:v>
      </x:c>
      <x:c r="I96" s="32" t="n">
        <x:v>0</x:v>
      </x:c>
      <x:c r="J96" s="32" t="str">
        <x:v>1 de julho de 2026 - 13 de outubro de 2026</x:v>
      </x:c>
      <x:c r="K96" s="32" t="str">
        <x:v>F023</x:v>
      </x:c>
    </x:row>
    <x:row r="97" ht="24" customHeight="1">
      <x:c r="A97" s="32" t="str">
        <x:v>C03</x:v>
      </x:c>
      <x:c r="B97" s="33" t="str">
        <x:v>YT - Arrozes especiais Bahia 03</x:v>
      </x:c>
      <x:c r="C97" s="33" t="str">
        <x:v>20,0|mi|Ubaitaba, BA</x:v>
      </x:c>
      <x:c r="D97" s="38" t="n">
        <x:v>2414</x:v>
      </x:c>
      <x:c r="E97" s="38" t="n">
        <x:v>1315</x:v>
      </x:c>
      <x:c r="F97" s="39" t="n">
        <x:v>0.5447</x:v>
      </x:c>
      <x:c r="G97" s="40" t="n">
        <x:v>10.28</x:v>
      </x:c>
      <x:c r="H97" s="40" t="n">
        <x:v>4.26</x:v>
      </x:c>
      <x:c r="I97" s="32" t="n">
        <x:v>0</x:v>
      </x:c>
      <x:c r="J97" s="32" t="str">
        <x:v>1 de julho de 2026 - 13 de outubro de 2026</x:v>
      </x:c>
      <x:c r="K97" s="32" t="str">
        <x:v>F023</x:v>
      </x:c>
    </x:row>
    <x:row r="98" ht="24" customHeight="1">
      <x:c r="A98" s="32" t="str">
        <x:v>C03</x:v>
      </x:c>
      <x:c r="B98" s="33" t="str">
        <x:v>YT - Arrozes especiais Bahia 03</x:v>
      </x:c>
      <x:c r="C98" s="33" t="str">
        <x:v>Itabela, Bahia, Brasil</x:v>
      </x:c>
      <x:c r="D98" s="38" t="n">
        <x:v>1274</x:v>
      </x:c>
      <x:c r="E98" s="38" t="n">
        <x:v>729</x:v>
      </x:c>
      <x:c r="F98" s="39" t="n">
        <x:v>0.5722</x:v>
      </x:c>
      <x:c r="G98" s="40" t="n">
        <x:v>5.54</x:v>
      </x:c>
      <x:c r="H98" s="40" t="n">
        <x:v>4.35</x:v>
      </x:c>
      <x:c r="I98" s="32" t="n">
        <x:v>0</x:v>
      </x:c>
      <x:c r="J98" s="32" t="str">
        <x:v>1 de julho de 2026 - 13 de outubro de 2026</x:v>
      </x:c>
      <x:c r="K98" s="32" t="str">
        <x:v>F023</x:v>
      </x:c>
    </x:row>
    <x:row r="99" ht="24" customHeight="1">
      <x:c r="A99" s="32" t="str">
        <x:v>C03</x:v>
      </x:c>
      <x:c r="B99" s="33" t="str">
        <x:v>YT - Arrozes especiais Bahia 03</x:v>
      </x:c>
      <x:c r="C99" s="33" t="str">
        <x:v>20,0|mi|Ubatã, BA</x:v>
      </x:c>
      <x:c r="D99" s="38" t="n">
        <x:v>8844</x:v>
      </x:c>
      <x:c r="E99" s="38" t="n">
        <x:v>5056</x:v>
      </x:c>
      <x:c r="F99" s="39" t="n">
        <x:v>0.5717</x:v>
      </x:c>
      <x:c r="G99" s="40" t="n">
        <x:v>42.23</x:v>
      </x:c>
      <x:c r="H99" s="40" t="n">
        <x:v>4.78</x:v>
      </x:c>
      <x:c r="I99" s="32" t="n">
        <x:v>0</x:v>
      </x:c>
      <x:c r="J99" s="32" t="str">
        <x:v>1 de julho de 2026 - 13 de outubro de 2026</x:v>
      </x:c>
      <x:c r="K99" s="32" t="str">
        <x:v>F023</x:v>
      </x:c>
    </x:row>
    <x:row r="100" ht="24" customHeight="1">
      <x:c r="A100" s="32" t="str">
        <x:v>C03</x:v>
      </x:c>
      <x:c r="B100" s="33" t="str">
        <x:v>YT - Arrozes especiais Bahia 03</x:v>
      </x:c>
      <x:c r="C100" s="33" t="str">
        <x:v>15,0|km|Vereda, BA</x:v>
      </x:c>
      <x:c r="D100" s="38" t="n">
        <x:v>10</x:v>
      </x:c>
      <x:c r="E100" s="38" t="n">
        <x:v>5</x:v>
      </x:c>
      <x:c r="F100" s="39" t="n">
        <x:v>0.5</x:v>
      </x:c>
      <x:c r="G100" s="40" t="n">
        <x:v>0.12</x:v>
      </x:c>
      <x:c r="H100" s="40" t="n">
        <x:v>12.19</x:v>
      </x:c>
      <x:c r="I100" s="32" t="n">
        <x:v>0</x:v>
      </x:c>
      <x:c r="J100" s="32" t="str">
        <x:v>1 de julho de 2026 - 13 de outubro de 2026</x:v>
      </x:c>
      <x:c r="K100" s="32" t="str">
        <x:v>F023</x:v>
      </x:c>
    </x:row>
    <x:row r="101" ht="24" customHeight="1">
      <x:c r="A101" s="32" t="str">
        <x:v>C03</x:v>
      </x:c>
      <x:c r="B101" s="33" t="str">
        <x:v>YT - Arrozes especiais Bahia 03</x:v>
      </x:c>
      <x:c r="C101" s="33" t="str">
        <x:v>Teixeira de Freitas, Bahia, Brasil</x:v>
      </x:c>
      <x:c r="D101" s="38" t="n">
        <x:v>1167</x:v>
      </x:c>
      <x:c r="E101" s="38" t="n">
        <x:v>628</x:v>
      </x:c>
      <x:c r="F101" s="39" t="n">
        <x:v>0.5381</x:v>
      </x:c>
      <x:c r="G101" s="40" t="n">
        <x:v>4.98</x:v>
      </x:c>
      <x:c r="H101" s="40" t="n">
        <x:v>4.27</x:v>
      </x:c>
      <x:c r="I101" s="32" t="n">
        <x:v>0</x:v>
      </x:c>
      <x:c r="J101" s="32" t="str">
        <x:v>1 de julho de 2026 - 13 de outubro de 2026</x:v>
      </x:c>
      <x:c r="K101" s="32" t="str">
        <x:v>F023</x:v>
      </x:c>
    </x:row>
    <x:row r="102" ht="24" customHeight="1">
      <x:c r="A102" s="32" t="str">
        <x:v>C03</x:v>
      </x:c>
      <x:c r="B102" s="33" t="str">
        <x:v>YT - Arrozes especiais Bahia 03</x:v>
      </x:c>
      <x:c r="C102" s="33" t="str">
        <x:v>Itamaraju, Bahia, Brasil</x:v>
      </x:c>
      <x:c r="D102" s="38" t="n">
        <x:v>395</x:v>
      </x:c>
      <x:c r="E102" s="38" t="n">
        <x:v>188</x:v>
      </x:c>
      <x:c r="F102" s="39" t="n">
        <x:v>0.47590000000000005</x:v>
      </x:c>
      <x:c r="G102" s="40" t="n">
        <x:v>1.88</x:v>
      </x:c>
      <x:c r="H102" s="40" t="n">
        <x:v>4.75</x:v>
      </x:c>
      <x:c r="I102" s="32" t="n">
        <x:v>0</x:v>
      </x:c>
      <x:c r="J102" s="32" t="str">
        <x:v>1 de julho de 2026 - 13 de outubro de 2026</x:v>
      </x:c>
      <x:c r="K102" s="32" t="str">
        <x:v>F023</x:v>
      </x:c>
    </x:row>
    <x:row r="103" ht="24" customHeight="1">
      <x:c r="A103" s="32" t="str">
        <x:v>C03</x:v>
      </x:c>
      <x:c r="B103" s="33" t="str">
        <x:v>YT - Arrozes especiais Bahia 03</x:v>
      </x:c>
      <x:c r="C103" s="33" t="str">
        <x:v>15,0|km|Lajedão, BA</x:v>
      </x:c>
      <x:c r="D103" s="38" t="n">
        <x:v>2</x:v>
      </x:c>
      <x:c r="E103" s="38" t="n">
        <x:v>0</x:v>
      </x:c>
      <x:c r="F103" s="39" t="n">
        <x:v>0</x:v>
      </x:c>
      <x:c r="G103" s="40" t="n">
        <x:v>0</x:v>
      </x:c>
      <x:c r="H103" s="40" t="n">
        <x:v>0</x:v>
      </x:c>
      <x:c r="I103" s="32" t="n">
        <x:v>0</x:v>
      </x:c>
      <x:c r="J103" s="32" t="str">
        <x:v>1 de julho de 2026 - 13 de outubro de 2026</x:v>
      </x:c>
      <x:c r="K103" s="32" t="str">
        <x:v>F023</x:v>
      </x:c>
    </x:row>
    <x:row r="104" ht="24" customHeight="1">
      <x:c r="A104" s="32" t="str">
        <x:v>C03</x:v>
      </x:c>
      <x:c r="B104" s="33" t="str">
        <x:v>YT - Arrozes especiais Bahia 03</x:v>
      </x:c>
      <x:c r="C104" s="33" t="str">
        <x:v>15,0|km|Teixeira de Freitas, BA</x:v>
      </x:c>
      <x:c r="D104" s="38" t="n">
        <x:v>20309</x:v>
      </x:c>
      <x:c r="E104" s="38" t="n">
        <x:v>11599</x:v>
      </x:c>
      <x:c r="F104" s="39" t="n">
        <x:v>0.5710999999999999</x:v>
      </x:c>
      <x:c r="G104" s="40" t="n">
        <x:v>88.52</x:v>
      </x:c>
      <x:c r="H104" s="40" t="n">
        <x:v>4.36</x:v>
      </x:c>
      <x:c r="I104" s="32" t="n">
        <x:v>0</x:v>
      </x:c>
      <x:c r="J104" s="32" t="str">
        <x:v>1 de julho de 2026 - 13 de outubro de 2026</x:v>
      </x:c>
      <x:c r="K104" s="32" t="str">
        <x:v>F023</x:v>
      </x:c>
    </x:row>
    <x:row r="105" ht="24" customHeight="1">
      <x:c r="A105" s="32" t="str">
        <x:v>C03</x:v>
      </x:c>
      <x:c r="B105" s="33" t="str">
        <x:v>YT - Arrozes especiais Bahia 03</x:v>
      </x:c>
      <x:c r="C105" s="33" t="str">
        <x:v>15,0|km|Caravelas, BA</x:v>
      </x:c>
      <x:c r="D105" s="38" t="n">
        <x:v>16</x:v>
      </x:c>
      <x:c r="E105" s="38" t="n">
        <x:v>6</x:v>
      </x:c>
      <x:c r="F105" s="39" t="n">
        <x:v>0.375</x:v>
      </x:c>
      <x:c r="G105" s="40" t="n">
        <x:v>0.21</x:v>
      </x:c>
      <x:c r="H105" s="40" t="n">
        <x:v>13.05</x:v>
      </x:c>
      <x:c r="I105" s="32" t="n">
        <x:v>0</x:v>
      </x:c>
      <x:c r="J105" s="32" t="str">
        <x:v>1 de julho de 2026 - 13 de outubro de 2026</x:v>
      </x:c>
      <x:c r="K105" s="32" t="str">
        <x:v>F023</x:v>
      </x:c>
    </x:row>
    <x:row r="106" ht="24" customHeight="1">
      <x:c r="A106" s="32" t="str">
        <x:v>C03</x:v>
      </x:c>
      <x:c r="B106" s="33" t="str">
        <x:v>YT - Arrozes especiais Bahia 03</x:v>
      </x:c>
      <x:c r="C106" s="33" t="str">
        <x:v>20,0|km|São José da Vitória, BA</x:v>
      </x:c>
      <x:c r="D106" s="38" t="n">
        <x:v>2229</x:v>
      </x:c>
      <x:c r="E106" s="38" t="n">
        <x:v>1211</x:v>
      </x:c>
      <x:c r="F106" s="39" t="n">
        <x:v>0.5433</x:v>
      </x:c>
      <x:c r="G106" s="40" t="n">
        <x:v>9.53</x:v>
      </x:c>
      <x:c r="H106" s="40" t="n">
        <x:v>4.28</x:v>
      </x:c>
      <x:c r="I106" s="32" t="n">
        <x:v>0</x:v>
      </x:c>
      <x:c r="J106" s="32" t="str">
        <x:v>1 de julho de 2026 - 13 de outubro de 2026</x:v>
      </x:c>
      <x:c r="K106" s="32" t="str">
        <x:v>F023</x:v>
      </x:c>
    </x:row>
    <x:row r="107" ht="24" customHeight="1">
      <x:c r="A107" s="32" t="str">
        <x:v>C03</x:v>
      </x:c>
      <x:c r="B107" s="33" t="str">
        <x:v>YT - Arrozes especiais Bahia 03</x:v>
      </x:c>
      <x:c r="C107" s="33" t="str">
        <x:v>15,0|km|Itabela, BA</x:v>
      </x:c>
      <x:c r="D107" s="38" t="n">
        <x:v>113</x:v>
      </x:c>
      <x:c r="E107" s="38" t="n">
        <x:v>43</x:v>
      </x:c>
      <x:c r="F107" s="39" t="n">
        <x:v>0.38049999999999995</x:v>
      </x:c>
      <x:c r="G107" s="40" t="n">
        <x:v>0.98</x:v>
      </x:c>
      <x:c r="H107" s="40" t="n">
        <x:v>8.65</x:v>
      </x:c>
      <x:c r="I107" s="32" t="n">
        <x:v>0</x:v>
      </x:c>
      <x:c r="J107" s="32" t="str">
        <x:v>1 de julho de 2026 - 13 de outubro de 2026</x:v>
      </x:c>
      <x:c r="K107" s="32" t="str">
        <x:v>F023</x:v>
      </x:c>
    </x:row>
    <x:row r="108" ht="24" customHeight="1">
      <x:c r="A108" s="32" t="str">
        <x:v>C03</x:v>
      </x:c>
      <x:c r="B108" s="33" t="str">
        <x:v>YT - Arrozes especiais Bahia 03</x:v>
      </x:c>
      <x:c r="C108" s="33" t="str">
        <x:v>15,0|km|Santa Cruz Cabrália, BA</x:v>
      </x:c>
      <x:c r="D108" s="38" t="n">
        <x:v>6624</x:v>
      </x:c>
      <x:c r="E108" s="38" t="n">
        <x:v>3883</x:v>
      </x:c>
      <x:c r="F108" s="39" t="n">
        <x:v>0.5861999999999999</x:v>
      </x:c>
      <x:c r="G108" s="40" t="n">
        <x:v>30.5</x:v>
      </x:c>
      <x:c r="H108" s="40" t="n">
        <x:v>4.6</x:v>
      </x:c>
      <x:c r="I108" s="32" t="n">
        <x:v>0</x:v>
      </x:c>
      <x:c r="J108" s="32" t="str">
        <x:v>1 de julho de 2026 - 13 de outubro de 2026</x:v>
      </x:c>
      <x:c r="K108" s="32" t="str">
        <x:v>F023</x:v>
      </x:c>
    </x:row>
    <x:row r="109" ht="24" customHeight="1">
      <x:c r="A109" s="32" t="str">
        <x:v>C03</x:v>
      </x:c>
      <x:c r="B109" s="33" t="str">
        <x:v>YT - Arrozes especiais Bahia 03</x:v>
      </x:c>
      <x:c r="C109" s="33" t="str">
        <x:v>15,0|km|Alcobaça, BA</x:v>
      </x:c>
      <x:c r="D109" s="38" t="n">
        <x:v>21</x:v>
      </x:c>
      <x:c r="E109" s="38" t="n">
        <x:v>2</x:v>
      </x:c>
      <x:c r="F109" s="39" t="n">
        <x:v>0.09519999999999999</x:v>
      </x:c>
      <x:c r="G109" s="40" t="n">
        <x:v>0.05</x:v>
      </x:c>
      <x:c r="H109" s="40" t="n">
        <x:v>2.36</x:v>
      </x:c>
      <x:c r="I109" s="32" t="n">
        <x:v>0</x:v>
      </x:c>
      <x:c r="J109" s="32" t="str">
        <x:v>1 de julho de 2026 - 13 de outubro de 2026</x:v>
      </x:c>
      <x:c r="K109" s="32" t="str">
        <x:v>F023</x:v>
      </x:c>
    </x:row>
    <x:row r="110" ht="24" customHeight="1">
      <x:c r="A110" s="32" t="str">
        <x:v>C03</x:v>
      </x:c>
      <x:c r="B110" s="33" t="str">
        <x:v>YT - Arrozes especiais Bahia 03</x:v>
      </x:c>
      <x:c r="C110" s="33" t="str">
        <x:v>20,0|mi|Una, BA</x:v>
      </x:c>
      <x:c r="D110" s="38" t="n">
        <x:v>60</x:v>
      </x:c>
      <x:c r="E110" s="38" t="n">
        <x:v>10</x:v>
      </x:c>
      <x:c r="F110" s="39" t="n">
        <x:v>0.16670000000000001</x:v>
      </x:c>
      <x:c r="G110" s="40" t="n">
        <x:v>0.31</x:v>
      </x:c>
      <x:c r="H110" s="40" t="n">
        <x:v>5.22</x:v>
      </x:c>
      <x:c r="I110" s="32" t="n">
        <x:v>0</x:v>
      </x:c>
      <x:c r="J110" s="32" t="str">
        <x:v>1 de julho de 2026 - 13 de outubro de 2026</x:v>
      </x:c>
      <x:c r="K110" s="32" t="str">
        <x:v>F023</x:v>
      </x:c>
    </x:row>
    <x:row r="111" ht="24" customHeight="1">
      <x:c r="A111" s="32" t="str">
        <x:v>C03</x:v>
      </x:c>
      <x:c r="B111" s="33" t="str">
        <x:v>YT - Arrozes especiais Bahia 03</x:v>
      </x:c>
      <x:c r="C111" s="33" t="str">
        <x:v>15,0|km|Itanhém, BA</x:v>
      </x:c>
      <x:c r="D111" s="38" t="n">
        <x:v>27</x:v>
      </x:c>
      <x:c r="E111" s="38" t="n">
        <x:v>4</x:v>
      </x:c>
      <x:c r="F111" s="39" t="n">
        <x:v>0.1481</x:v>
      </x:c>
      <x:c r="G111" s="40" t="n">
        <x:v>0.1</x:v>
      </x:c>
      <x:c r="H111" s="40" t="n">
        <x:v>3.69</x:v>
      </x:c>
      <x:c r="I111" s="32" t="n">
        <x:v>0</x:v>
      </x:c>
      <x:c r="J111" s="32" t="str">
        <x:v>1 de julho de 2026 - 13 de outubro de 2026</x:v>
      </x:c>
      <x:c r="K111" s="32" t="str">
        <x:v>F023</x:v>
      </x:c>
    </x:row>
    <x:row r="112" ht="24" customHeight="1">
      <x:c r="A112" s="32" t="str">
        <x:v>C03</x:v>
      </x:c>
      <x:c r="B112" s="33" t="str">
        <x:v>YT - Arrozes especiais Bahia 03</x:v>
      </x:c>
      <x:c r="C112" s="33" t="str">
        <x:v>15,0|km|Mucuri, BA</x:v>
      </x:c>
      <x:c r="D112" s="38" t="n">
        <x:v>11</x:v>
      </x:c>
      <x:c r="E112" s="38" t="n">
        <x:v>7</x:v>
      </x:c>
      <x:c r="F112" s="39" t="n">
        <x:v>0.6364</x:v>
      </x:c>
      <x:c r="G112" s="40" t="n">
        <x:v>0.31</x:v>
      </x:c>
      <x:c r="H112" s="40" t="n">
        <x:v>28.08</x:v>
      </x:c>
      <x:c r="I112" s="32" t="n">
        <x:v>0</x:v>
      </x:c>
      <x:c r="J112" s="32" t="str">
        <x:v>1 de julho de 2026 - 13 de outubro de 2026</x:v>
      </x:c>
      <x:c r="K112" s="32" t="str">
        <x:v>F023</x:v>
      </x:c>
    </x:row>
    <x:row r="113" ht="24" customHeight="1">
      <x:c r="A113" s="32" t="str">
        <x:v>C03</x:v>
      </x:c>
      <x:c r="B113" s="33" t="str">
        <x:v>YT - Arrozes especiais Bahia 03</x:v>
      </x:c>
      <x:c r="C113" s="33" t="str">
        <x:v>15,0|km|Jucuruçu, BA</x:v>
      </x:c>
      <x:c r="D113" s="38" t="n">
        <x:v>9</x:v>
      </x:c>
      <x:c r="E113" s="38" t="n">
        <x:v>3</x:v>
      </x:c>
      <x:c r="F113" s="39" t="n">
        <x:v>0.3333</x:v>
      </x:c>
      <x:c r="G113" s="40" t="n">
        <x:v>0.03</x:v>
      </x:c>
      <x:c r="H113" s="40" t="n">
        <x:v>3.87</x:v>
      </x:c>
      <x:c r="I113" s="32" t="n">
        <x:v>0</x:v>
      </x:c>
      <x:c r="J113" s="32" t="str">
        <x:v>1 de julho de 2026 - 13 de outubro de 2026</x:v>
      </x:c>
      <x:c r="K113" s="32" t="str">
        <x:v>F023</x:v>
      </x:c>
    </x:row>
    <x:row r="114" ht="24" customHeight="1">
      <x:c r="A114" s="32" t="str">
        <x:v>C03</x:v>
      </x:c>
      <x:c r="B114" s="33" t="str">
        <x:v>YT - Arrozes especiais Bahia 03</x:v>
      </x:c>
      <x:c r="C114" s="33" t="str">
        <x:v>15,0|km|Itagimirim, BA</x:v>
      </x:c>
      <x:c r="D114" s="38" t="n">
        <x:v>577</x:v>
      </x:c>
      <x:c r="E114" s="38" t="n">
        <x:v>340</x:v>
      </x:c>
      <x:c r="F114" s="39" t="n">
        <x:v>0.5893</x:v>
      </x:c>
      <x:c r="G114" s="40" t="n">
        <x:v>2.58</x:v>
      </x:c>
      <x:c r="H114" s="40" t="n">
        <x:v>4.47</x:v>
      </x:c>
      <x:c r="I114" s="32" t="n">
        <x:v>0</x:v>
      </x:c>
      <x:c r="J114" s="32" t="str">
        <x:v>1 de julho de 2026 - 13 de outubro de 2026</x:v>
      </x:c>
      <x:c r="K114" s="32" t="str">
        <x:v>F023</x:v>
      </x:c>
    </x:row>
    <x:row r="115" ht="24" customHeight="1">
      <x:c r="A115" s="32" t="str">
        <x:v>C03</x:v>
      </x:c>
      <x:c r="B115" s="33" t="str">
        <x:v>YT - Arrozes especiais Bahia 03</x:v>
      </x:c>
      <x:c r="C115" s="33" t="str">
        <x:v>Porto Seguro, Bahia, Brasil</x:v>
      </x:c>
      <x:c r="D115" s="38" t="n">
        <x:v>32095</x:v>
      </x:c>
      <x:c r="E115" s="38" t="n">
        <x:v>19577</x:v>
      </x:c>
      <x:c r="F115" s="39" t="n">
        <x:v>0.61</x:v>
      </x:c>
      <x:c r="G115" s="40" t="n">
        <x:v>139.1</x:v>
      </x:c>
      <x:c r="H115" s="40" t="n">
        <x:v>4.33</x:v>
      </x:c>
      <x:c r="I115" s="32" t="n">
        <x:v>0</x:v>
      </x:c>
      <x:c r="J115" s="32" t="str">
        <x:v>1 de julho de 2026 - 13 de outubro de 2026</x:v>
      </x:c>
      <x:c r="K115" s="32" t="str">
        <x:v>F023</x:v>
      </x:c>
    </x:row>
    <x:row r="116" ht="24" customHeight="1">
      <x:c r="A116" s="32" t="str">
        <x:v>C04</x:v>
      </x:c>
      <x:c r="B116" s="33" t="str">
        <x:v>Remarketing Caçarola</x:v>
      </x:c>
      <x:c r="C116" s="33" t="str">
        <x:v>15,0|km|Terra Nova, BA</x:v>
      </x:c>
      <x:c r="D116" s="38" t="n">
        <x:v>14</x:v>
      </x:c>
      <x:c r="E116" s="38" t="n">
        <x:v>4</x:v>
      </x:c>
      <x:c r="F116" s="39" t="n">
        <x:v>0.2857</x:v>
      </x:c>
      <x:c r="G116" s="40" t="n">
        <x:v>0.03</x:v>
      </x:c>
      <x:c r="H116" s="40" t="n">
        <x:v>1.92</x:v>
      </x:c>
      <x:c r="I116" s="32" t="n">
        <x:v>0</x:v>
      </x:c>
      <x:c r="J116" s="32" t="str">
        <x:v>27 de agosto de 2026 - 14 de outubro de 2026</x:v>
      </x:c>
      <x:c r="K116" s="32" t="str">
        <x:v>F038</x:v>
      </x:c>
    </x:row>
    <x:row r="117" ht="24" customHeight="1">
      <x:c r="A117" s="32" t="str">
        <x:v>C04</x:v>
      </x:c>
      <x:c r="B117" s="33" t="str">
        <x:v>Remarketing Caçarola</x:v>
      </x:c>
      <x:c r="C117" s="33" t="str">
        <x:v>15,0|km|Rua Cidade de Nazaré - Maraú, Bahia</x:v>
      </x:c>
      <x:c r="D117" s="38" t="n">
        <x:v>38</x:v>
      </x:c>
      <x:c r="E117" s="38" t="n">
        <x:v>12</x:v>
      </x:c>
      <x:c r="F117" s="39" t="n">
        <x:v>0.31579999999999997</x:v>
      </x:c>
      <x:c r="G117" s="40" t="n">
        <x:v>0.14</x:v>
      </x:c>
      <x:c r="H117" s="40" t="n">
        <x:v>3.74</x:v>
      </x:c>
      <x:c r="I117" s="32" t="n">
        <x:v>0</x:v>
      </x:c>
      <x:c r="J117" s="32" t="str">
        <x:v>27 de agosto de 2026 - 14 de outubro de 2026</x:v>
      </x:c>
      <x:c r="K117" s="32" t="str">
        <x:v>F038</x:v>
      </x:c>
    </x:row>
    <x:row r="118" ht="24" customHeight="1">
      <x:c r="A118" s="32" t="str">
        <x:v>C04</x:v>
      </x:c>
      <x:c r="B118" s="33" t="str">
        <x:v>Remarketing Caçarola</x:v>
      </x:c>
      <x:c r="C118" s="33" t="str">
        <x:v>15,0|km|Santo Amaro, BA</x:v>
      </x:c>
      <x:c r="D118" s="38" t="n">
        <x:v>393</x:v>
      </x:c>
      <x:c r="E118" s="38" t="n">
        <x:v>215</x:v>
      </x:c>
      <x:c r="F118" s="39" t="n">
        <x:v>0.5471</x:v>
      </x:c>
      <x:c r="G118" s="40" t="n">
        <x:v>3.74</x:v>
      </x:c>
      <x:c r="H118" s="40" t="n">
        <x:v>9.51</x:v>
      </x:c>
      <x:c r="I118" s="32" t="n">
        <x:v>0</x:v>
      </x:c>
      <x:c r="J118" s="32" t="str">
        <x:v>27 de agosto de 2026 - 14 de outubro de 2026</x:v>
      </x:c>
      <x:c r="K118" s="32" t="str">
        <x:v>F038</x:v>
      </x:c>
    </x:row>
    <x:row r="119" ht="24" customHeight="1">
      <x:c r="A119" s="32" t="str">
        <x:v>C04</x:v>
      </x:c>
      <x:c r="B119" s="33" t="str">
        <x:v>Remarketing Caçarola</x:v>
      </x:c>
      <x:c r="C119" s="33" t="str">
        <x:v>15,0|km|Dom Macedo Costa, BA</x:v>
      </x:c>
      <x:c r="D119" s="38" t="n">
        <x:v>854</x:v>
      </x:c>
      <x:c r="E119" s="38" t="n">
        <x:v>428</x:v>
      </x:c>
      <x:c r="F119" s="39" t="n">
        <x:v>0.5012</x:v>
      </x:c>
      <x:c r="G119" s="40" t="n">
        <x:v>5.86</x:v>
      </x:c>
      <x:c r="H119" s="40" t="n">
        <x:v>6.86</x:v>
      </x:c>
      <x:c r="I119" s="32" t="n">
        <x:v>0</x:v>
      </x:c>
      <x:c r="J119" s="32" t="str">
        <x:v>27 de agosto de 2026 - 14 de outubro de 2026</x:v>
      </x:c>
      <x:c r="K119" s="32" t="str">
        <x:v>F038</x:v>
      </x:c>
    </x:row>
    <x:row r="120" ht="24" customHeight="1">
      <x:c r="A120" s="32" t="str">
        <x:v>C04</x:v>
      </x:c>
      <x:c r="B120" s="33" t="str">
        <x:v>Remarketing Caçarola</x:v>
      </x:c>
      <x:c r="C120" s="33" t="str">
        <x:v>15,0|km|Simões Filho, BA</x:v>
      </x:c>
      <x:c r="D120" s="38" t="n">
        <x:v>625</x:v>
      </x:c>
      <x:c r="E120" s="38" t="n">
        <x:v>330</x:v>
      </x:c>
      <x:c r="F120" s="39" t="n">
        <x:v>0.528</x:v>
      </x:c>
      <x:c r="G120" s="40" t="n">
        <x:v>5.43</x:v>
      </x:c>
      <x:c r="H120" s="40" t="n">
        <x:v>8.69</x:v>
      </x:c>
      <x:c r="I120" s="32" t="n">
        <x:v>0</x:v>
      </x:c>
      <x:c r="J120" s="32" t="str">
        <x:v>27 de agosto de 2026 - 14 de outubro de 2026</x:v>
      </x:c>
      <x:c r="K120" s="32" t="str">
        <x:v>F038</x:v>
      </x:c>
    </x:row>
    <x:row r="121" ht="24" customHeight="1">
      <x:c r="A121" s="32" t="str">
        <x:v>C04</x:v>
      </x:c>
      <x:c r="B121" s="33" t="str">
        <x:v>Remarketing Caçarola</x:v>
      </x:c>
      <x:c r="C121" s="33" t="str">
        <x:v>15,0|km|Governador Mangabeira, BA</x:v>
      </x:c>
      <x:c r="D121" s="38" t="n">
        <x:v>55</x:v>
      </x:c>
      <x:c r="E121" s="38" t="n">
        <x:v>13</x:v>
      </x:c>
      <x:c r="F121" s="39" t="n">
        <x:v>0.2364</x:v>
      </x:c>
      <x:c r="G121" s="40" t="n">
        <x:v>0.19</x:v>
      </x:c>
      <x:c r="H121" s="40" t="n">
        <x:v>3.43</x:v>
      </x:c>
      <x:c r="I121" s="32" t="n">
        <x:v>0</x:v>
      </x:c>
      <x:c r="J121" s="32" t="str">
        <x:v>27 de agosto de 2026 - 14 de outubro de 2026</x:v>
      </x:c>
      <x:c r="K121" s="32" t="str">
        <x:v>F038</x:v>
      </x:c>
    </x:row>
    <x:row r="122" ht="24" customHeight="1">
      <x:c r="A122" s="32" t="str">
        <x:v>C04</x:v>
      </x:c>
      <x:c r="B122" s="33" t="str">
        <x:v>Remarketing Caçarola</x:v>
      </x:c>
      <x:c r="C122" s="33" t="str">
        <x:v>15,0|km|Pojuca, BA</x:v>
      </x:c>
      <x:c r="D122" s="38" t="n">
        <x:v>390</x:v>
      </x:c>
      <x:c r="E122" s="38" t="n">
        <x:v>206</x:v>
      </x:c>
      <x:c r="F122" s="39" t="n">
        <x:v>0.5282</x:v>
      </x:c>
      <x:c r="G122" s="40" t="n">
        <x:v>4.65</x:v>
      </x:c>
      <x:c r="H122" s="40" t="n">
        <x:v>11.92</x:v>
      </x:c>
      <x:c r="I122" s="32" t="n">
        <x:v>0</x:v>
      </x:c>
      <x:c r="J122" s="32" t="str">
        <x:v>27 de agosto de 2026 - 14 de outubro de 2026</x:v>
      </x:c>
      <x:c r="K122" s="32" t="str">
        <x:v>F038</x:v>
      </x:c>
    </x:row>
    <x:row r="123" ht="24" customHeight="1">
      <x:c r="A123" s="32" t="str">
        <x:v>C04</x:v>
      </x:c>
      <x:c r="B123" s="33" t="str">
        <x:v>Remarketing Caçarola</x:v>
      </x:c>
      <x:c r="C123" s="33" t="str">
        <x:v>15,0|km|Candeias, BA</x:v>
      </x:c>
      <x:c r="D123" s="38" t="n">
        <x:v>550</x:v>
      </x:c>
      <x:c r="E123" s="38" t="n">
        <x:v>313</x:v>
      </x:c>
      <x:c r="F123" s="39" t="n">
        <x:v>0.5690999999999999</x:v>
      </x:c>
      <x:c r="G123" s="40" t="n">
        <x:v>7.31</x:v>
      </x:c>
      <x:c r="H123" s="40" t="n">
        <x:v>13.28</x:v>
      </x:c>
      <x:c r="I123" s="32" t="n">
        <x:v>0</x:v>
      </x:c>
      <x:c r="J123" s="32" t="str">
        <x:v>27 de agosto de 2026 - 14 de outubro de 2026</x:v>
      </x:c>
      <x:c r="K123" s="32" t="str">
        <x:v>F038</x:v>
      </x:c>
    </x:row>
    <x:row r="124" ht="24" customHeight="1">
      <x:c r="A124" s="32" t="str">
        <x:v>C04</x:v>
      </x:c>
      <x:c r="B124" s="33" t="str">
        <x:v>Remarketing Caçarola</x:v>
      </x:c>
      <x:c r="C124" s="33" t="str">
        <x:v>15,0|km|Varzedo, BA</x:v>
      </x:c>
      <x:c r="D124" s="38" t="n">
        <x:v>50</x:v>
      </x:c>
      <x:c r="E124" s="38" t="n">
        <x:v>22</x:v>
      </x:c>
      <x:c r="F124" s="39" t="n">
        <x:v>0.44</x:v>
      </x:c>
      <x:c r="G124" s="40" t="n">
        <x:v>0.18</x:v>
      </x:c>
      <x:c r="H124" s="40" t="n">
        <x:v>3.52</x:v>
      </x:c>
      <x:c r="I124" s="32" t="n">
        <x:v>0</x:v>
      </x:c>
      <x:c r="J124" s="32" t="str">
        <x:v>27 de agosto de 2026 - 14 de outubro de 2026</x:v>
      </x:c>
      <x:c r="K124" s="32" t="str">
        <x:v>F038</x:v>
      </x:c>
    </x:row>
    <x:row r="125" ht="24" customHeight="1">
      <x:c r="A125" s="32" t="str">
        <x:v>C04</x:v>
      </x:c>
      <x:c r="B125" s="33" t="str">
        <x:v>Remarketing Caçarola</x:v>
      </x:c>
      <x:c r="C125" s="33" t="str">
        <x:v>15,0|km|Cruz das Almas, Bahia</x:v>
      </x:c>
      <x:c r="D125" s="38" t="n">
        <x:v>618</x:v>
      </x:c>
      <x:c r="E125" s="38" t="n">
        <x:v>307</x:v>
      </x:c>
      <x:c r="F125" s="39" t="n">
        <x:v>0.4968</x:v>
      </x:c>
      <x:c r="G125" s="40" t="n">
        <x:v>7.25</x:v>
      </x:c>
      <x:c r="H125" s="40" t="n">
        <x:v>11.73</x:v>
      </x:c>
      <x:c r="I125" s="32" t="n">
        <x:v>0</x:v>
      </x:c>
      <x:c r="J125" s="32" t="str">
        <x:v>27 de agosto de 2026 - 14 de outubro de 2026</x:v>
      </x:c>
      <x:c r="K125" s="32" t="str">
        <x:v>F038</x:v>
      </x:c>
    </x:row>
    <x:row r="126" ht="24" customHeight="1">
      <x:c r="A126" s="32" t="str">
        <x:v>C04</x:v>
      </x:c>
      <x:c r="B126" s="33" t="str">
        <x:v>Remarketing Caçarola</x:v>
      </x:c>
      <x:c r="C126" s="33" t="str">
        <x:v>15,0|km|Dias d'Ávila, Bahia</x:v>
      </x:c>
      <x:c r="D126" s="38" t="n">
        <x:v>1862</x:v>
      </x:c>
      <x:c r="E126" s="38" t="n">
        <x:v>990</x:v>
      </x:c>
      <x:c r="F126" s="39" t="n">
        <x:v>0.5317000000000001</x:v>
      </x:c>
      <x:c r="G126" s="40" t="n">
        <x:v>17.35</x:v>
      </x:c>
      <x:c r="H126" s="40" t="n">
        <x:v>9.32</x:v>
      </x:c>
      <x:c r="I126" s="32" t="n">
        <x:v>0</x:v>
      </x:c>
      <x:c r="J126" s="32" t="str">
        <x:v>27 de agosto de 2026 - 14 de outubro de 2026</x:v>
      </x:c>
      <x:c r="K126" s="32" t="str">
        <x:v>F038</x:v>
      </x:c>
    </x:row>
    <x:row r="127" ht="24" customHeight="1">
      <x:c r="A127" s="32" t="str">
        <x:v>C04</x:v>
      </x:c>
      <x:c r="B127" s="33" t="str">
        <x:v>Remarketing Caçarola</x:v>
      </x:c>
      <x:c r="C127" s="33" t="str">
        <x:v>15,0|km|Castro Alves, BA</x:v>
      </x:c>
      <x:c r="D127" s="38" t="n">
        <x:v>91</x:v>
      </x:c>
      <x:c r="E127" s="38" t="n">
        <x:v>15</x:v>
      </x:c>
      <x:c r="F127" s="39" t="n">
        <x:v>0.1648</x:v>
      </x:c>
      <x:c r="G127" s="40" t="n">
        <x:v>0.23</x:v>
      </x:c>
      <x:c r="H127" s="40" t="n">
        <x:v>2.56</x:v>
      </x:c>
      <x:c r="I127" s="32" t="n">
        <x:v>0</x:v>
      </x:c>
      <x:c r="J127" s="32" t="str">
        <x:v>27 de agosto de 2026 - 14 de outubro de 2026</x:v>
      </x:c>
      <x:c r="K127" s="32" t="str">
        <x:v>F038</x:v>
      </x:c>
    </x:row>
    <x:row r="128" ht="24" customHeight="1">
      <x:c r="A128" s="32" t="str">
        <x:v>C04</x:v>
      </x:c>
      <x:c r="B128" s="33" t="str">
        <x:v>Remarketing Caçarola</x:v>
      </x:c>
      <x:c r="C128" s="33" t="str">
        <x:v>15,0|km|São Felipe, BA</x:v>
      </x:c>
      <x:c r="D128" s="38" t="n">
        <x:v>214</x:v>
      </x:c>
      <x:c r="E128" s="38" t="n">
        <x:v>64</x:v>
      </x:c>
      <x:c r="F128" s="39" t="n">
        <x:v>0.2991</x:v>
      </x:c>
      <x:c r="G128" s="40" t="n">
        <x:v>1.05</x:v>
      </x:c>
      <x:c r="H128" s="40" t="n">
        <x:v>4.91</x:v>
      </x:c>
      <x:c r="I128" s="32" t="n">
        <x:v>0</x:v>
      </x:c>
      <x:c r="J128" s="32" t="str">
        <x:v>27 de agosto de 2026 - 14 de outubro de 2026</x:v>
      </x:c>
      <x:c r="K128" s="32" t="str">
        <x:v>F038</x:v>
      </x:c>
    </x:row>
    <x:row r="129" ht="24" customHeight="1">
      <x:c r="A129" s="32" t="str">
        <x:v>C04</x:v>
      </x:c>
      <x:c r="B129" s="33" t="str">
        <x:v>Remarketing Caçarola</x:v>
      </x:c>
      <x:c r="C129" s="33" t="str">
        <x:v>15,0|km|Sapeaçu, Bahia</x:v>
      </x:c>
      <x:c r="D129" s="38" t="n">
        <x:v>0</x:v>
      </x:c>
      <x:c r="E129" s="38" t="n">
        <x:v>0</x:v>
      </x:c>
      <x:c r="F129" s="39"/>
      <x:c r="G129" s="40" t="n">
        <x:v>0</x:v>
      </x:c>
      <x:c r="H129" s="40" t="n">
        <x:v>0</x:v>
      </x:c>
      <x:c r="I129" s="32" t="n">
        <x:v>0</x:v>
      </x:c>
      <x:c r="J129" s="32" t="str">
        <x:v>27 de agosto de 2026 - 14 de outubro de 2026</x:v>
      </x:c>
      <x:c r="K129" s="32" t="str">
        <x:v>F038</x:v>
      </x:c>
    </x:row>
    <x:row r="130" ht="24" customHeight="1">
      <x:c r="A130" s="32" t="str">
        <x:v>C04</x:v>
      </x:c>
      <x:c r="B130" s="33" t="str">
        <x:v>Remarketing Caçarola</x:v>
      </x:c>
      <x:c r="C130" s="33" t="str">
        <x:v>15,0|km|Salvador, BA</x:v>
      </x:c>
      <x:c r="D130" s="38" t="n">
        <x:v>12911</x:v>
      </x:c>
      <x:c r="E130" s="38" t="n">
        <x:v>5891</x:v>
      </x:c>
      <x:c r="F130" s="39" t="n">
        <x:v>0.45630000000000004</x:v>
      </x:c>
      <x:c r="G130" s="40" t="n">
        <x:v>174.89</x:v>
      </x:c>
      <x:c r="H130" s="40" t="n">
        <x:v>13.55</x:v>
      </x:c>
      <x:c r="I130" s="32" t="n">
        <x:v>0</x:v>
      </x:c>
      <x:c r="J130" s="32" t="str">
        <x:v>27 de agosto de 2026 - 14 de outubro de 2026</x:v>
      </x:c>
      <x:c r="K130" s="32" t="str">
        <x:v>F038</x:v>
      </x:c>
    </x:row>
    <x:row r="131" ht="24" customHeight="1">
      <x:c r="A131" s="32" t="str">
        <x:v>C04</x:v>
      </x:c>
      <x:c r="B131" s="33" t="str">
        <x:v>Remarketing Caçarola</x:v>
      </x:c>
      <x:c r="C131" s="33" t="str">
        <x:v>15,0|km|Muniz Ferreira, BA</x:v>
      </x:c>
      <x:c r="D131" s="38" t="n">
        <x:v>16</x:v>
      </x:c>
      <x:c r="E131" s="38" t="n">
        <x:v>10</x:v>
      </x:c>
      <x:c r="F131" s="39" t="n">
        <x:v>0.625</x:v>
      </x:c>
      <x:c r="G131" s="40" t="n">
        <x:v>0.11</x:v>
      </x:c>
      <x:c r="H131" s="40" t="n">
        <x:v>6.81</x:v>
      </x:c>
      <x:c r="I131" s="32" t="n">
        <x:v>0</x:v>
      </x:c>
      <x:c r="J131" s="32" t="str">
        <x:v>27 de agosto de 2026 - 14 de outubro de 2026</x:v>
      </x:c>
      <x:c r="K131" s="32" t="str">
        <x:v>F038</x:v>
      </x:c>
    </x:row>
    <x:row r="132" ht="24" customHeight="1">
      <x:c r="A132" s="32" t="str">
        <x:v>C04</x:v>
      </x:c>
      <x:c r="B132" s="33" t="str">
        <x:v>Remarketing Caçarola</x:v>
      </x:c>
      <x:c r="C132" s="33" t="str">
        <x:v>15,0|km|Catu, BA</x:v>
      </x:c>
      <x:c r="D132" s="38" t="n">
        <x:v>13</x:v>
      </x:c>
      <x:c r="E132" s="38" t="n">
        <x:v>4</x:v>
      </x:c>
      <x:c r="F132" s="39" t="n">
        <x:v>0.3077</x:v>
      </x:c>
      <x:c r="G132" s="40" t="n">
        <x:v>0.03</x:v>
      </x:c>
      <x:c r="H132" s="40" t="n">
        <x:v>2.31</x:v>
      </x:c>
      <x:c r="I132" s="32" t="n">
        <x:v>0</x:v>
      </x:c>
      <x:c r="J132" s="32" t="str">
        <x:v>27 de agosto de 2026 - 14 de outubro de 2026</x:v>
      </x:c>
      <x:c r="K132" s="32" t="str">
        <x:v>F038</x:v>
      </x:c>
    </x:row>
    <x:row r="133" ht="24" customHeight="1">
      <x:c r="A133" s="32" t="str">
        <x:v>C04</x:v>
      </x:c>
      <x:c r="B133" s="33" t="str">
        <x:v>Remarketing Caçarola</x:v>
      </x:c>
      <x:c r="C133" s="33" t="str">
        <x:v>15,0|km|Aratuípe, BA</x:v>
      </x:c>
      <x:c r="D133" s="38" t="n">
        <x:v>127</x:v>
      </x:c>
      <x:c r="E133" s="38" t="n">
        <x:v>60</x:v>
      </x:c>
      <x:c r="F133" s="39" t="n">
        <x:v>0.47240000000000004</x:v>
      </x:c>
      <x:c r="G133" s="40" t="n">
        <x:v>0.62</x:v>
      </x:c>
      <x:c r="H133" s="40" t="n">
        <x:v>4.85</x:v>
      </x:c>
      <x:c r="I133" s="32" t="n">
        <x:v>0</x:v>
      </x:c>
      <x:c r="J133" s="32" t="str">
        <x:v>27 de agosto de 2026 - 14 de outubro de 2026</x:v>
      </x:c>
      <x:c r="K133" s="32" t="str">
        <x:v>F038</x:v>
      </x:c>
    </x:row>
    <x:row r="134" ht="24" customHeight="1">
      <x:c r="A134" s="32" t="str">
        <x:v>C04</x:v>
      </x:c>
      <x:c r="B134" s="33" t="str">
        <x:v>Remarketing Caçarola</x:v>
      </x:c>
      <x:c r="C134" s="33" t="str">
        <x:v>15,0|km|Itaparica, BA</x:v>
      </x:c>
      <x:c r="D134" s="38" t="n">
        <x:v>1969</x:v>
      </x:c>
      <x:c r="E134" s="38" t="n">
        <x:v>626</x:v>
      </x:c>
      <x:c r="F134" s="39" t="n">
        <x:v>0.3179</x:v>
      </x:c>
      <x:c r="G134" s="40" t="n">
        <x:v>22.2</x:v>
      </x:c>
      <x:c r="H134" s="40" t="n">
        <x:v>11.27</x:v>
      </x:c>
      <x:c r="I134" s="32" t="n">
        <x:v>0</x:v>
      </x:c>
      <x:c r="J134" s="32" t="str">
        <x:v>27 de agosto de 2026 - 14 de outubro de 2026</x:v>
      </x:c>
      <x:c r="K134" s="32" t="str">
        <x:v>F038</x:v>
      </x:c>
    </x:row>
    <x:row r="135" ht="24" customHeight="1">
      <x:c r="A135" s="32" t="str">
        <x:v>C04</x:v>
      </x:c>
      <x:c r="B135" s="33" t="str">
        <x:v>Remarketing Caçarola</x:v>
      </x:c>
      <x:c r="C135" s="33" t="str">
        <x:v>15,0|km|São Francisco, Ilhéus - Bahia</x:v>
      </x:c>
      <x:c r="D135" s="38" t="n">
        <x:v>1382</x:v>
      </x:c>
      <x:c r="E135" s="38" t="n">
        <x:v>705</x:v>
      </x:c>
      <x:c r="F135" s="39" t="n">
        <x:v>0.5101</x:v>
      </x:c>
      <x:c r="G135" s="40" t="n">
        <x:v>7.88</x:v>
      </x:c>
      <x:c r="H135" s="40" t="n">
        <x:v>5.7</x:v>
      </x:c>
      <x:c r="I135" s="32" t="n">
        <x:v>0</x:v>
      </x:c>
      <x:c r="J135" s="32" t="str">
        <x:v>27 de agosto de 2026 - 14 de outubro de 2026</x:v>
      </x:c>
      <x:c r="K135" s="32" t="str">
        <x:v>F038</x:v>
      </x:c>
    </x:row>
    <x:row r="136" ht="24" customHeight="1">
      <x:c r="A136" s="32" t="str">
        <x:v>C04</x:v>
      </x:c>
      <x:c r="B136" s="33" t="str">
        <x:v>Remarketing Caçarola</x:v>
      </x:c>
      <x:c r="C136" s="33" t="str">
        <x:v>15,0|km|Maragogipe, BA</x:v>
      </x:c>
      <x:c r="D136" s="38" t="n">
        <x:v>17</x:v>
      </x:c>
      <x:c r="E136" s="38" t="n">
        <x:v>7</x:v>
      </x:c>
      <x:c r="F136" s="39" t="n">
        <x:v>0.4118</x:v>
      </x:c>
      <x:c r="G136" s="40" t="n">
        <x:v>0.12</x:v>
      </x:c>
      <x:c r="H136" s="40" t="n">
        <x:v>6.87</x:v>
      </x:c>
      <x:c r="I136" s="32" t="n">
        <x:v>0</x:v>
      </x:c>
      <x:c r="J136" s="32" t="str">
        <x:v>27 de agosto de 2026 - 14 de outubro de 2026</x:v>
      </x:c>
      <x:c r="K136" s="32" t="str">
        <x:v>F038</x:v>
      </x:c>
    </x:row>
    <x:row r="137" ht="24" customHeight="1">
      <x:c r="A137" s="32" t="str">
        <x:v>C04</x:v>
      </x:c>
      <x:c r="B137" s="33" t="str">
        <x:v>Remarketing Caçarola</x:v>
      </x:c>
      <x:c r="C137" s="33" t="str">
        <x:v>15,0|km|Santo Antônio de Jesus, BA</x:v>
      </x:c>
      <x:c r="D137" s="38" t="n">
        <x:v>44</x:v>
      </x:c>
      <x:c r="E137" s="38" t="n">
        <x:v>15</x:v>
      </x:c>
      <x:c r="F137" s="39" t="n">
        <x:v>0.34090000000000004</x:v>
      </x:c>
      <x:c r="G137" s="40" t="n">
        <x:v>1.27</x:v>
      </x:c>
      <x:c r="H137" s="40" t="n">
        <x:v>28.92</x:v>
      </x:c>
      <x:c r="I137" s="32" t="n">
        <x:v>0</x:v>
      </x:c>
      <x:c r="J137" s="32" t="str">
        <x:v>27 de agosto de 2026 - 14 de outubro de 2026</x:v>
      </x:c>
      <x:c r="K137" s="32" t="str">
        <x:v>F038</x:v>
      </x:c>
    </x:row>
    <x:row r="138" ht="24" customHeight="1">
      <x:c r="A138" s="32" t="str">
        <x:v>C04</x:v>
      </x:c>
      <x:c r="B138" s="33" t="str">
        <x:v>Remarketing Caçarola</x:v>
      </x:c>
      <x:c r="C138" s="33" t="str">
        <x:v>15,0|km|São Sebastião do Passé, BA</x:v>
      </x:c>
      <x:c r="D138" s="38" t="n">
        <x:v>172</x:v>
      </x:c>
      <x:c r="E138" s="38" t="n">
        <x:v>76</x:v>
      </x:c>
      <x:c r="F138" s="39" t="n">
        <x:v>0.44189999999999996</x:v>
      </x:c>
      <x:c r="G138" s="40" t="n">
        <x:v>0.87</x:v>
      </x:c>
      <x:c r="H138" s="40" t="n">
        <x:v>5.07</x:v>
      </x:c>
      <x:c r="I138" s="32" t="n">
        <x:v>0</x:v>
      </x:c>
      <x:c r="J138" s="32" t="str">
        <x:v>27 de agosto de 2026 - 14 de outubro de 2026</x:v>
      </x:c>
      <x:c r="K138" s="32" t="str">
        <x:v>F038</x:v>
      </x:c>
    </x:row>
    <x:row r="139" ht="24" customHeight="1">
      <x:c r="A139" s="32" t="str">
        <x:v>C04</x:v>
      </x:c>
      <x:c r="B139" s="33" t="str">
        <x:v>Remarketing Caçarola</x:v>
      </x:c>
      <x:c r="C139" s="33" t="str">
        <x:v>15,0|km|São Félix, Bahia</x:v>
      </x:c>
      <x:c r="D139" s="38" t="n">
        <x:v>0</x:v>
      </x:c>
      <x:c r="E139" s="38" t="n">
        <x:v>0</x:v>
      </x:c>
      <x:c r="F139" s="39"/>
      <x:c r="G139" s="40" t="n">
        <x:v>0</x:v>
      </x:c>
      <x:c r="H139" s="40" t="n">
        <x:v>0</x:v>
      </x:c>
      <x:c r="I139" s="32" t="n">
        <x:v>0</x:v>
      </x:c>
      <x:c r="J139" s="32" t="str">
        <x:v>27 de agosto de 2026 - 14 de outubro de 2026</x:v>
      </x:c>
      <x:c r="K139" s="32" t="str">
        <x:v>F038</x:v>
      </x:c>
    </x:row>
    <x:row r="140" ht="24" customHeight="1">
      <x:c r="A140" s="32" t="str">
        <x:v>C04</x:v>
      </x:c>
      <x:c r="B140" s="33" t="str">
        <x:v>Remarketing Caçarola</x:v>
      </x:c>
      <x:c r="C140" s="33" t="str">
        <x:v>15,0|km|Salinas da Margarida, BA</x:v>
      </x:c>
      <x:c r="D140" s="38" t="n">
        <x:v>348</x:v>
      </x:c>
      <x:c r="E140" s="38" t="n">
        <x:v>117</x:v>
      </x:c>
      <x:c r="F140" s="39" t="n">
        <x:v>0.3362</x:v>
      </x:c>
      <x:c r="G140" s="40" t="n">
        <x:v>7.52</x:v>
      </x:c>
      <x:c r="H140" s="40" t="n">
        <x:v>21.6</x:v>
      </x:c>
      <x:c r="I140" s="32" t="n">
        <x:v>0</x:v>
      </x:c>
      <x:c r="J140" s="32" t="str">
        <x:v>27 de agosto de 2026 - 14 de outubro de 2026</x:v>
      </x:c>
      <x:c r="K140" s="32" t="str">
        <x:v>F038</x:v>
      </x:c>
    </x:row>
    <x:row r="141" ht="24" customHeight="1">
      <x:c r="A141" s="32" t="str">
        <x:v>C04</x:v>
      </x:c>
      <x:c r="B141" s="33" t="str">
        <x:v>Remarketing Caçarola</x:v>
      </x:c>
      <x:c r="C141" s="33" t="str">
        <x:v>15,0|km|Itanagra, BA</x:v>
      </x:c>
      <x:c r="D141" s="38" t="n">
        <x:v>50</x:v>
      </x:c>
      <x:c r="E141" s="38" t="n">
        <x:v>14</x:v>
      </x:c>
      <x:c r="F141" s="39" t="n">
        <x:v>0.28</x:v>
      </x:c>
      <x:c r="G141" s="40" t="n">
        <x:v>0.15</x:v>
      </x:c>
      <x:c r="H141" s="40" t="n">
        <x:v>2.98</x:v>
      </x:c>
      <x:c r="I141" s="32" t="n">
        <x:v>0</x:v>
      </x:c>
      <x:c r="J141" s="32" t="str">
        <x:v>27 de agosto de 2026 - 14 de outubro de 2026</x:v>
      </x:c>
      <x:c r="K141" s="32" t="str">
        <x:v>F038</x:v>
      </x:c>
    </x:row>
    <x:row r="142" ht="24" customHeight="1">
      <x:c r="A142" s="32" t="str">
        <x:v>C04</x:v>
      </x:c>
      <x:c r="B142" s="33" t="str">
        <x:v>Remarketing Caçarola</x:v>
      </x:c>
      <x:c r="C142" s="33" t="str">
        <x:v>15,0|km|Lauro de Freitas, BA</x:v>
      </x:c>
      <x:c r="D142" s="38" t="n">
        <x:v>3793</x:v>
      </x:c>
      <x:c r="E142" s="38" t="n">
        <x:v>1906</x:v>
      </x:c>
      <x:c r="F142" s="39" t="n">
        <x:v>0.5025</x:v>
      </x:c>
      <x:c r="G142" s="40" t="n">
        <x:v>27.19</x:v>
      </x:c>
      <x:c r="H142" s="40" t="n">
        <x:v>7.17</x:v>
      </x:c>
      <x:c r="I142" s="32" t="n">
        <x:v>0</x:v>
      </x:c>
      <x:c r="J142" s="32" t="str">
        <x:v>27 de agosto de 2026 - 14 de outubro de 2026</x:v>
      </x:c>
      <x:c r="K142" s="32" t="str">
        <x:v>F038</x:v>
      </x:c>
    </x:row>
    <x:row r="143" ht="24" customHeight="1">
      <x:c r="A143" s="32" t="str">
        <x:v>C04</x:v>
      </x:c>
      <x:c r="B143" s="33" t="str">
        <x:v>Remarketing Caçarola</x:v>
      </x:c>
      <x:c r="C143" s="33" t="str">
        <x:v>15,0|km|Amélia Rodrigues, BA</x:v>
      </x:c>
      <x:c r="D143" s="38" t="n">
        <x:v>678</x:v>
      </x:c>
      <x:c r="E143" s="38" t="n">
        <x:v>260</x:v>
      </x:c>
      <x:c r="F143" s="39" t="n">
        <x:v>0.3835</x:v>
      </x:c>
      <x:c r="G143" s="40" t="n">
        <x:v>13.72</x:v>
      </x:c>
      <x:c r="H143" s="40" t="n">
        <x:v>20.23</x:v>
      </x:c>
      <x:c r="I143" s="32" t="n">
        <x:v>0</x:v>
      </x:c>
      <x:c r="J143" s="32" t="str">
        <x:v>27 de agosto de 2026 - 14 de outubro de 2026</x:v>
      </x:c>
      <x:c r="K143" s="32" t="str">
        <x:v>F038</x:v>
      </x:c>
    </x:row>
    <x:row r="144" ht="24" customHeight="1">
      <x:c r="A144" s="32" t="str">
        <x:v>C04</x:v>
      </x:c>
      <x:c r="B144" s="33" t="str">
        <x:v>Remarketing Caçarola</x:v>
      </x:c>
      <x:c r="C144" s="33" t="str">
        <x:v>15,0|km|Madre de Deus, BA</x:v>
      </x:c>
      <x:c r="D144" s="38" t="n">
        <x:v>70</x:v>
      </x:c>
      <x:c r="E144" s="38" t="n">
        <x:v>35</x:v>
      </x:c>
      <x:c r="F144" s="39" t="n">
        <x:v>0.5</x:v>
      </x:c>
      <x:c r="G144" s="40" t="n">
        <x:v>0.37</x:v>
      </x:c>
      <x:c r="H144" s="40" t="n">
        <x:v>5.22</x:v>
      </x:c>
      <x:c r="I144" s="32" t="n">
        <x:v>0</x:v>
      </x:c>
      <x:c r="J144" s="32" t="str">
        <x:v>27 de agosto de 2026 - 14 de outubro de 2026</x:v>
      </x:c>
      <x:c r="K144" s="32" t="str">
        <x:v>F038</x:v>
      </x:c>
    </x:row>
    <x:row r="145" ht="24" customHeight="1">
      <x:c r="A145" s="32" t="str">
        <x:v>C04</x:v>
      </x:c>
      <x:c r="B145" s="33" t="str">
        <x:v>Remarketing Caçarola</x:v>
      </x:c>
      <x:c r="C145" s="33" t="str">
        <x:v>15,0|km|Cachoeira, BA</x:v>
      </x:c>
      <x:c r="D145" s="38" t="n">
        <x:v>31</x:v>
      </x:c>
      <x:c r="E145" s="38" t="n">
        <x:v>13</x:v>
      </x:c>
      <x:c r="F145" s="39" t="n">
        <x:v>0.4194</x:v>
      </x:c>
      <x:c r="G145" s="40" t="n">
        <x:v>0.24</x:v>
      </x:c>
      <x:c r="H145" s="40" t="n">
        <x:v>7.66</x:v>
      </x:c>
      <x:c r="I145" s="32" t="n">
        <x:v>0</x:v>
      </x:c>
      <x:c r="J145" s="32" t="str">
        <x:v>27 de agosto de 2026 - 14 de outubro de 2026</x:v>
      </x:c>
      <x:c r="K145" s="32" t="str">
        <x:v>F038</x:v>
      </x:c>
    </x:row>
    <x:row r="146" ht="24" customHeight="1">
      <x:c r="A146" s="32" t="str">
        <x:v>C04</x:v>
      </x:c>
      <x:c r="B146" s="33" t="str">
        <x:v>Remarketing Caçarola</x:v>
      </x:c>
      <x:c r="C146" s="33" t="str">
        <x:v>15,0|km|Saubara, BA</x:v>
      </x:c>
      <x:c r="D146" s="38" t="n">
        <x:v>120</x:v>
      </x:c>
      <x:c r="E146" s="38" t="n">
        <x:v>30</x:v>
      </x:c>
      <x:c r="F146" s="39" t="n">
        <x:v>0.25</x:v>
      </x:c>
      <x:c r="G146" s="40" t="n">
        <x:v>0.37</x:v>
      </x:c>
      <x:c r="H146" s="40" t="n">
        <x:v>3.12</x:v>
      </x:c>
      <x:c r="I146" s="32" t="n">
        <x:v>0</x:v>
      </x:c>
      <x:c r="J146" s="32" t="str">
        <x:v>27 de agosto de 2026 - 14 de outubro de 2026</x:v>
      </x:c>
      <x:c r="K146" s="32" t="str">
        <x:v>F038</x:v>
      </x:c>
    </x:row>
    <x:row r="147" ht="24" customHeight="1">
      <x:c r="A147" s="32" t="str">
        <x:v>C04</x:v>
      </x:c>
      <x:c r="B147" s="33" t="str">
        <x:v>Remarketing Caçarola</x:v>
      </x:c>
      <x:c r="C147" s="33" t="str">
        <x:v>15,0|km|Vera Cruz, Bahia</x:v>
      </x:c>
      <x:c r="D147" s="38" t="n">
        <x:v>9</x:v>
      </x:c>
      <x:c r="E147" s="38" t="n">
        <x:v>0</x:v>
      </x:c>
      <x:c r="F147" s="39" t="n">
        <x:v>0</x:v>
      </x:c>
      <x:c r="G147" s="40" t="n">
        <x:v>0</x:v>
      </x:c>
      <x:c r="H147" s="40" t="n">
        <x:v>0</x:v>
      </x:c>
      <x:c r="I147" s="32" t="n">
        <x:v>0</x:v>
      </x:c>
      <x:c r="J147" s="32" t="str">
        <x:v>27 de agosto de 2026 - 14 de outubro de 2026</x:v>
      </x:c>
      <x:c r="K147" s="32" t="str">
        <x:v>F038</x:v>
      </x:c>
    </x:row>
    <x:row r="148" ht="24" customHeight="1">
      <x:c r="A148" s="32" t="str">
        <x:v>C04</x:v>
      </x:c>
      <x:c r="B148" s="33" t="str">
        <x:v>Remarketing Caçarola</x:v>
      </x:c>
      <x:c r="C148" s="33" t="str">
        <x:v>15,0|km|Cabaceiras do Paraguaçu, BA</x:v>
      </x:c>
      <x:c r="D148" s="38" t="n">
        <x:v>407</x:v>
      </x:c>
      <x:c r="E148" s="38" t="n">
        <x:v>179</x:v>
      </x:c>
      <x:c r="F148" s="39" t="n">
        <x:v>0.43979999999999997</x:v>
      </x:c>
      <x:c r="G148" s="40" t="n">
        <x:v>1.95</x:v>
      </x:c>
      <x:c r="H148" s="40" t="n">
        <x:v>4.79</x:v>
      </x:c>
      <x:c r="I148" s="32" t="n">
        <x:v>0</x:v>
      </x:c>
      <x:c r="J148" s="32" t="str">
        <x:v>27 de agosto de 2026 - 14 de outubro de 2026</x:v>
      </x:c>
      <x:c r="K148" s="32" t="str">
        <x:v>F038</x:v>
      </x:c>
    </x:row>
    <x:row r="149" ht="24" customHeight="1">
      <x:c r="A149" s="32" t="str">
        <x:v>C04</x:v>
      </x:c>
      <x:c r="B149" s="33" t="str">
        <x:v>Remarketing Caçarola</x:v>
      </x:c>
      <x:c r="C149" s="33" t="str">
        <x:v>15,0|km|Conceição do Almeida, BA</x:v>
      </x:c>
      <x:c r="D149" s="38" t="n">
        <x:v>0</x:v>
      </x:c>
      <x:c r="E149" s="38" t="n">
        <x:v>0</x:v>
      </x:c>
      <x:c r="F149" s="39"/>
      <x:c r="G149" s="40" t="n">
        <x:v>0</x:v>
      </x:c>
      <x:c r="H149" s="40" t="n">
        <x:v>0</x:v>
      </x:c>
      <x:c r="I149" s="32" t="n">
        <x:v>0</x:v>
      </x:c>
      <x:c r="J149" s="32" t="str">
        <x:v>27 de agosto de 2026 - 14 de outubro de 2026</x:v>
      </x:c>
      <x:c r="K149" s="32" t="str">
        <x:v>F038</x:v>
      </x:c>
    </x:row>
    <x:row r="150" ht="24" customHeight="1">
      <x:c r="A150" s="32" t="str">
        <x:v>C04</x:v>
      </x:c>
      <x:c r="B150" s="33" t="str">
        <x:v>Remarketing Caçarola</x:v>
      </x:c>
      <x:c r="C150" s="33" t="str">
        <x:v>15,0|km|Jaguaripe, BA</x:v>
      </x:c>
      <x:c r="D150" s="38" t="n">
        <x:v>87</x:v>
      </x:c>
      <x:c r="E150" s="38" t="n">
        <x:v>38</x:v>
      </x:c>
      <x:c r="F150" s="39" t="n">
        <x:v>0.4368</x:v>
      </x:c>
      <x:c r="G150" s="40" t="n">
        <x:v>0.44</x:v>
      </x:c>
      <x:c r="H150" s="40" t="n">
        <x:v>5.1</x:v>
      </x:c>
      <x:c r="I150" s="32" t="n">
        <x:v>0</x:v>
      </x:c>
      <x:c r="J150" s="32" t="str">
        <x:v>27 de agosto de 2026 - 14 de outubro de 2026</x:v>
      </x:c>
      <x:c r="K150" s="32" t="str">
        <x:v>F038</x:v>
      </x:c>
    </x:row>
    <x:row r="151" ht="24" customHeight="1">
      <x:c r="A151" s="32" t="str">
        <x:v>C04</x:v>
      </x:c>
      <x:c r="B151" s="33" t="str">
        <x:v>Remarketing Caçarola</x:v>
      </x:c>
      <x:c r="C151" s="33" t="str">
        <x:v>15,0|km|Camaçari, BA</x:v>
      </x:c>
      <x:c r="D151" s="38" t="n">
        <x:v>115</x:v>
      </x:c>
      <x:c r="E151" s="38" t="n">
        <x:v>55</x:v>
      </x:c>
      <x:c r="F151" s="39" t="n">
        <x:v>0.4783</x:v>
      </x:c>
      <x:c r="G151" s="40" t="n">
        <x:v>0.54</x:v>
      </x:c>
      <x:c r="H151" s="40" t="n">
        <x:v>4.73</x:v>
      </x:c>
      <x:c r="I151" s="32" t="n">
        <x:v>0</x:v>
      </x:c>
      <x:c r="J151" s="32" t="str">
        <x:v>27 de agosto de 2026 - 14 de outubro de 2026</x:v>
      </x:c>
      <x:c r="K151" s="32" t="str">
        <x:v>F038</x:v>
      </x:c>
    </x:row>
    <x:row r="152" ht="24" customHeight="1">
      <x:c r="A152" s="32" t="str">
        <x:v>C04</x:v>
      </x:c>
      <x:c r="B152" s="33" t="str">
        <x:v>Remarketing Caçarola</x:v>
      </x:c>
      <x:c r="C152" s="33" t="str">
        <x:v>15,0|km|São JOÃO, Feira de Santana - Bahia</x:v>
      </x:c>
      <x:c r="D152" s="38" t="n">
        <x:v>4063</x:v>
      </x:c>
      <x:c r="E152" s="38" t="n">
        <x:v>1842</x:v>
      </x:c>
      <x:c r="F152" s="39" t="n">
        <x:v>0.4534</x:v>
      </x:c>
      <x:c r="G152" s="40" t="n">
        <x:v>29.61</x:v>
      </x:c>
      <x:c r="H152" s="40" t="n">
        <x:v>7.29</x:v>
      </x:c>
      <x:c r="I152" s="32" t="n">
        <x:v>0</x:v>
      </x:c>
      <x:c r="J152" s="32" t="str">
        <x:v>27 de agosto de 2026 - 14 de outubro de 2026</x:v>
      </x:c>
      <x:c r="K152" s="32" t="str">
        <x:v>F038</x:v>
      </x:c>
    </x:row>
    <x:row r="153" ht="24" customHeight="1">
      <x:c r="A153" s="32" t="str">
        <x:v>C05</x:v>
      </x:c>
      <x:c r="B153" s="33" t="str">
        <x:v>[TRON] - YouTube 01 -  VT 5 Seg - {Reg SC} - 07/10</x:v>
      </x:c>
      <x:c r="C153" s="33" t="str">
        <x:v>5,0|km|R. Arnoldo Pedro Meira - Ipiranga, São José - SC, 88111-370</x:v>
      </x:c>
      <x:c r="D153" s="38" t="n">
        <x:v>28</x:v>
      </x:c>
      <x:c r="E153" s="38" t="n">
        <x:v>0</x:v>
      </x:c>
      <x:c r="F153" s="39" t="n">
        <x:v>0</x:v>
      </x:c>
      <x:c r="G153" s="40" t="n">
        <x:v>0.04</x:v>
      </x:c>
      <x:c r="H153" s="40" t="n">
        <x:v>1.53</x:v>
      </x:c>
      <x:c r="I153" s="32" t="n">
        <x:v>0</x:v>
      </x:c>
      <x:c r="J153" s="32" t="str">
        <x:v>1 de setembro de 2026 - 14 de outubro de 2026</x:v>
      </x:c>
      <x:c r="K153" s="32" t="str">
        <x:v>F053</x:v>
      </x:c>
    </x:row>
    <x:row r="154" ht="24" customHeight="1">
      <x:c r="A154" s="32" t="str">
        <x:v>C05</x:v>
      </x:c>
      <x:c r="B154" s="33" t="str">
        <x:v>[TRON] - YouTube 01 -  VT 5 Seg - {Reg SC} - 07/10</x:v>
      </x:c>
      <x:c r="C154" s="33" t="str">
        <x:v>5,0|km|Av. Delamar José da Silva, s/n - Kobrasol, São José - SC, 88102-080</x:v>
      </x:c>
      <x:c r="D154" s="38" t="n">
        <x:v>3</x:v>
      </x:c>
      <x:c r="E154" s="38" t="n">
        <x:v>0</x:v>
      </x:c>
      <x:c r="F154" s="39"/>
      <x:c r="G154" s="40" t="n">
        <x:v>0</x:v>
      </x:c>
      <x:c r="H154" s="40" t="n">
        <x:v>0.59</x:v>
      </x:c>
      <x:c r="I154" s="32" t="n">
        <x:v>0</x:v>
      </x:c>
      <x:c r="J154" s="32" t="str">
        <x:v>1 de setembro de 2026 - 14 de outubro de 2026</x:v>
      </x:c>
      <x:c r="K154" s="32" t="str">
        <x:v>F053</x:v>
      </x:c>
    </x:row>
    <x:row r="155" ht="24" customHeight="1">
      <x:c r="A155" s="32" t="str">
        <x:v>C05</x:v>
      </x:c>
      <x:c r="B155" s="33" t="str">
        <x:v>[TRON] - YouTube 01 -  VT 5 Seg - {Reg SC} - 07/10</x:v>
      </x:c>
      <x:c r="C155" s="33" t="str">
        <x:v>0,0||</x:v>
      </x:c>
      <x:c r="D155" s="38" t="n">
        <x:v>7</x:v>
      </x:c>
      <x:c r="E155" s="38" t="n">
        <x:v>0</x:v>
      </x:c>
      <x:c r="F155" s="39" t="n">
        <x:v>0</x:v>
      </x:c>
      <x:c r="G155" s="40" t="n">
        <x:v>0.01</x:v>
      </x:c>
      <x:c r="H155" s="40" t="n">
        <x:v>1.02</x:v>
      </x:c>
      <x:c r="I155" s="32" t="n">
        <x:v>0</x:v>
      </x:c>
      <x:c r="J155" s="32" t="str">
        <x:v>1 de setembro de 2026 - 14 de outubro de 2026</x:v>
      </x:c>
      <x:c r="K155" s="32" t="str">
        <x:v>F053</x:v>
      </x:c>
    </x:row>
    <x:row r="156" ht="24" customHeight="1">
      <x:c r="A156" s="32" t="str">
        <x:v>C05</x:v>
      </x:c>
      <x:c r="B156" s="33" t="str">
        <x:v>[TRON] - YouTube 01 -  VT 5 Seg - {Reg SC} - 07/10</x:v>
      </x:c>
      <x:c r="C156" s="33" t="str">
        <x:v>5,0|km|R. Paralela Novo Horizonte, 3530 - Capoeiras, Florianópolis - SC, 88090-085</x:v>
      </x:c>
      <x:c r="D156" s="38" t="n">
        <x:v>18</x:v>
      </x:c>
      <x:c r="E156" s="38" t="n">
        <x:v>0</x:v>
      </x:c>
      <x:c r="F156" s="39" t="n">
        <x:v>0</x:v>
      </x:c>
      <x:c r="G156" s="40" t="n">
        <x:v>0.04</x:v>
      </x:c>
      <x:c r="H156" s="40" t="n">
        <x:v>2.22</x:v>
      </x:c>
      <x:c r="I156" s="32" t="n">
        <x:v>0</x:v>
      </x:c>
      <x:c r="J156" s="32" t="str">
        <x:v>1 de setembro de 2026 - 14 de outubro de 2026</x:v>
      </x:c>
      <x:c r="K156" s="32" t="str">
        <x:v>F053</x:v>
      </x:c>
    </x:row>
    <x:row r="157" ht="24" customHeight="1">
      <x:c r="A157" s="32" t="str">
        <x:v>C05</x:v>
      </x:c>
      <x:c r="B157" s="33" t="str">
        <x:v>[TRON] - YouTube 01 -  VT 5 Seg - {Reg SC} - 07/10</x:v>
      </x:c>
      <x:c r="C157" s="33" t="str">
        <x:v>5,0|km|Av. Vidal Procópio Lohn - Rio Grande, Palhoça - SC</x:v>
      </x:c>
      <x:c r="D157" s="38" t="n">
        <x:v>76</x:v>
      </x:c>
      <x:c r="E157" s="38" t="n">
        <x:v>0</x:v>
      </x:c>
      <x:c r="F157" s="39" t="n">
        <x:v>0</x:v>
      </x:c>
      <x:c r="G157" s="40" t="n">
        <x:v>0.13</x:v>
      </x:c>
      <x:c r="H157" s="40" t="n">
        <x:v>1.77</x:v>
      </x:c>
      <x:c r="I157" s="32" t="n">
        <x:v>0</x:v>
      </x:c>
      <x:c r="J157" s="32" t="str">
        <x:v>1 de setembro de 2026 - 14 de outubro de 2026</x:v>
      </x:c>
      <x:c r="K157" s="32" t="str">
        <x:v>F053</x:v>
      </x:c>
    </x:row>
    <x:row r="158" ht="24" customHeight="1">
      <x:c r="A158" s="32" t="str">
        <x:v>C05</x:v>
      </x:c>
      <x:c r="B158" s="33" t="str">
        <x:v>[TRON] - YouTube 01 -  VT 5 Seg - {Reg SC} - 07/10</x:v>
      </x:c>
      <x:c r="C158" s="33" t="str">
        <x:v>5,0|km|Av. Eng. Max de Souza, 740 - Coqueiros, Florianópolis - SC, 88080-000</x:v>
      </x:c>
      <x:c r="D158" s="38" t="n">
        <x:v>60</x:v>
      </x:c>
      <x:c r="E158" s="38" t="n">
        <x:v>1</x:v>
      </x:c>
      <x:c r="F158" s="39" t="n">
        <x:v>0.0345</x:v>
      </x:c>
      <x:c r="G158" s="40" t="n">
        <x:v>0.2</x:v>
      </x:c>
      <x:c r="H158" s="40" t="n">
        <x:v>3.37</x:v>
      </x:c>
      <x:c r="I158" s="32" t="n">
        <x:v>0</x:v>
      </x:c>
      <x:c r="J158" s="32" t="str">
        <x:v>1 de setembro de 2026 - 14 de outubro de 2026</x:v>
      </x:c>
      <x:c r="K158" s="32" t="str">
        <x:v>F053</x:v>
      </x:c>
    </x:row>
    <x:row r="159" ht="24" customHeight="1">
      <x:c r="A159" s="32" t="str">
        <x:v>C05</x:v>
      </x:c>
      <x:c r="B159" s="33" t="str">
        <x:v>[TRON] - YouTube 01 -  VT 5 Seg - {Reg SC} - 07/10</x:v>
      </x:c>
      <x:c r="C159" s="33" t="str">
        <x:v>5,0|km|Rua João Coan, 390 Bairro - Universitarios, Biguaçu - SC, 88160-000</x:v>
      </x:c>
      <x:c r="D159" s="38" t="n">
        <x:v>21</x:v>
      </x:c>
      <x:c r="E159" s="38" t="n">
        <x:v>0</x:v>
      </x:c>
      <x:c r="F159" s="39" t="n">
        <x:v>0</x:v>
      </x:c>
      <x:c r="G159" s="40" t="n">
        <x:v>0.07</x:v>
      </x:c>
      <x:c r="H159" s="40" t="n">
        <x:v>3.53</x:v>
      </x:c>
      <x:c r="I159" s="32" t="n">
        <x:v>0</x:v>
      </x:c>
      <x:c r="J159" s="32" t="str">
        <x:v>1 de setembro de 2026 - 14 de outubro de 2026</x:v>
      </x:c>
      <x:c r="K159" s="32" t="str">
        <x:v>F053</x:v>
      </x:c>
    </x:row>
    <x:row r="160" ht="24" customHeight="1">
      <x:c r="A160" s="32" t="str">
        <x:v>C05</x:v>
      </x:c>
      <x:c r="B160" s="33" t="str">
        <x:v>[TRON] - YouTube 01 -  VT 5 Seg - {Reg SC} - 07/10</x:v>
      </x:c>
      <x:c r="C160" s="33" t="str">
        <x:v>5,0|km|Av. Juscelino K. de Oliveira, 469 - Capoeiras, Florianópolis - SC, 88070-120</x:v>
      </x:c>
      <x:c r="D160" s="38" t="n">
        <x:v>0</x:v>
      </x:c>
      <x:c r="E160" s="38" t="n">
        <x:v>0</x:v>
      </x:c>
      <x:c r="F160" s="39"/>
      <x:c r="G160" s="40" t="n">
        <x:v>0</x:v>
      </x:c>
      <x:c r="H160" s="40" t="n">
        <x:v>0</x:v>
      </x:c>
      <x:c r="I160" s="32" t="n">
        <x:v>0</x:v>
      </x:c>
      <x:c r="J160" s="32" t="str">
        <x:v>1 de setembro de 2026 - 14 de outubro de 2026</x:v>
      </x:c>
      <x:c r="K160" s="32" t="str">
        <x:v>F053</x:v>
      </x:c>
    </x:row>
    <x:row r="161" ht="24" customHeight="1">
      <x:c r="A161" s="32" t="str">
        <x:v>C05</x:v>
      </x:c>
      <x:c r="B161" s="33" t="str">
        <x:v>[TRON] - YouTube 01 -  VT 5 Seg - {Reg SC} - 07/10</x:v>
      </x:c>
      <x:c r="C161" s="33" t="str">
        <x:v>5,0|km|R. Lauro Linhares, 2010 - Trindade, Florianópolis - SC, 88036-002</x:v>
      </x:c>
      <x:c r="D161" s="38" t="n">
        <x:v>9</x:v>
      </x:c>
      <x:c r="E161" s="38" t="n">
        <x:v>0</x:v>
      </x:c>
      <x:c r="F161" s="39" t="n">
        <x:v>0</x:v>
      </x:c>
      <x:c r="G161" s="40" t="n">
        <x:v>0.02</x:v>
      </x:c>
      <x:c r="H161" s="40" t="n">
        <x:v>2.33</x:v>
      </x:c>
      <x:c r="I161" s="32" t="n">
        <x:v>0</x:v>
      </x:c>
      <x:c r="J161" s="32" t="str">
        <x:v>1 de setembro de 2026 - 14 de outubro de 2026</x:v>
      </x:c>
      <x:c r="K161" s="32" t="str">
        <x:v>F053</x:v>
      </x:c>
    </x:row>
    <x:row r="162" ht="24" customHeight="1">
      <x:c r="A162" s="32" t="str">
        <x:v>C05</x:v>
      </x:c>
      <x:c r="B162" s="33" t="str">
        <x:v>[TRON] - YouTube 01 -  VT 5 Seg - {Reg SC} - 07/10</x:v>
      </x:c>
      <x:c r="C162" s="33" t="str">
        <x:v>5,0|km|Estrada, Rod. Armando Calil Bulos, 5890 - Ingleses Centro, Florianópolis - SC</x:v>
      </x:c>
      <x:c r="D162" s="38" t="n">
        <x:v>52</x:v>
      </x:c>
      <x:c r="E162" s="38" t="n">
        <x:v>0</x:v>
      </x:c>
      <x:c r="F162" s="39" t="n">
        <x:v>0</x:v>
      </x:c>
      <x:c r="G162" s="40" t="n">
        <x:v>0.09</x:v>
      </x:c>
      <x:c r="H162" s="40" t="n">
        <x:v>1.78</x:v>
      </x:c>
      <x:c r="I162" s="32" t="n">
        <x:v>0</x:v>
      </x:c>
      <x:c r="J162" s="32" t="str">
        <x:v>1 de setembro de 2026 - 14 de outubro de 2026</x:v>
      </x:c>
      <x:c r="K162" s="32" t="str">
        <x:v>F053</x:v>
      </x:c>
    </x:row>
    <x:row r="163" ht="24" customHeight="1">
      <x:c r="A163" s="32" t="str">
        <x:v>C05</x:v>
      </x:c>
      <x:c r="B163" s="33" t="str">
        <x:v>[TRON] - YouTube 01 -  VT 5 Seg - {Reg SC} - 07/10</x:v>
      </x:c>
      <x:c r="C163" s="33" t="str">
        <x:v>5,0|km|Rua João Motta Espezim, 549-461 - Saco dos Limões, Florianópolis - SC, 88045-400</x:v>
      </x:c>
      <x:c r="D163" s="38" t="n">
        <x:v>2</x:v>
      </x:c>
      <x:c r="E163" s="38" t="n">
        <x:v>0</x:v>
      </x:c>
      <x:c r="F163" s="39" t="n">
        <x:v>0</x:v>
      </x:c>
      <x:c r="G163" s="40" t="n">
        <x:v>0</x:v>
      </x:c>
      <x:c r="H163" s="40" t="n">
        <x:v>1.38</x:v>
      </x:c>
      <x:c r="I163" s="32" t="n">
        <x:v>0</x:v>
      </x:c>
      <x:c r="J163" s="32" t="str">
        <x:v>1 de setembro de 2026 - 14 de outubro de 2026</x:v>
      </x:c>
      <x:c r="K163" s="32" t="str">
        <x:v>F053</x:v>
      </x:c>
    </x:row>
    <x:row r="164" ht="24" customHeight="1">
      <x:c r="A164" s="32" t="str">
        <x:v>C05</x:v>
      </x:c>
      <x:c r="B164" s="33" t="str">
        <x:v>[TRON] - YouTube 01 -  VT 5 Seg - {Reg SC} - 07/10</x:v>
      </x:c>
      <x:c r="C164" s="33" t="str">
        <x:v>5,0|km|R. Gen. Liberato Bittencourt, 1885 - Estreito, Florianópolis - SC, 88070-800</x:v>
      </x:c>
      <x:c r="D164" s="38" t="n">
        <x:v>1</x:v>
      </x:c>
      <x:c r="E164" s="38" t="n">
        <x:v>0</x:v>
      </x:c>
      <x:c r="F164" s="39"/>
      <x:c r="G164" s="40" t="n">
        <x:v>0</x:v>
      </x:c>
      <x:c r="H164" s="40" t="n">
        <x:v>0.32</x:v>
      </x:c>
      <x:c r="I164" s="32" t="n">
        <x:v>0</x:v>
      </x:c>
      <x:c r="J164" s="32" t="str">
        <x:v>1 de setembro de 2026 - 14 de outubro de 2026</x:v>
      </x:c>
      <x:c r="K164" s="32" t="str">
        <x:v>F053</x:v>
      </x:c>
    </x:row>
    <x:row r="165" ht="24" customHeight="1">
      <x:c r="A165" s="32" t="str">
        <x:v>C05</x:v>
      </x:c>
      <x:c r="B165" s="33" t="str">
        <x:v>[TRON] - YouTube 01 -  VT 5 Seg - {Reg SC} - 07/10</x:v>
      </x:c>
      <x:c r="C165" s="33" t="str">
        <x:v>5,0|km|Av. Presidente Kennedy, 861 - Campinas, São José - SC, 88101-001</x:v>
      </x:c>
      <x:c r="D165" s="38" t="n">
        <x:v>22</x:v>
      </x:c>
      <x:c r="E165" s="38" t="n">
        <x:v>0</x:v>
      </x:c>
      <x:c r="F165" s="39" t="n">
        <x:v>0</x:v>
      </x:c>
      <x:c r="G165" s="40" t="n">
        <x:v>0.06</x:v>
      </x:c>
      <x:c r="H165" s="40" t="n">
        <x:v>2.76</x:v>
      </x:c>
      <x:c r="I165" s="32" t="n">
        <x:v>0</x:v>
      </x:c>
      <x:c r="J165" s="32" t="str">
        <x:v>1 de setembro de 2026 - 14 de outubro de 2026</x:v>
      </x:c>
      <x:c r="K165" s="32" t="str">
        <x:v>F053</x:v>
      </x:c>
    </x:row>
    <x:row r="166" ht="24" customHeight="1">
      <x:c r="A166" s="32" t="str">
        <x:v>C05</x:v>
      </x:c>
      <x:c r="B166" s="33" t="str">
        <x:v>[TRON] - YouTube 01 -  VT 5 Seg - {Reg SC} - 07/10</x:v>
      </x:c>
      <x:c r="C166" s="33" t="str">
        <x:v>5,0|km|R. Bocaiúva, 2468 - Centro, Florianópolis - SC</x:v>
      </x:c>
      <x:c r="D166" s="38" t="n">
        <x:v>0</x:v>
      </x:c>
      <x:c r="E166" s="38" t="n">
        <x:v>0</x:v>
      </x:c>
      <x:c r="F166" s="39"/>
      <x:c r="G166" s="40" t="n">
        <x:v>0</x:v>
      </x:c>
      <x:c r="H166" s="40" t="n">
        <x:v>0</x:v>
      </x:c>
      <x:c r="I166" s="32" t="n">
        <x:v>0</x:v>
      </x:c>
      <x:c r="J166" s="32" t="str">
        <x:v>1 de setembro de 2026 - 14 de outubro de 2026</x:v>
      </x:c>
      <x:c r="K166" s="32" t="str">
        <x:v>F053</x:v>
      </x:c>
    </x:row>
    <x:row r="167" ht="24" customHeight="1">
      <x:c r="A167" s="32" t="str">
        <x:v>C05</x:v>
      </x:c>
      <x:c r="B167" s="33" t="str">
        <x:v>[TRON] - YouTube 01 -  VT 5 Seg - {Reg SC} - 07/10</x:v>
      </x:c>
      <x:c r="C167" s="33" t="str">
        <x:v>5,0|km|Av. das Nações, 192 - Canasvieiras, Florianópolis - SC, 88054-010</x:v>
      </x:c>
      <x:c r="D167" s="38" t="n">
        <x:v>57</x:v>
      </x:c>
      <x:c r="E167" s="38" t="n">
        <x:v>0</x:v>
      </x:c>
      <x:c r="F167" s="39" t="n">
        <x:v>0</x:v>
      </x:c>
      <x:c r="G167" s="40" t="n">
        <x:v>0.09</x:v>
      </x:c>
      <x:c r="H167" s="40" t="n">
        <x:v>1.56</x:v>
      </x:c>
      <x:c r="I167" s="32" t="n">
        <x:v>0</x:v>
      </x:c>
      <x:c r="J167" s="32" t="str">
        <x:v>1 de setembro de 2026 - 14 de outubro de 2026</x:v>
      </x:c>
      <x:c r="K167" s="32" t="str">
        <x:v>F053</x:v>
      </x:c>
    </x:row>
    <x:row r="168" ht="24" customHeight="1">
      <x:c r="A168" s="32" t="str">
        <x:v>C05</x:v>
      </x:c>
      <x:c r="B168" s="33" t="str">
        <x:v>[TRON] - YouTube 01 -  VT 5 Seg - {Reg SC} - 07/10</x:v>
      </x:c>
      <x:c r="C168" s="33" t="str">
        <x:v>5,0|km|Rodovia Jornalista Maurício Sirotski Sobrinho, 5451 - Jurerê, Florianópolis - SC</x:v>
      </x:c>
      <x:c r="D168" s="38" t="n">
        <x:v>1</x:v>
      </x:c>
      <x:c r="E168" s="38" t="n">
        <x:v>0</x:v>
      </x:c>
      <x:c r="F168" s="39" t="n">
        <x:v>0</x:v>
      </x:c>
      <x:c r="G168" s="40" t="n">
        <x:v>0</x:v>
      </x:c>
      <x:c r="H168" s="40" t="n">
        <x:v>1.44</x:v>
      </x:c>
      <x:c r="I168" s="32" t="n">
        <x:v>0</x:v>
      </x:c>
      <x:c r="J168" s="32" t="str">
        <x:v>1 de setembro de 2026 - 14 de outubro de 2026</x:v>
      </x:c>
      <x:c r="K168" s="32" t="str">
        <x:v>F053</x:v>
      </x:c>
    </x:row>
    <x:row r="169" ht="24" customHeight="1">
      <x:c r="A169" s="32" t="str">
        <x:v>C05</x:v>
      </x:c>
      <x:c r="B169" s="33" t="str">
        <x:v>[TRON] - YouTube 01 -  VT 5 Seg - {Reg SC} - 07/10</x:v>
      </x:c>
      <x:c r="C169" s="33" t="str">
        <x:v>5,0|km|Av. Mauro Ramos, 982 - Centro, Florianópolis - SC, 88020-300</x:v>
      </x:c>
      <x:c r="D169" s="38" t="n">
        <x:v>16</x:v>
      </x:c>
      <x:c r="E169" s="38" t="n">
        <x:v>0</x:v>
      </x:c>
      <x:c r="F169" s="39" t="n">
        <x:v>0</x:v>
      </x:c>
      <x:c r="G169" s="40" t="n">
        <x:v>0.07</x:v>
      </x:c>
      <x:c r="H169" s="40" t="n">
        <x:v>4.51</x:v>
      </x:c>
      <x:c r="I169" s="32" t="n">
        <x:v>0</x:v>
      </x:c>
      <x:c r="J169" s="32" t="str">
        <x:v>1 de setembro de 2026 - 14 de outubro de 2026</x:v>
      </x:c>
      <x:c r="K169" s="32" t="str">
        <x:v>F053</x:v>
      </x:c>
    </x:row>
    <x:row r="170" ht="24" customHeight="1">
      <x:c r="A170" s="32" t="str">
        <x:v>C05</x:v>
      </x:c>
      <x:c r="B170" s="33" t="str">
        <x:v>[TRON] - YouTube 01 -  VT 5 Seg - {Reg SC} - 07/10</x:v>
      </x:c>
      <x:c r="C170" s="33" t="str">
        <x:v>5,0|km|Av. Prof. Othon Gama D'Eça, 771 - Centro, Florianópolis - SC, 88015-240</x:v>
      </x:c>
      <x:c r="D170" s="38" t="n">
        <x:v>22</x:v>
      </x:c>
      <x:c r="E170" s="38" t="n">
        <x:v>0</x:v>
      </x:c>
      <x:c r="F170" s="39" t="n">
        <x:v>0</x:v>
      </x:c>
      <x:c r="G170" s="40" t="n">
        <x:v>0.04</x:v>
      </x:c>
      <x:c r="H170" s="40" t="n">
        <x:v>1.87</x:v>
      </x:c>
      <x:c r="I170" s="32" t="n">
        <x:v>0</x:v>
      </x:c>
      <x:c r="J170" s="32" t="str">
        <x:v>1 de setembro de 2026 - 14 de outubro de 2026</x:v>
      </x:c>
      <x:c r="K170" s="32" t="str">
        <x:v>F053</x:v>
      </x:c>
    </x:row>
    <x:row r="171" ht="24" customHeight="1">
      <x:c r="A171" s="32" t="str">
        <x:v>C05</x:v>
      </x:c>
      <x:c r="B171" s="33" t="str">
        <x:v>[TRON] - YouTube 01 -  VT 5 Seg - {Reg SC} - 07/10</x:v>
      </x:c>
      <x:c r="C171" s="33" t="str">
        <x:v>5,0|km|Rod. Francisco Magno Vieira, 373 - Costeira do Pirajubaé, Florianópolis - SC, 88063-700</x:v>
      </x:c>
      <x:c r="D171" s="38" t="n">
        <x:v>20</x:v>
      </x:c>
      <x:c r="E171" s="38" t="n">
        <x:v>0</x:v>
      </x:c>
      <x:c r="F171" s="39" t="n">
        <x:v>0</x:v>
      </x:c>
      <x:c r="G171" s="40" t="n">
        <x:v>0.07</x:v>
      </x:c>
      <x:c r="H171" s="40" t="n">
        <x:v>3.4</x:v>
      </x:c>
      <x:c r="I171" s="32" t="n">
        <x:v>0</x:v>
      </x:c>
      <x:c r="J171" s="32" t="str">
        <x:v>1 de setembro de 2026 - 14 de outubro de 2026</x:v>
      </x:c>
      <x:c r="K171" s="32" t="str">
        <x:v>F053</x:v>
      </x:c>
    </x:row>
    <x:row r="172" ht="24" customHeight="1">
      <x:c r="A172" s="32" t="str">
        <x:v>C05</x:v>
      </x:c>
      <x:c r="B172" s="33" t="str">
        <x:v>[TRON] - YouTube 01 -  VT 5 Seg - {Reg SC} - 07/10</x:v>
      </x:c>
      <x:c r="C172" s="33" t="str">
        <x:v>5,0|km|R. João Pio Duarte Silva, 1623 - Córrego Grande, Florianópolis - SC, 88037-001</x:v>
      </x:c>
      <x:c r="D172" s="38" t="n">
        <x:v>4</x:v>
      </x:c>
      <x:c r="E172" s="38" t="n">
        <x:v>0</x:v>
      </x:c>
      <x:c r="F172" s="39" t="n">
        <x:v>0</x:v>
      </x:c>
      <x:c r="G172" s="40" t="n">
        <x:v>0</x:v>
      </x:c>
      <x:c r="H172" s="40" t="n">
        <x:v>0.78</x:v>
      </x:c>
      <x:c r="I172" s="32" t="n">
        <x:v>0</x:v>
      </x:c>
      <x:c r="J172" s="32" t="str">
        <x:v>1 de setembro de 2026 - 14 de outubro de 2026</x:v>
      </x:c>
      <x:c r="K172" s="32" t="str">
        <x:v>F053</x:v>
      </x:c>
    </x:row>
    <x:row r="173" ht="24" customHeight="1">
      <x:c r="A173" s="32" t="str">
        <x:v>C05</x:v>
      </x:c>
      <x:c r="B173" s="33" t="str">
        <x:v>[TRON] - YouTube 01 -  VT 5 Seg - {Reg SC} - 07/10</x:v>
      </x:c>
      <x:c r="C173" s="33" t="str">
        <x:v>5,0|km|Av. Aniceto Zacchi, 222 - Pte. do Imaruim, Palhoça - SC, 88130-300</x:v>
      </x:c>
      <x:c r="D173" s="38" t="n">
        <x:v>36</x:v>
      </x:c>
      <x:c r="E173" s="38" t="n">
        <x:v>1</x:v>
      </x:c>
      <x:c r="F173" s="39" t="n">
        <x:v>0.0417</x:v>
      </x:c>
      <x:c r="G173" s="40" t="n">
        <x:v>0.07</x:v>
      </x:c>
      <x:c r="H173" s="40" t="n">
        <x:v>1.97</x:v>
      </x:c>
      <x:c r="I173" s="32" t="n">
        <x:v>0</x:v>
      </x:c>
      <x:c r="J173" s="32" t="str">
        <x:v>1 de setembro de 2026 - 14 de outubro de 2026</x:v>
      </x:c>
      <x:c r="K173" s="32" t="str">
        <x:v>F053</x:v>
      </x:c>
    </x:row>
    <x:row r="174" ht="24" customHeight="1">
      <x:c r="A174" s="32" t="str">
        <x:v>C05</x:v>
      </x:c>
      <x:c r="B174" s="33" t="str">
        <x:v>[TRON] - YouTube 01 -  VT 5 Seg - {Reg SC} - 07/10</x:v>
      </x:c>
      <x:c r="C174" s="33" t="str">
        <x:v>5,0|km|Rod. Gov. Mario Covas, 415 - Roçado, São José - SC</x:v>
      </x:c>
      <x:c r="D174" s="38" t="n">
        <x:v>123</x:v>
      </x:c>
      <x:c r="E174" s="38" t="n">
        <x:v>1</x:v>
      </x:c>
      <x:c r="F174" s="39" t="n">
        <x:v>0.0143</x:v>
      </x:c>
      <x:c r="G174" s="40" t="n">
        <x:v>0.19</x:v>
      </x:c>
      <x:c r="H174" s="40" t="n">
        <x:v>1.54</x:v>
      </x:c>
      <x:c r="I174" s="32" t="n">
        <x:v>0</x:v>
      </x:c>
      <x:c r="J174" s="32" t="str">
        <x:v>1 de setembro de 2026 - 14 de outubro de 2026</x:v>
      </x:c>
      <x:c r="K174" s="32" t="str">
        <x:v>F053</x:v>
      </x:c>
    </x:row>
    <x:row r="175" ht="24" customHeight="1">
      <x:c r="A175" s="32" t="str">
        <x:v>C05</x:v>
      </x:c>
      <x:c r="B175" s="33" t="str">
        <x:v>[TRON] - YouTube 01 -  VT 5 Seg - {Reg SC} - 07/10</x:v>
      </x:c>
      <x:c r="C175" s="33" t="str">
        <x:v>5,0|km|Supermercado Brasil Atacadista - SC-281, 2665 - Sertão do Maruim, São José - SC</x:v>
      </x:c>
      <x:c r="D175" s="38" t="n">
        <x:v>6</x:v>
      </x:c>
      <x:c r="E175" s="38" t="n">
        <x:v>0</x:v>
      </x:c>
      <x:c r="F175" s="39" t="n">
        <x:v>0</x:v>
      </x:c>
      <x:c r="G175" s="40" t="n">
        <x:v>0.02</x:v>
      </x:c>
      <x:c r="H175" s="40" t="n">
        <x:v>3.2</x:v>
      </x:c>
      <x:c r="I175" s="32" t="n">
        <x:v>0</x:v>
      </x:c>
      <x:c r="J175" s="32" t="str">
        <x:v>1 de setembro de 2026 - 14 de outubro de 2026</x:v>
      </x:c>
      <x:c r="K175" s="32" t="str">
        <x:v>F053</x:v>
      </x:c>
    </x:row>
    <x:row r="176" ht="24" customHeight="1">
      <x:c r="A176" s="32" t="str">
        <x:v>C05</x:v>
      </x:c>
      <x:c r="B176" s="33" t="str">
        <x:v>[TRON] - YouTube 01 -  VT 5 Seg - {Reg SC} - 07/10</x:v>
      </x:c>
      <x:c r="C176" s="33" t="str">
        <x:v>5,0|km|Shineray - Palhoça - Aririú - BR-101 - Aririu, Palhoça - SC</x:v>
      </x:c>
      <x:c r="D176" s="38" t="n">
        <x:v>11</x:v>
      </x:c>
      <x:c r="E176" s="38" t="n">
        <x:v>0</x:v>
      </x:c>
      <x:c r="F176" s="39" t="n">
        <x:v>0</x:v>
      </x:c>
      <x:c r="G176" s="40" t="n">
        <x:v>0.02</x:v>
      </x:c>
      <x:c r="H176" s="40" t="n">
        <x:v>1.38</x:v>
      </x:c>
      <x:c r="I176" s="32" t="n">
        <x:v>0</x:v>
      </x:c>
      <x:c r="J176" s="32" t="str">
        <x:v>1 de setembro de 2026 - 14 de outubro de 2026</x:v>
      </x:c>
      <x:c r="K176" s="32" t="str">
        <x:v>F053</x:v>
      </x:c>
    </x:row>
    <x:row r="177" ht="24" customHeight="1">
      <x:c r="A177" s="32" t="str">
        <x:v>C05</x:v>
      </x:c>
      <x:c r="B177" s="33" t="str">
        <x:v>[TRON] - YouTube 01 -  VT 5 Seg - {Reg SC} - 07/10</x:v>
      </x:c>
      <x:c r="C177" s="33" t="str">
        <x:v>5,0|km|R. Alexandre Sergio Godinho, 853 - Mar das Pedras, Biguaçu - SC, 88160-000</x:v>
      </x:c>
      <x:c r="D177" s="38" t="n">
        <x:v>4</x:v>
      </x:c>
      <x:c r="E177" s="38" t="n">
        <x:v>0</x:v>
      </x:c>
      <x:c r="F177" s="39" t="n">
        <x:v>0</x:v>
      </x:c>
      <x:c r="G177" s="40" t="n">
        <x:v>0.01</x:v>
      </x:c>
      <x:c r="H177" s="40" t="n">
        <x:v>2.28</x:v>
      </x:c>
      <x:c r="I177" s="32" t="n">
        <x:v>0</x:v>
      </x:c>
      <x:c r="J177" s="32" t="str">
        <x:v>1 de setembro de 2026 - 14 de outubro de 2026</x:v>
      </x:c>
      <x:c r="K177" s="32" t="str">
        <x:v>F053</x:v>
      </x:c>
    </x:row>
    <x:row r="178" ht="24" customHeight="1">
      <x:c r="A178" s="32" t="str">
        <x:v>C05</x:v>
      </x:c>
      <x:c r="B178" s="33" t="str">
        <x:v>[TRON] - YouTube 01 -  VT 5 Seg - {Reg SC} - 07/10</x:v>
      </x:c>
      <x:c r="C178" s="33" t="str">
        <x:v>5,0|km|R. Maj. Joaquim Alexandre​ Campos, 6037 - Centro, Santo Amaro da Imperatriz - SC, 88140-000</x:v>
      </x:c>
      <x:c r="D178" s="38" t="n">
        <x:v>3</x:v>
      </x:c>
      <x:c r="E178" s="38" t="n">
        <x:v>0</x:v>
      </x:c>
      <x:c r="F178" s="39" t="n">
        <x:v>0</x:v>
      </x:c>
      <x:c r="G178" s="40" t="n">
        <x:v>0.01</x:v>
      </x:c>
      <x:c r="H178" s="40" t="n">
        <x:v>3.59</x:v>
      </x:c>
      <x:c r="I178" s="32" t="n">
        <x:v>0</x:v>
      </x:c>
      <x:c r="J178" s="32" t="str">
        <x:v>1 de setembro de 2026 - 14 de outubro de 2026</x:v>
      </x:c>
      <x:c r="K178" s="32" t="str">
        <x:v>F053</x:v>
      </x:c>
    </x:row>
    <x:row r="179" ht="24" customHeight="1">
      <x:c r="A179" s="32" t="str">
        <x:v>C06</x:v>
      </x:c>
      <x:c r="B179" s="33" t="str">
        <x:v>[TRON] - YouTube 02 -  VT 5 Seg - {Reg SC} - 07/10</x:v>
      </x:c>
      <x:c r="C179" s="33" t="str">
        <x:v>5,0|km|Rua João Motta Espezim, 549-461 - Saco dos Limões, Florianópolis - SC, 88045-400</x:v>
      </x:c>
      <x:c r="D179" s="38" t="n">
        <x:v>115</x:v>
      </x:c>
      <x:c r="E179" s="38" t="n">
        <x:v>0</x:v>
      </x:c>
      <x:c r="F179" s="39" t="n">
        <x:v>0</x:v>
      </x:c>
      <x:c r="G179" s="40" t="n">
        <x:v>0.3</x:v>
      </x:c>
      <x:c r="H179" s="40" t="n">
        <x:v>2.58</x:v>
      </x:c>
      <x:c r="I179" s="32" t="n">
        <x:v>0</x:v>
      </x:c>
      <x:c r="J179" s="32" t="str">
        <x:v>1 de setembro de 2026 - 14 de outubro de 2026</x:v>
      </x:c>
      <x:c r="K179" s="32" t="str">
        <x:v>F068</x:v>
      </x:c>
    </x:row>
    <x:row r="180" ht="24" customHeight="1">
      <x:c r="A180" s="32" t="str">
        <x:v>C06</x:v>
      </x:c>
      <x:c r="B180" s="33" t="str">
        <x:v>[TRON] - YouTube 02 -  VT 5 Seg - {Reg SC} - 07/10</x:v>
      </x:c>
      <x:c r="C180" s="33" t="str">
        <x:v>5,0|km|Shineray - Palhoça - Aririú - BR-101 - Aririu, Palhoça - SC</x:v>
      </x:c>
      <x:c r="D180" s="38" t="n">
        <x:v>685</x:v>
      </x:c>
      <x:c r="E180" s="38" t="n">
        <x:v>2</x:v>
      </x:c>
      <x:c r="F180" s="39" t="n">
        <x:v>0.0078000000000000005</x:v>
      </x:c>
      <x:c r="G180" s="40" t="n">
        <x:v>1.91</x:v>
      </x:c>
      <x:c r="H180" s="40" t="n">
        <x:v>2.78</x:v>
      </x:c>
      <x:c r="I180" s="32" t="n">
        <x:v>0</x:v>
      </x:c>
      <x:c r="J180" s="32" t="str">
        <x:v>1 de setembro de 2026 - 14 de outubro de 2026</x:v>
      </x:c>
      <x:c r="K180" s="32" t="str">
        <x:v>F068</x:v>
      </x:c>
    </x:row>
    <x:row r="181" ht="24" customHeight="1">
      <x:c r="A181" s="32" t="str">
        <x:v>C06</x:v>
      </x:c>
      <x:c r="B181" s="33" t="str">
        <x:v>[TRON] - YouTube 02 -  VT 5 Seg - {Reg SC} - 07/10</x:v>
      </x:c>
      <x:c r="C181" s="33" t="str">
        <x:v>5,0|km|R. Paralela Novo Horizonte, 3530 - Capoeiras, Florianópolis - SC, 88090-085</x:v>
      </x:c>
      <x:c r="D181" s="38" t="n">
        <x:v>1118</x:v>
      </x:c>
      <x:c r="E181" s="38" t="n">
        <x:v>3</x:v>
      </x:c>
      <x:c r="F181" s="39" t="n">
        <x:v>0.0045000000000000005</x:v>
      </x:c>
      <x:c r="G181" s="40" t="n">
        <x:v>2.89</x:v>
      </x:c>
      <x:c r="H181" s="40" t="n">
        <x:v>2.58</x:v>
      </x:c>
      <x:c r="I181" s="32" t="n">
        <x:v>0</x:v>
      </x:c>
      <x:c r="J181" s="32" t="str">
        <x:v>1 de setembro de 2026 - 14 de outubro de 2026</x:v>
      </x:c>
      <x:c r="K181" s="32" t="str">
        <x:v>F068</x:v>
      </x:c>
    </x:row>
    <x:row r="182" ht="24" customHeight="1">
      <x:c r="A182" s="32" t="str">
        <x:v>C06</x:v>
      </x:c>
      <x:c r="B182" s="33" t="str">
        <x:v>[TRON] - YouTube 02 -  VT 5 Seg - {Reg SC} - 07/10</x:v>
      </x:c>
      <x:c r="C182" s="33" t="str">
        <x:v>5,0|km|Estrada, Rod. Armando Calil Bulos, 5890 - Ingleses Centro, Florianópolis - SC</x:v>
      </x:c>
      <x:c r="D182" s="38" t="n">
        <x:v>3984</x:v>
      </x:c>
      <x:c r="E182" s="38" t="n">
        <x:v>11</x:v>
      </x:c>
      <x:c r="F182" s="39" t="n">
        <x:v>0.0052</x:v>
      </x:c>
      <x:c r="G182" s="40" t="n">
        <x:v>10.06</x:v>
      </x:c>
      <x:c r="H182" s="40" t="n">
        <x:v>2.53</x:v>
      </x:c>
      <x:c r="I182" s="32" t="n">
        <x:v>0</x:v>
      </x:c>
      <x:c r="J182" s="32" t="str">
        <x:v>1 de setembro de 2026 - 14 de outubro de 2026</x:v>
      </x:c>
      <x:c r="K182" s="32" t="str">
        <x:v>F068</x:v>
      </x:c>
    </x:row>
    <x:row r="183" ht="24" customHeight="1">
      <x:c r="A183" s="32" t="str">
        <x:v>C06</x:v>
      </x:c>
      <x:c r="B183" s="33" t="str">
        <x:v>[TRON] - YouTube 02 -  VT 5 Seg - {Reg SC} - 07/10</x:v>
      </x:c>
      <x:c r="C183" s="33" t="str">
        <x:v>5,0|km|Av. Prof. Othon Gama D'Eça, 771 - Centro, Florianópolis - SC, 88015-240</x:v>
      </x:c>
      <x:c r="D183" s="38" t="n">
        <x:v>2165</x:v>
      </x:c>
      <x:c r="E183" s="38" t="n">
        <x:v>3</x:v>
      </x:c>
      <x:c r="F183" s="39" t="n">
        <x:v>0.0027</x:v>
      </x:c>
      <x:c r="G183" s="40" t="n">
        <x:v>5.29</x:v>
      </x:c>
      <x:c r="H183" s="40" t="n">
        <x:v>2.44</x:v>
      </x:c>
      <x:c r="I183" s="32" t="n">
        <x:v>0</x:v>
      </x:c>
      <x:c r="J183" s="32" t="str">
        <x:v>1 de setembro de 2026 - 14 de outubro de 2026</x:v>
      </x:c>
      <x:c r="K183" s="32" t="str">
        <x:v>F068</x:v>
      </x:c>
    </x:row>
    <x:row r="184" ht="24" customHeight="1">
      <x:c r="A184" s="32" t="str">
        <x:v>C06</x:v>
      </x:c>
      <x:c r="B184" s="33" t="str">
        <x:v>[TRON] - YouTube 02 -  VT 5 Seg - {Reg SC} - 07/10</x:v>
      </x:c>
      <x:c r="C184" s="33" t="str">
        <x:v>5,0|km|Av. Eng. Max de Souza, 740 - Coqueiros, Florianópolis - SC, 88080-000</x:v>
      </x:c>
      <x:c r="D184" s="38" t="n">
        <x:v>3336</x:v>
      </x:c>
      <x:c r="E184" s="38" t="n">
        <x:v>6</x:v>
      </x:c>
      <x:c r="F184" s="39" t="n">
        <x:v>0.003</x:v>
      </x:c>
      <x:c r="G184" s="40" t="n">
        <x:v>8.18</x:v>
      </x:c>
      <x:c r="H184" s="40" t="n">
        <x:v>2.45</x:v>
      </x:c>
      <x:c r="I184" s="32" t="n">
        <x:v>0</x:v>
      </x:c>
      <x:c r="J184" s="32" t="str">
        <x:v>1 de setembro de 2026 - 14 de outubro de 2026</x:v>
      </x:c>
      <x:c r="K184" s="32" t="str">
        <x:v>F068</x:v>
      </x:c>
    </x:row>
    <x:row r="185" ht="24" customHeight="1">
      <x:c r="A185" s="32" t="str">
        <x:v>C06</x:v>
      </x:c>
      <x:c r="B185" s="33" t="str">
        <x:v>[TRON] - YouTube 02 -  VT 5 Seg - {Reg SC} - 07/10</x:v>
      </x:c>
      <x:c r="C185" s="33" t="str">
        <x:v>5,0|km|Av. Delamar José da Silva, s/n - Kobrasol, São José - SC, 88102-080</x:v>
      </x:c>
      <x:c r="D185" s="38" t="n">
        <x:v>84</x:v>
      </x:c>
      <x:c r="E185" s="38" t="n">
        <x:v>0</x:v>
      </x:c>
      <x:c r="F185" s="39" t="n">
        <x:v>0</x:v>
      </x:c>
      <x:c r="G185" s="40" t="n">
        <x:v>0.25</x:v>
      </x:c>
      <x:c r="H185" s="40" t="n">
        <x:v>2.98</x:v>
      </x:c>
      <x:c r="I185" s="32" t="n">
        <x:v>0</x:v>
      </x:c>
      <x:c r="J185" s="32" t="str">
        <x:v>1 de setembro de 2026 - 14 de outubro de 2026</x:v>
      </x:c>
      <x:c r="K185" s="32" t="str">
        <x:v>F068</x:v>
      </x:c>
    </x:row>
    <x:row r="186" ht="24" customHeight="1">
      <x:c r="A186" s="32" t="str">
        <x:v>C06</x:v>
      </x:c>
      <x:c r="B186" s="33" t="str">
        <x:v>[TRON] - YouTube 02 -  VT 5 Seg - {Reg SC} - 07/10</x:v>
      </x:c>
      <x:c r="C186" s="33" t="str">
        <x:v>5,0|km|Av. das Nações, 192 - Canasvieiras, Florianópolis - SC, 88054-010</x:v>
      </x:c>
      <x:c r="D186" s="38" t="n">
        <x:v>1141</x:v>
      </x:c>
      <x:c r="E186" s="38" t="n">
        <x:v>5</x:v>
      </x:c>
      <x:c r="F186" s="39" t="n">
        <x:v>0.0089</x:v>
      </x:c>
      <x:c r="G186" s="40" t="n">
        <x:v>2.69</x:v>
      </x:c>
      <x:c r="H186" s="40" t="n">
        <x:v>2.36</x:v>
      </x:c>
      <x:c r="I186" s="32" t="n">
        <x:v>0</x:v>
      </x:c>
      <x:c r="J186" s="32" t="str">
        <x:v>1 de setembro de 2026 - 14 de outubro de 2026</x:v>
      </x:c>
      <x:c r="K186" s="32" t="str">
        <x:v>F068</x:v>
      </x:c>
    </x:row>
    <x:row r="187" ht="24" customHeight="1">
      <x:c r="A187" s="32" t="str">
        <x:v>C06</x:v>
      </x:c>
      <x:c r="B187" s="33" t="str">
        <x:v>[TRON] - YouTube 02 -  VT 5 Seg - {Reg SC} - 07/10</x:v>
      </x:c>
      <x:c r="C187" s="33" t="str">
        <x:v>5,0|km|Av. Vidal Procópio Lohn - Rio Grande, Palhoça - SC</x:v>
      </x:c>
      <x:c r="D187" s="38" t="n">
        <x:v>5120</x:v>
      </x:c>
      <x:c r="E187" s="38" t="n">
        <x:v>12</x:v>
      </x:c>
      <x:c r="F187" s="39" t="n">
        <x:v>0.0039000000000000003</x:v>
      </x:c>
      <x:c r="G187" s="40" t="n">
        <x:v>12.91</x:v>
      </x:c>
      <x:c r="H187" s="40" t="n">
        <x:v>2.52</x:v>
      </x:c>
      <x:c r="I187" s="32" t="n">
        <x:v>0</x:v>
      </x:c>
      <x:c r="J187" s="32" t="str">
        <x:v>1 de setembro de 2026 - 14 de outubro de 2026</x:v>
      </x:c>
      <x:c r="K187" s="32" t="str">
        <x:v>F068</x:v>
      </x:c>
    </x:row>
    <x:row r="188" ht="24" customHeight="1">
      <x:c r="A188" s="32" t="str">
        <x:v>C06</x:v>
      </x:c>
      <x:c r="B188" s="33" t="str">
        <x:v>[TRON] - YouTube 02 -  VT 5 Seg - {Reg SC} - 07/10</x:v>
      </x:c>
      <x:c r="C188" s="33" t="str">
        <x:v>5,0|km|Rod. Francisco Magno Vieira, 373 - Costeira do Pirajubaé, Florianópolis - SC, 88063-700</x:v>
      </x:c>
      <x:c r="D188" s="38" t="n">
        <x:v>1394</x:v>
      </x:c>
      <x:c r="E188" s="38" t="n">
        <x:v>3</x:v>
      </x:c>
      <x:c r="F188" s="39" t="n">
        <x:v>0.0036</x:v>
      </x:c>
      <x:c r="G188" s="40" t="n">
        <x:v>3.31</x:v>
      </x:c>
      <x:c r="H188" s="40" t="n">
        <x:v>2.38</x:v>
      </x:c>
      <x:c r="I188" s="32" t="n">
        <x:v>0</x:v>
      </x:c>
      <x:c r="J188" s="32" t="str">
        <x:v>1 de setembro de 2026 - 14 de outubro de 2026</x:v>
      </x:c>
      <x:c r="K188" s="32" t="str">
        <x:v>F068</x:v>
      </x:c>
    </x:row>
    <x:row r="189" ht="24" customHeight="1">
      <x:c r="A189" s="32" t="str">
        <x:v>C06</x:v>
      </x:c>
      <x:c r="B189" s="33" t="str">
        <x:v>[TRON] - YouTube 02 -  VT 5 Seg - {Reg SC} - 07/10</x:v>
      </x:c>
      <x:c r="C189" s="33" t="str">
        <x:v>5,0|km|Av. Mauro Ramos, 982 - Centro, Florianópolis - SC, 88020-300</x:v>
      </x:c>
      <x:c r="D189" s="38" t="n">
        <x:v>584</x:v>
      </x:c>
      <x:c r="E189" s="38" t="n">
        <x:v>1</x:v>
      </x:c>
      <x:c r="F189" s="39" t="n">
        <x:v>0.0032</x:v>
      </x:c>
      <x:c r="G189" s="40" t="n">
        <x:v>1.53</x:v>
      </x:c>
      <x:c r="H189" s="40" t="n">
        <x:v>2.62</x:v>
      </x:c>
      <x:c r="I189" s="32" t="n">
        <x:v>0</x:v>
      </x:c>
      <x:c r="J189" s="32" t="str">
        <x:v>1 de setembro de 2026 - 14 de outubro de 2026</x:v>
      </x:c>
      <x:c r="K189" s="32" t="str">
        <x:v>F068</x:v>
      </x:c>
    </x:row>
    <x:row r="190" ht="24" customHeight="1">
      <x:c r="A190" s="32" t="str">
        <x:v>C06</x:v>
      </x:c>
      <x:c r="B190" s="33" t="str">
        <x:v>[TRON] - YouTube 02 -  VT 5 Seg - {Reg SC} - 07/10</x:v>
      </x:c>
      <x:c r="C190" s="33" t="str">
        <x:v>5,0|km|Av. Presidente Kennedy, 861 - Campinas, São José - SC, 88101-001</x:v>
      </x:c>
      <x:c r="D190" s="38" t="n">
        <x:v>542</x:v>
      </x:c>
      <x:c r="E190" s="38" t="n">
        <x:v>0</x:v>
      </x:c>
      <x:c r="F190" s="39" t="n">
        <x:v>0</x:v>
      </x:c>
      <x:c r="G190" s="40" t="n">
        <x:v>1.37</x:v>
      </x:c>
      <x:c r="H190" s="40" t="n">
        <x:v>2.53</x:v>
      </x:c>
      <x:c r="I190" s="32" t="n">
        <x:v>0</x:v>
      </x:c>
      <x:c r="J190" s="32" t="str">
        <x:v>1 de setembro de 2026 - 14 de outubro de 2026</x:v>
      </x:c>
      <x:c r="K190" s="32" t="str">
        <x:v>F068</x:v>
      </x:c>
    </x:row>
    <x:row r="191" ht="24" customHeight="1">
      <x:c r="A191" s="32" t="str">
        <x:v>C06</x:v>
      </x:c>
      <x:c r="B191" s="33" t="str">
        <x:v>[TRON] - YouTube 02 -  VT 5 Seg - {Reg SC} - 07/10</x:v>
      </x:c>
      <x:c r="C191" s="33" t="str">
        <x:v>5,0|km|R. João Pio Duarte Silva, 1623 - Córrego Grande, Florianópolis - SC, 88037-001</x:v>
      </x:c>
      <x:c r="D191" s="38" t="n">
        <x:v>333</x:v>
      </x:c>
      <x:c r="E191" s="38" t="n">
        <x:v>0</x:v>
      </x:c>
      <x:c r="F191" s="39" t="n">
        <x:v>0</x:v>
      </x:c>
      <x:c r="G191" s="40" t="n">
        <x:v>0.71</x:v>
      </x:c>
      <x:c r="H191" s="40" t="n">
        <x:v>2.14</x:v>
      </x:c>
      <x:c r="I191" s="32" t="n">
        <x:v>0</x:v>
      </x:c>
      <x:c r="J191" s="32" t="str">
        <x:v>1 de setembro de 2026 - 14 de outubro de 2026</x:v>
      </x:c>
      <x:c r="K191" s="32" t="str">
        <x:v>F068</x:v>
      </x:c>
    </x:row>
    <x:row r="192" ht="24" customHeight="1">
      <x:c r="A192" s="32" t="str">
        <x:v>C06</x:v>
      </x:c>
      <x:c r="B192" s="33" t="str">
        <x:v>[TRON] - YouTube 02 -  VT 5 Seg - {Reg SC} - 07/10</x:v>
      </x:c>
      <x:c r="C192" s="33" t="str">
        <x:v>5,0|km|R. Maj. Joaquim Alexandre​ Campos, 6037 - Centro, Santo Amaro da Imperatriz - SC, 88140-000</x:v>
      </x:c>
      <x:c r="D192" s="38" t="n">
        <x:v>565</x:v>
      </x:c>
      <x:c r="E192" s="38" t="n">
        <x:v>0</x:v>
      </x:c>
      <x:c r="F192" s="39" t="n">
        <x:v>0</x:v>
      </x:c>
      <x:c r="G192" s="40" t="n">
        <x:v>1.6</x:v>
      </x:c>
      <x:c r="H192" s="40" t="n">
        <x:v>2.84</x:v>
      </x:c>
      <x:c r="I192" s="32" t="n">
        <x:v>0</x:v>
      </x:c>
      <x:c r="J192" s="32" t="str">
        <x:v>1 de setembro de 2026 - 14 de outubro de 2026</x:v>
      </x:c>
      <x:c r="K192" s="32" t="str">
        <x:v>F068</x:v>
      </x:c>
    </x:row>
    <x:row r="193" ht="24" customHeight="1">
      <x:c r="A193" s="32" t="str">
        <x:v>C06</x:v>
      </x:c>
      <x:c r="B193" s="33" t="str">
        <x:v>[TRON] - YouTube 02 -  VT 5 Seg - {Reg SC} - 07/10</x:v>
      </x:c>
      <x:c r="C193" s="33" t="str">
        <x:v>5,0|km|R. Alexandre Sergio Godinho, 853 - Mar das Pedras, Biguaçu - SC, 88160-000</x:v>
      </x:c>
      <x:c r="D193" s="38" t="n">
        <x:v>645</x:v>
      </x:c>
      <x:c r="E193" s="38" t="n">
        <x:v>3</x:v>
      </x:c>
      <x:c r="F193" s="39" t="n">
        <x:v>0.0181</x:v>
      </x:c>
      <x:c r="G193" s="40" t="n">
        <x:v>1.91</x:v>
      </x:c>
      <x:c r="H193" s="40" t="n">
        <x:v>2.97</x:v>
      </x:c>
      <x:c r="I193" s="32" t="n">
        <x:v>0</x:v>
      </x:c>
      <x:c r="J193" s="32" t="str">
        <x:v>1 de setembro de 2026 - 14 de outubro de 2026</x:v>
      </x:c>
      <x:c r="K193" s="32" t="str">
        <x:v>F068</x:v>
      </x:c>
    </x:row>
    <x:row r="194" ht="24" customHeight="1">
      <x:c r="A194" s="32" t="str">
        <x:v>C06</x:v>
      </x:c>
      <x:c r="B194" s="33" t="str">
        <x:v>[TRON] - YouTube 02 -  VT 5 Seg - {Reg SC} - 07/10</x:v>
      </x:c>
      <x:c r="C194" s="33" t="str">
        <x:v>5,0|km|Rodovia Jornalista Maurício Sirotski Sobrinho, 5451 - Jurerê, Florianópolis - SC</x:v>
      </x:c>
      <x:c r="D194" s="38" t="n">
        <x:v>223</x:v>
      </x:c>
      <x:c r="E194" s="38" t="n">
        <x:v>2</x:v>
      </x:c>
      <x:c r="F194" s="39" t="n">
        <x:v>0.0225</x:v>
      </x:c>
      <x:c r="G194" s="40" t="n">
        <x:v>0.55</x:v>
      </x:c>
      <x:c r="H194" s="40" t="n">
        <x:v>2.47</x:v>
      </x:c>
      <x:c r="I194" s="32" t="n">
        <x:v>0</x:v>
      </x:c>
      <x:c r="J194" s="32" t="str">
        <x:v>1 de setembro de 2026 - 14 de outubro de 2026</x:v>
      </x:c>
      <x:c r="K194" s="32" t="str">
        <x:v>F068</x:v>
      </x:c>
    </x:row>
    <x:row r="195" ht="24" customHeight="1">
      <x:c r="A195" s="32" t="str">
        <x:v>C06</x:v>
      </x:c>
      <x:c r="B195" s="33" t="str">
        <x:v>[TRON] - YouTube 02 -  VT 5 Seg - {Reg SC} - 07/10</x:v>
      </x:c>
      <x:c r="C195" s="33" t="str">
        <x:v>0,0||</x:v>
      </x:c>
      <x:c r="D195" s="38" t="n">
        <x:v>708</x:v>
      </x:c>
      <x:c r="E195" s="38" t="n">
        <x:v>2</x:v>
      </x:c>
      <x:c r="F195" s="39" t="n">
        <x:v>0.006999999999999999</x:v>
      </x:c>
      <x:c r="G195" s="40" t="n">
        <x:v>1.85</x:v>
      </x:c>
      <x:c r="H195" s="40" t="n">
        <x:v>2.62</x:v>
      </x:c>
      <x:c r="I195" s="32" t="n">
        <x:v>0</x:v>
      </x:c>
      <x:c r="J195" s="32" t="str">
        <x:v>1 de setembro de 2026 - 14 de outubro de 2026</x:v>
      </x:c>
      <x:c r="K195" s="32" t="str">
        <x:v>F068</x:v>
      </x:c>
    </x:row>
    <x:row r="196" ht="24" customHeight="1">
      <x:c r="A196" s="32" t="str">
        <x:v>C06</x:v>
      </x:c>
      <x:c r="B196" s="33" t="str">
        <x:v>[TRON] - YouTube 02 -  VT 5 Seg - {Reg SC} - 07/10</x:v>
      </x:c>
      <x:c r="C196" s="33" t="str">
        <x:v>5,0|km|R. Lauro Linhares, 2010 - Trindade, Florianópolis - SC, 88036-002</x:v>
      </x:c>
      <x:c r="D196" s="38" t="n">
        <x:v>719</x:v>
      </x:c>
      <x:c r="E196" s="38" t="n">
        <x:v>2</x:v>
      </x:c>
      <x:c r="F196" s="39" t="n">
        <x:v>0.005699999999999999</x:v>
      </x:c>
      <x:c r="G196" s="40" t="n">
        <x:v>1.82</x:v>
      </x:c>
      <x:c r="H196" s="40" t="n">
        <x:v>2.53</x:v>
      </x:c>
      <x:c r="I196" s="32" t="n">
        <x:v>0</x:v>
      </x:c>
      <x:c r="J196" s="32" t="str">
        <x:v>1 de setembro de 2026 - 14 de outubro de 2026</x:v>
      </x:c>
      <x:c r="K196" s="32" t="str">
        <x:v>F068</x:v>
      </x:c>
    </x:row>
    <x:row r="197" ht="24" customHeight="1">
      <x:c r="A197" s="32" t="str">
        <x:v>C06</x:v>
      </x:c>
      <x:c r="B197" s="33" t="str">
        <x:v>[TRON] - YouTube 02 -  VT 5 Seg - {Reg SC} - 07/10</x:v>
      </x:c>
      <x:c r="C197" s="33" t="str">
        <x:v>5,0|km|Supermercado Brasil Atacadista - SC-281, 2665 - Sertão do Maruim, São José - SC</x:v>
      </x:c>
      <x:c r="D197" s="38" t="n">
        <x:v>1171</x:v>
      </x:c>
      <x:c r="E197" s="38" t="n">
        <x:v>6</x:v>
      </x:c>
      <x:c r="F197" s="39" t="n">
        <x:v>0.013600000000000001</x:v>
      </x:c>
      <x:c r="G197" s="40" t="n">
        <x:v>3.15</x:v>
      </x:c>
      <x:c r="H197" s="40" t="n">
        <x:v>2.69</x:v>
      </x:c>
      <x:c r="I197" s="32" t="n">
        <x:v>0</x:v>
      </x:c>
      <x:c r="J197" s="32" t="str">
        <x:v>1 de setembro de 2026 - 14 de outubro de 2026</x:v>
      </x:c>
      <x:c r="K197" s="32" t="str">
        <x:v>F068</x:v>
      </x:c>
    </x:row>
    <x:row r="198" ht="24" customHeight="1">
      <x:c r="A198" s="32" t="str">
        <x:v>C06</x:v>
      </x:c>
      <x:c r="B198" s="33" t="str">
        <x:v>[TRON] - YouTube 02 -  VT 5 Seg - {Reg SC} - 07/10</x:v>
      </x:c>
      <x:c r="C198" s="33" t="str">
        <x:v>5,0|km|Rua João Coan, 390 Bairro - Universitarios, Biguaçu - SC, 88160-000</x:v>
      </x:c>
      <x:c r="D198" s="38" t="n">
        <x:v>2282</x:v>
      </x:c>
      <x:c r="E198" s="38" t="n">
        <x:v>14</x:v>
      </x:c>
      <x:c r="F198" s="39" t="n">
        <x:v>0.0127</x:v>
      </x:c>
      <x:c r="G198" s="40" t="n">
        <x:v>6.12</x:v>
      </x:c>
      <x:c r="H198" s="40" t="n">
        <x:v>2.68</x:v>
      </x:c>
      <x:c r="I198" s="32" t="n">
        <x:v>0</x:v>
      </x:c>
      <x:c r="J198" s="32" t="str">
        <x:v>1 de setembro de 2026 - 14 de outubro de 2026</x:v>
      </x:c>
      <x:c r="K198" s="32" t="str">
        <x:v>F068</x:v>
      </x:c>
    </x:row>
    <x:row r="199" ht="24" customHeight="1">
      <x:c r="A199" s="32" t="str">
        <x:v>C06</x:v>
      </x:c>
      <x:c r="B199" s="33" t="str">
        <x:v>[TRON] - YouTube 02 -  VT 5 Seg - {Reg SC} - 07/10</x:v>
      </x:c>
      <x:c r="C199" s="33" t="str">
        <x:v>5,0|km|R. Gen. Liberato Bittencourt, 1885 - Estreito, Florianópolis - SC, 88070-800</x:v>
      </x:c>
      <x:c r="D199" s="38" t="n">
        <x:v>191</x:v>
      </x:c>
      <x:c r="E199" s="38" t="n">
        <x:v>0</x:v>
      </x:c>
      <x:c r="F199" s="39" t="n">
        <x:v>0</x:v>
      </x:c>
      <x:c r="G199" s="40" t="n">
        <x:v>0.62</x:v>
      </x:c>
      <x:c r="H199" s="40" t="n">
        <x:v>3.23</x:v>
      </x:c>
      <x:c r="I199" s="32" t="n">
        <x:v>0</x:v>
      </x:c>
      <x:c r="J199" s="32" t="str">
        <x:v>1 de setembro de 2026 - 14 de outubro de 2026</x:v>
      </x:c>
      <x:c r="K199" s="32" t="str">
        <x:v>F068</x:v>
      </x:c>
    </x:row>
    <x:row r="200" ht="24" customHeight="1">
      <x:c r="A200" s="32" t="str">
        <x:v>C06</x:v>
      </x:c>
      <x:c r="B200" s="33" t="str">
        <x:v>[TRON] - YouTube 02 -  VT 5 Seg - {Reg SC} - 07/10</x:v>
      </x:c>
      <x:c r="C200" s="33" t="str">
        <x:v>5,0|km|Rod. Gov. Mario Covas, 415 - Roçado, São José - SC</x:v>
      </x:c>
      <x:c r="D200" s="38" t="n">
        <x:v>9357</x:v>
      </x:c>
      <x:c r="E200" s="38" t="n">
        <x:v>18</x:v>
      </x:c>
      <x:c r="F200" s="39" t="n">
        <x:v>0.0039000000000000003</x:v>
      </x:c>
      <x:c r="G200" s="40" t="n">
        <x:v>23.81</x:v>
      </x:c>
      <x:c r="H200" s="40" t="n">
        <x:v>2.54</x:v>
      </x:c>
      <x:c r="I200" s="32" t="n">
        <x:v>0</x:v>
      </x:c>
      <x:c r="J200" s="32" t="str">
        <x:v>1 de setembro de 2026 - 14 de outubro de 2026</x:v>
      </x:c>
      <x:c r="K200" s="32" t="str">
        <x:v>F068</x:v>
      </x:c>
    </x:row>
    <x:row r="201" ht="24" customHeight="1">
      <x:c r="A201" s="32" t="str">
        <x:v>C06</x:v>
      </x:c>
      <x:c r="B201" s="33" t="str">
        <x:v>[TRON] - YouTube 02 -  VT 5 Seg - {Reg SC} - 07/10</x:v>
      </x:c>
      <x:c r="C201" s="33" t="str">
        <x:v>5,0|km|R. Arnoldo Pedro Meira - Ipiranga, São José - SC, 88111-370</x:v>
      </x:c>
      <x:c r="D201" s="38" t="n">
        <x:v>2835</x:v>
      </x:c>
      <x:c r="E201" s="38" t="n">
        <x:v>13</x:v>
      </x:c>
      <x:c r="F201" s="39" t="n">
        <x:v>0.0103</x:v>
      </x:c>
      <x:c r="G201" s="40" t="n">
        <x:v>7.43</x:v>
      </x:c>
      <x:c r="H201" s="40" t="n">
        <x:v>2.62</x:v>
      </x:c>
      <x:c r="I201" s="32" t="n">
        <x:v>0</x:v>
      </x:c>
      <x:c r="J201" s="32" t="str">
        <x:v>1 de setembro de 2026 - 14 de outubro de 2026</x:v>
      </x:c>
      <x:c r="K201" s="32" t="str">
        <x:v>F068</x:v>
      </x:c>
    </x:row>
    <x:row r="202" ht="24" customHeight="1">
      <x:c r="A202" s="32" t="str">
        <x:v>C06</x:v>
      </x:c>
      <x:c r="B202" s="33" t="str">
        <x:v>[TRON] - YouTube 02 -  VT 5 Seg - {Reg SC} - 07/10</x:v>
      </x:c>
      <x:c r="C202" s="33" t="str">
        <x:v>5,0|km|Av. Aniceto Zacchi, 222 - Pte. do Imaruim, Palhoça - SC, 88130-300</x:v>
      </x:c>
      <x:c r="D202" s="38" t="n">
        <x:v>4649</x:v>
      </x:c>
      <x:c r="E202" s="38" t="n">
        <x:v>21</x:v>
      </x:c>
      <x:c r="F202" s="39" t="n">
        <x:v>0.010700000000000001</x:v>
      </x:c>
      <x:c r="G202" s="40" t="n">
        <x:v>12.1</x:v>
      </x:c>
      <x:c r="H202" s="40" t="n">
        <x:v>2.6</x:v>
      </x:c>
      <x:c r="I202" s="32" t="n">
        <x:v>0</x:v>
      </x:c>
      <x:c r="J202" s="32" t="str">
        <x:v>1 de setembro de 2026 - 14 de outubro de 2026</x:v>
      </x:c>
      <x:c r="K202" s="32" t="str">
        <x:v>F068</x:v>
      </x:c>
    </x:row>
    <x:row r="203" ht="24" customHeight="1">
      <x:c r="A203" s="32" t="str">
        <x:v>C06</x:v>
      </x:c>
      <x:c r="B203" s="33" t="str">
        <x:v>[TRON] - YouTube 02 -  VT 5 Seg - {Reg SC} - 07/10</x:v>
      </x:c>
      <x:c r="C203" s="33" t="str">
        <x:v>5,0|km|Av. Juscelino K. de Oliveira, 469 - Capoeiras, Florianópolis - SC, 88070-120</x:v>
      </x:c>
      <x:c r="D203" s="38" t="n">
        <x:v>24</x:v>
      </x:c>
      <x:c r="E203" s="38" t="n">
        <x:v>0</x:v>
      </x:c>
      <x:c r="F203" s="39" t="n">
        <x:v>0</x:v>
      </x:c>
      <x:c r="G203" s="40" t="n">
        <x:v>0.06</x:v>
      </x:c>
      <x:c r="H203" s="40" t="n">
        <x:v>2.67</x:v>
      </x:c>
      <x:c r="I203" s="32" t="n">
        <x:v>0</x:v>
      </x:c>
      <x:c r="J203" s="32" t="str">
        <x:v>1 de setembro de 2026 - 14 de outubro de 2026</x:v>
      </x:c>
      <x:c r="K203" s="32" t="str">
        <x:v>F068</x:v>
      </x:c>
    </x:row>
    <x:row r="204" ht="24" customHeight="1">
      <x:c r="A204" s="32" t="str">
        <x:v>C06</x:v>
      </x:c>
      <x:c r="B204" s="33" t="str">
        <x:v>[TRON] - YouTube 02 -  VT 5 Seg - {Reg SC} - 07/10</x:v>
      </x:c>
      <x:c r="C204" s="33" t="str">
        <x:v>5,0|km|R. Bocaiúva, 2468 - Centro, Florianópolis - SC</x:v>
      </x:c>
      <x:c r="D204" s="38" t="n">
        <x:v>12</x:v>
      </x:c>
      <x:c r="E204" s="38" t="n">
        <x:v>0</x:v>
      </x:c>
      <x:c r="F204" s="39" t="n">
        <x:v>0</x:v>
      </x:c>
      <x:c r="G204" s="40" t="n">
        <x:v>0.02</x:v>
      </x:c>
      <x:c r="H204" s="40" t="n">
        <x:v>1.79</x:v>
      </x:c>
      <x:c r="I204" s="32" t="n">
        <x:v>0</x:v>
      </x:c>
      <x:c r="J204" s="32" t="str">
        <x:v>1 de setembro de 2026 - 14 de outubro de 2026</x:v>
      </x:c>
      <x:c r="K204" s="32" t="str">
        <x:v>F068</x:v>
      </x:c>
    </x:row>
    <x:row r="205" ht="24" customHeight="1">
      <x:c r="A205" s="32" t="str">
        <x:v>C07</x:v>
      </x:c>
      <x:c r="B205" s="33" t="str">
        <x:v>[TRON] - YouTube 03 -  VT 5 Seg - {Reg SC} - 07/10</x:v>
      </x:c>
      <x:c r="C205" s="33" t="str">
        <x:v>5,0|km|Rod. Gov. Mario Covas, 415 - Roçado, São José - SC</x:v>
      </x:c>
      <x:c r="D205" s="38" t="n">
        <x:v>8402</x:v>
      </x:c>
      <x:c r="E205" s="38" t="n">
        <x:v>14</x:v>
      </x:c>
      <x:c r="F205" s="39" t="n">
        <x:v>0.0034999999999999996</x:v>
      </x:c>
      <x:c r="G205" s="40" t="n">
        <x:v>23.13</x:v>
      </x:c>
      <x:c r="H205" s="40" t="n">
        <x:v>2.75</x:v>
      </x:c>
      <x:c r="I205" s="32" t="n">
        <x:v>0</x:v>
      </x:c>
      <x:c r="J205" s="32" t="str">
        <x:v>1 de setembro de 2026 - 14 de outubro de 2026</x:v>
      </x:c>
      <x:c r="K205" s="32" t="str">
        <x:v>F083</x:v>
      </x:c>
    </x:row>
    <x:row r="206" ht="24" customHeight="1">
      <x:c r="A206" s="32" t="str">
        <x:v>C07</x:v>
      </x:c>
      <x:c r="B206" s="33" t="str">
        <x:v>[TRON] - YouTube 03 -  VT 5 Seg - {Reg SC} - 07/10</x:v>
      </x:c>
      <x:c r="C206" s="33" t="str">
        <x:v>5,0|km|Estrada, Rod. Armando Calil Bulos, 5890 - Ingleses Centro, Florianópolis - SC</x:v>
      </x:c>
      <x:c r="D206" s="38" t="n">
        <x:v>4132</x:v>
      </x:c>
      <x:c r="E206" s="38" t="n">
        <x:v>6</x:v>
      </x:c>
      <x:c r="F206" s="39" t="n">
        <x:v>0.0029</x:v>
      </x:c>
      <x:c r="G206" s="40" t="n">
        <x:v>11.07</x:v>
      </x:c>
      <x:c r="H206" s="40" t="n">
        <x:v>2.68</x:v>
      </x:c>
      <x:c r="I206" s="32" t="n">
        <x:v>0</x:v>
      </x:c>
      <x:c r="J206" s="32" t="str">
        <x:v>1 de setembro de 2026 - 14 de outubro de 2026</x:v>
      </x:c>
      <x:c r="K206" s="32" t="str">
        <x:v>F083</x:v>
      </x:c>
    </x:row>
    <x:row r="207" ht="24" customHeight="1">
      <x:c r="A207" s="32" t="str">
        <x:v>C07</x:v>
      </x:c>
      <x:c r="B207" s="33" t="str">
        <x:v>[TRON] - YouTube 03 -  VT 5 Seg - {Reg SC} - 07/10</x:v>
      </x:c>
      <x:c r="C207" s="33" t="str">
        <x:v>5,0|km|Av. Prof. Othon Gama D'Eça, 771 - Centro, Florianópolis - SC, 88015-240</x:v>
      </x:c>
      <x:c r="D207" s="38" t="n">
        <x:v>2484</x:v>
      </x:c>
      <x:c r="E207" s="38" t="n">
        <x:v>4</x:v>
      </x:c>
      <x:c r="F207" s="39" t="n">
        <x:v>0.0032</x:v>
      </x:c>
      <x:c r="G207" s="40" t="n">
        <x:v>6.04</x:v>
      </x:c>
      <x:c r="H207" s="40" t="n">
        <x:v>2.43</x:v>
      </x:c>
      <x:c r="I207" s="32" t="n">
        <x:v>0</x:v>
      </x:c>
      <x:c r="J207" s="32" t="str">
        <x:v>1 de setembro de 2026 - 14 de outubro de 2026</x:v>
      </x:c>
      <x:c r="K207" s="32" t="str">
        <x:v>F083</x:v>
      </x:c>
    </x:row>
    <x:row r="208" ht="24" customHeight="1">
      <x:c r="A208" s="32" t="str">
        <x:v>C07</x:v>
      </x:c>
      <x:c r="B208" s="33" t="str">
        <x:v>[TRON] - YouTube 03 -  VT 5 Seg - {Reg SC} - 07/10</x:v>
      </x:c>
      <x:c r="C208" s="33" t="str">
        <x:v>5,0|km|Av. das Nações, 192 - Canasvieiras, Florianópolis - SC, 88054-010</x:v>
      </x:c>
      <x:c r="D208" s="38" t="n">
        <x:v>1161</x:v>
      </x:c>
      <x:c r="E208" s="38" t="n">
        <x:v>1</x:v>
      </x:c>
      <x:c r="F208" s="39" t="n">
        <x:v>0.0021</x:v>
      </x:c>
      <x:c r="G208" s="40" t="n">
        <x:v>3.06</x:v>
      </x:c>
      <x:c r="H208" s="40" t="n">
        <x:v>2.64</x:v>
      </x:c>
      <x:c r="I208" s="32" t="n">
        <x:v>0</x:v>
      </x:c>
      <x:c r="J208" s="32" t="str">
        <x:v>1 de setembro de 2026 - 14 de outubro de 2026</x:v>
      </x:c>
      <x:c r="K208" s="32" t="str">
        <x:v>F083</x:v>
      </x:c>
    </x:row>
    <x:row r="209" ht="24" customHeight="1">
      <x:c r="A209" s="32" t="str">
        <x:v>C07</x:v>
      </x:c>
      <x:c r="B209" s="33" t="str">
        <x:v>[TRON] - YouTube 03 -  VT 5 Seg - {Reg SC} - 07/10</x:v>
      </x:c>
      <x:c r="C209" s="33" t="str">
        <x:v>5,0|km|Rodovia Jornalista Maurício Sirotski Sobrinho, 5451 - Jurerê, Florianópolis - SC</x:v>
      </x:c>
      <x:c r="D209" s="38" t="n">
        <x:v>155</x:v>
      </x:c>
      <x:c r="E209" s="38" t="n">
        <x:v>1</x:v>
      </x:c>
      <x:c r="F209" s="39" t="n">
        <x:v>0.013000000000000001</x:v>
      </x:c>
      <x:c r="G209" s="40" t="n">
        <x:v>0.39</x:v>
      </x:c>
      <x:c r="H209" s="40" t="n">
        <x:v>2.54</x:v>
      </x:c>
      <x:c r="I209" s="32" t="n">
        <x:v>0</x:v>
      </x:c>
      <x:c r="J209" s="32" t="str">
        <x:v>1 de setembro de 2026 - 14 de outubro de 2026</x:v>
      </x:c>
      <x:c r="K209" s="32" t="str">
        <x:v>F083</x:v>
      </x:c>
    </x:row>
    <x:row r="210" ht="24" customHeight="1">
      <x:c r="A210" s="32" t="str">
        <x:v>C07</x:v>
      </x:c>
      <x:c r="B210" s="33" t="str">
        <x:v>[TRON] - YouTube 03 -  VT 5 Seg - {Reg SC} - 07/10</x:v>
      </x:c>
      <x:c r="C210" s="33" t="str">
        <x:v>5,0|km|Av. Aniceto Zacchi, 222 - Pte. do Imaruim, Palhoça - SC, 88130-300</x:v>
      </x:c>
      <x:c r="D210" s="38" t="n">
        <x:v>3869</x:v>
      </x:c>
      <x:c r="E210" s="38" t="n">
        <x:v>11</x:v>
      </x:c>
      <x:c r="F210" s="39" t="n">
        <x:v>0.0060999999999999995</x:v>
      </x:c>
      <x:c r="G210" s="40" t="n">
        <x:v>10.81</x:v>
      </x:c>
      <x:c r="H210" s="40" t="n">
        <x:v>2.79</x:v>
      </x:c>
      <x:c r="I210" s="32" t="n">
        <x:v>0</x:v>
      </x:c>
      <x:c r="J210" s="32" t="str">
        <x:v>1 de setembro de 2026 - 14 de outubro de 2026</x:v>
      </x:c>
      <x:c r="K210" s="32" t="str">
        <x:v>F083</x:v>
      </x:c>
    </x:row>
    <x:row r="211" ht="24" customHeight="1">
      <x:c r="A211" s="32" t="str">
        <x:v>C07</x:v>
      </x:c>
      <x:c r="B211" s="33" t="str">
        <x:v>[TRON] - YouTube 03 -  VT 5 Seg - {Reg SC} - 07/10</x:v>
      </x:c>
      <x:c r="C211" s="33" t="str">
        <x:v>5,0|km|Rua João Coan, 390 Bairro - Universitarios, Biguaçu - SC, 88160-000</x:v>
      </x:c>
      <x:c r="D211" s="38" t="n">
        <x:v>2017</x:v>
      </x:c>
      <x:c r="E211" s="38" t="n">
        <x:v>0</x:v>
      </x:c>
      <x:c r="F211" s="39" t="n">
        <x:v>0</x:v>
      </x:c>
      <x:c r="G211" s="40" t="n">
        <x:v>5.47</x:v>
      </x:c>
      <x:c r="H211" s="40" t="n">
        <x:v>2.71</x:v>
      </x:c>
      <x:c r="I211" s="32" t="n">
        <x:v>0</x:v>
      </x:c>
      <x:c r="J211" s="32" t="str">
        <x:v>1 de setembro de 2026 - 14 de outubro de 2026</x:v>
      </x:c>
      <x:c r="K211" s="32" t="str">
        <x:v>F083</x:v>
      </x:c>
    </x:row>
    <x:row r="212" ht="24" customHeight="1">
      <x:c r="A212" s="32" t="str">
        <x:v>C07</x:v>
      </x:c>
      <x:c r="B212" s="33" t="str">
        <x:v>[TRON] - YouTube 03 -  VT 5 Seg - {Reg SC} - 07/10</x:v>
      </x:c>
      <x:c r="C212" s="33" t="str">
        <x:v>5,0|km|Av. Juscelino K. de Oliveira, 469 - Capoeiras, Florianópolis - SC, 88070-120</x:v>
      </x:c>
      <x:c r="D212" s="38" t="n">
        <x:v>19</x:v>
      </x:c>
      <x:c r="E212" s="38" t="n">
        <x:v>0</x:v>
      </x:c>
      <x:c r="F212" s="39" t="n">
        <x:v>0</x:v>
      </x:c>
      <x:c r="G212" s="40" t="n">
        <x:v>0.04</x:v>
      </x:c>
      <x:c r="H212" s="40" t="n">
        <x:v>2.23</x:v>
      </x:c>
      <x:c r="I212" s="32" t="n">
        <x:v>0</x:v>
      </x:c>
      <x:c r="J212" s="32" t="str">
        <x:v>1 de setembro de 2026 - 14 de outubro de 2026</x:v>
      </x:c>
      <x:c r="K212" s="32" t="str">
        <x:v>F083</x:v>
      </x:c>
    </x:row>
    <x:row r="213" ht="24" customHeight="1">
      <x:c r="A213" s="32" t="str">
        <x:v>C07</x:v>
      </x:c>
      <x:c r="B213" s="33" t="str">
        <x:v>[TRON] - YouTube 03 -  VT 5 Seg - {Reg SC} - 07/10</x:v>
      </x:c>
      <x:c r="C213" s="33" t="str">
        <x:v>5,0|km|Supermercado Brasil Atacadista - SC-281, 2665 - Sertão do Maruim, São José - SC</x:v>
      </x:c>
      <x:c r="D213" s="38" t="n">
        <x:v>980</x:v>
      </x:c>
      <x:c r="E213" s="38" t="n">
        <x:v>1</x:v>
      </x:c>
      <x:c r="F213" s="39" t="n">
        <x:v>0.0027</x:v>
      </x:c>
      <x:c r="G213" s="40" t="n">
        <x:v>2.7</x:v>
      </x:c>
      <x:c r="H213" s="40" t="n">
        <x:v>2.75</x:v>
      </x:c>
      <x:c r="I213" s="32" t="n">
        <x:v>0</x:v>
      </x:c>
      <x:c r="J213" s="32" t="str">
        <x:v>1 de setembro de 2026 - 14 de outubro de 2026</x:v>
      </x:c>
      <x:c r="K213" s="32" t="str">
        <x:v>F083</x:v>
      </x:c>
    </x:row>
    <x:row r="214" ht="24" customHeight="1">
      <x:c r="A214" s="32" t="str">
        <x:v>C07</x:v>
      </x:c>
      <x:c r="B214" s="33" t="str">
        <x:v>[TRON] - YouTube 03 -  VT 5 Seg - {Reg SC} - 07/10</x:v>
      </x:c>
      <x:c r="C214" s="33" t="str">
        <x:v>5,0|km|Rod. Francisco Magno Vieira, 373 - Costeira do Pirajubaé, Florianópolis - SC, 88063-700</x:v>
      </x:c>
      <x:c r="D214" s="38" t="n">
        <x:v>1296</x:v>
      </x:c>
      <x:c r="E214" s="38" t="n">
        <x:v>3</x:v>
      </x:c>
      <x:c r="F214" s="39" t="n">
        <x:v>0.0034999999999999996</x:v>
      </x:c>
      <x:c r="G214" s="40" t="n">
        <x:v>3.09</x:v>
      </x:c>
      <x:c r="H214" s="40" t="n">
        <x:v>2.38</x:v>
      </x:c>
      <x:c r="I214" s="32" t="n">
        <x:v>0</x:v>
      </x:c>
      <x:c r="J214" s="32" t="str">
        <x:v>1 de setembro de 2026 - 14 de outubro de 2026</x:v>
      </x:c>
      <x:c r="K214" s="32" t="str">
        <x:v>F083</x:v>
      </x:c>
    </x:row>
    <x:row r="215" ht="24" customHeight="1">
      <x:c r="A215" s="32" t="str">
        <x:v>C07</x:v>
      </x:c>
      <x:c r="B215" s="33" t="str">
        <x:v>[TRON] - YouTube 03 -  VT 5 Seg - {Reg SC} - 07/10</x:v>
      </x:c>
      <x:c r="C215" s="33" t="str">
        <x:v>5,0|km|Av. Vidal Procópio Lohn - Rio Grande, Palhoça - SC</x:v>
      </x:c>
      <x:c r="D215" s="38" t="n">
        <x:v>5164</x:v>
      </x:c>
      <x:c r="E215" s="38" t="n">
        <x:v>4</x:v>
      </x:c>
      <x:c r="F215" s="39" t="n">
        <x:v>0.0014000000000000002</x:v>
      </x:c>
      <x:c r="G215" s="40" t="n">
        <x:v>13.21</x:v>
      </x:c>
      <x:c r="H215" s="40" t="n">
        <x:v>2.56</x:v>
      </x:c>
      <x:c r="I215" s="32" t="n">
        <x:v>0</x:v>
      </x:c>
      <x:c r="J215" s="32" t="str">
        <x:v>1 de setembro de 2026 - 14 de outubro de 2026</x:v>
      </x:c>
      <x:c r="K215" s="32" t="str">
        <x:v>F083</x:v>
      </x:c>
    </x:row>
    <x:row r="216" ht="24" customHeight="1">
      <x:c r="A216" s="32" t="str">
        <x:v>C07</x:v>
      </x:c>
      <x:c r="B216" s="33" t="str">
        <x:v>[TRON] - YouTube 03 -  VT 5 Seg - {Reg SC} - 07/10</x:v>
      </x:c>
      <x:c r="C216" s="33" t="str">
        <x:v>5,0|km|Av. Mauro Ramos, 982 - Centro, Florianópolis - SC, 88020-300</x:v>
      </x:c>
      <x:c r="D216" s="38" t="n">
        <x:v>633</x:v>
      </x:c>
      <x:c r="E216" s="38" t="n">
        <x:v>2</x:v>
      </x:c>
      <x:c r="F216" s="39" t="n">
        <x:v>0.0052</x:v>
      </x:c>
      <x:c r="G216" s="40" t="n">
        <x:v>1.44</x:v>
      </x:c>
      <x:c r="H216" s="40" t="n">
        <x:v>2.28</x:v>
      </x:c>
      <x:c r="I216" s="32" t="n">
        <x:v>0</x:v>
      </x:c>
      <x:c r="J216" s="32" t="str">
        <x:v>1 de setembro de 2026 - 14 de outubro de 2026</x:v>
      </x:c>
      <x:c r="K216" s="32" t="str">
        <x:v>F083</x:v>
      </x:c>
    </x:row>
    <x:row r="217" ht="24" customHeight="1">
      <x:c r="A217" s="32" t="str">
        <x:v>C07</x:v>
      </x:c>
      <x:c r="B217" s="33" t="str">
        <x:v>[TRON] - YouTube 03 -  VT 5 Seg - {Reg SC} - 07/10</x:v>
      </x:c>
      <x:c r="C217" s="33" t="str">
        <x:v>5,0|km|Av. Eng. Max de Souza, 740 - Coqueiros, Florianópolis - SC, 88080-000</x:v>
      </x:c>
      <x:c r="D217" s="38" t="n">
        <x:v>3522</x:v>
      </x:c>
      <x:c r="E217" s="38" t="n">
        <x:v>3</x:v>
      </x:c>
      <x:c r="F217" s="39" t="n">
        <x:v>0.0015</x:v>
      </x:c>
      <x:c r="G217" s="40" t="n">
        <x:v>8.97</x:v>
      </x:c>
      <x:c r="H217" s="40" t="n">
        <x:v>2.55</x:v>
      </x:c>
      <x:c r="I217" s="32" t="n">
        <x:v>0</x:v>
      </x:c>
      <x:c r="J217" s="32" t="str">
        <x:v>1 de setembro de 2026 - 14 de outubro de 2026</x:v>
      </x:c>
      <x:c r="K217" s="32" t="str">
        <x:v>F083</x:v>
      </x:c>
    </x:row>
    <x:row r="218" ht="24" customHeight="1">
      <x:c r="A218" s="32" t="str">
        <x:v>C07</x:v>
      </x:c>
      <x:c r="B218" s="33" t="str">
        <x:v>[TRON] - YouTube 03 -  VT 5 Seg - {Reg SC} - 07/10</x:v>
      </x:c>
      <x:c r="C218" s="33" t="str">
        <x:v>5,0|km|Av. Presidente Kennedy, 861 - Campinas, São José - SC, 88101-001</x:v>
      </x:c>
      <x:c r="D218" s="38" t="n">
        <x:v>689</x:v>
      </x:c>
      <x:c r="E218" s="38" t="n">
        <x:v>1</x:v>
      </x:c>
      <x:c r="F218" s="39" t="n">
        <x:v>0.0033</x:v>
      </x:c>
      <x:c r="G218" s="40" t="n">
        <x:v>1.6</x:v>
      </x:c>
      <x:c r="H218" s="40" t="n">
        <x:v>2.32</x:v>
      </x:c>
      <x:c r="I218" s="32" t="n">
        <x:v>0</x:v>
      </x:c>
      <x:c r="J218" s="32" t="str">
        <x:v>1 de setembro de 2026 - 14 de outubro de 2026</x:v>
      </x:c>
      <x:c r="K218" s="32" t="str">
        <x:v>F083</x:v>
      </x:c>
    </x:row>
    <x:row r="219" ht="24" customHeight="1">
      <x:c r="A219" s="32" t="str">
        <x:v>C07</x:v>
      </x:c>
      <x:c r="B219" s="33" t="str">
        <x:v>[TRON] - YouTube 03 -  VT 5 Seg - {Reg SC} - 07/10</x:v>
      </x:c>
      <x:c r="C219" s="33" t="str">
        <x:v>5,0|km|R. Bocaiúva, 2468 - Centro, Florianópolis - SC</x:v>
      </x:c>
      <x:c r="D219" s="38" t="n">
        <x:v>30</x:v>
      </x:c>
      <x:c r="E219" s="38" t="n">
        <x:v>0</x:v>
      </x:c>
      <x:c r="F219" s="39" t="n">
        <x:v>0</x:v>
      </x:c>
      <x:c r="G219" s="40" t="n">
        <x:v>0.05</x:v>
      </x:c>
      <x:c r="H219" s="40" t="n">
        <x:v>1.68</x:v>
      </x:c>
      <x:c r="I219" s="32" t="n">
        <x:v>0</x:v>
      </x:c>
      <x:c r="J219" s="32" t="str">
        <x:v>1 de setembro de 2026 - 14 de outubro de 2026</x:v>
      </x:c>
      <x:c r="K219" s="32" t="str">
        <x:v>F083</x:v>
      </x:c>
    </x:row>
    <x:row r="220" ht="24" customHeight="1">
      <x:c r="A220" s="32" t="str">
        <x:v>C07</x:v>
      </x:c>
      <x:c r="B220" s="33" t="str">
        <x:v>[TRON] - YouTube 03 -  VT 5 Seg - {Reg SC} - 07/10</x:v>
      </x:c>
      <x:c r="C220" s="33" t="str">
        <x:v>5,0|km|R. Gen. Liberato Bittencourt, 1885 - Estreito, Florianópolis - SC, 88070-800</x:v>
      </x:c>
      <x:c r="D220" s="38" t="n">
        <x:v>89</x:v>
      </x:c>
      <x:c r="E220" s="38" t="n">
        <x:v>0</x:v>
      </x:c>
      <x:c r="F220" s="39" t="n">
        <x:v>0</x:v>
      </x:c>
      <x:c r="G220" s="40" t="n">
        <x:v>0.22</x:v>
      </x:c>
      <x:c r="H220" s="40" t="n">
        <x:v>2.44</x:v>
      </x:c>
      <x:c r="I220" s="32" t="n">
        <x:v>0</x:v>
      </x:c>
      <x:c r="J220" s="32" t="str">
        <x:v>1 de setembro de 2026 - 14 de outubro de 2026</x:v>
      </x:c>
      <x:c r="K220" s="32" t="str">
        <x:v>F083</x:v>
      </x:c>
    </x:row>
    <x:row r="221" ht="24" customHeight="1">
      <x:c r="A221" s="32" t="str">
        <x:v>C07</x:v>
      </x:c>
      <x:c r="B221" s="33" t="str">
        <x:v>[TRON] - YouTube 03 -  VT 5 Seg - {Reg SC} - 07/10</x:v>
      </x:c>
      <x:c r="C221" s="33" t="str">
        <x:v>5,0|km|Av. Delamar José da Silva, s/n - Kobrasol, São José - SC, 88102-080</x:v>
      </x:c>
      <x:c r="D221" s="38" t="n">
        <x:v>82</x:v>
      </x:c>
      <x:c r="E221" s="38" t="n">
        <x:v>0</x:v>
      </x:c>
      <x:c r="F221" s="39" t="n">
        <x:v>0</x:v>
      </x:c>
      <x:c r="G221" s="40" t="n">
        <x:v>0.27</x:v>
      </x:c>
      <x:c r="H221" s="40" t="n">
        <x:v>3.32</x:v>
      </x:c>
      <x:c r="I221" s="32" t="n">
        <x:v>0</x:v>
      </x:c>
      <x:c r="J221" s="32" t="str">
        <x:v>1 de setembro de 2026 - 14 de outubro de 2026</x:v>
      </x:c>
      <x:c r="K221" s="32" t="str">
        <x:v>F083</x:v>
      </x:c>
    </x:row>
    <x:row r="222" ht="24" customHeight="1">
      <x:c r="A222" s="32" t="str">
        <x:v>C07</x:v>
      </x:c>
      <x:c r="B222" s="33" t="str">
        <x:v>[TRON] - YouTube 03 -  VT 5 Seg - {Reg SC} - 07/10</x:v>
      </x:c>
      <x:c r="C222" s="33" t="str">
        <x:v>5,0|km|R. Arnoldo Pedro Meira - Ipiranga, São José - SC, 88111-370</x:v>
      </x:c>
      <x:c r="D222" s="38" t="n">
        <x:v>2770</x:v>
      </x:c>
      <x:c r="E222" s="38" t="n">
        <x:v>6</x:v>
      </x:c>
      <x:c r="F222" s="39" t="n">
        <x:v>0.0045000000000000005</x:v>
      </x:c>
      <x:c r="G222" s="40" t="n">
        <x:v>7.66</x:v>
      </x:c>
      <x:c r="H222" s="40" t="n">
        <x:v>2.77</x:v>
      </x:c>
      <x:c r="I222" s="32" t="n">
        <x:v>0</x:v>
      </x:c>
      <x:c r="J222" s="32" t="str">
        <x:v>1 de setembro de 2026 - 14 de outubro de 2026</x:v>
      </x:c>
      <x:c r="K222" s="32" t="str">
        <x:v>F083</x:v>
      </x:c>
    </x:row>
    <x:row r="223" ht="24" customHeight="1">
      <x:c r="A223" s="32" t="str">
        <x:v>C07</x:v>
      </x:c>
      <x:c r="B223" s="33" t="str">
        <x:v>[TRON] - YouTube 03 -  VT 5 Seg - {Reg SC} - 07/10</x:v>
      </x:c>
      <x:c r="C223" s="33" t="str">
        <x:v>5,0|km|Shineray - Palhoça - Aririú - BR-101 - Aririu, Palhoça - SC</x:v>
      </x:c>
      <x:c r="D223" s="38" t="n">
        <x:v>477</x:v>
      </x:c>
      <x:c r="E223" s="38" t="n">
        <x:v>1</x:v>
      </x:c>
      <x:c r="F223" s="39" t="n">
        <x:v>0.0058</x:v>
      </x:c>
      <x:c r="G223" s="40" t="n">
        <x:v>1.34</x:v>
      </x:c>
      <x:c r="H223" s="40" t="n">
        <x:v>2.81</x:v>
      </x:c>
      <x:c r="I223" s="32" t="n">
        <x:v>0</x:v>
      </x:c>
      <x:c r="J223" s="32" t="str">
        <x:v>1 de setembro de 2026 - 14 de outubro de 2026</x:v>
      </x:c>
      <x:c r="K223" s="32" t="str">
        <x:v>F083</x:v>
      </x:c>
    </x:row>
    <x:row r="224" ht="24" customHeight="1">
      <x:c r="A224" s="32" t="str">
        <x:v>C07</x:v>
      </x:c>
      <x:c r="B224" s="33" t="str">
        <x:v>[TRON] - YouTube 03 -  VT 5 Seg - {Reg SC} - 07/10</x:v>
      </x:c>
      <x:c r="C224" s="33" t="str">
        <x:v>5,0|km|R. Lauro Linhares, 2010 - Trindade, Florianópolis - SC, 88036-002</x:v>
      </x:c>
      <x:c r="D224" s="38" t="n">
        <x:v>709</x:v>
      </x:c>
      <x:c r="E224" s="38" t="n">
        <x:v>2</x:v>
      </x:c>
      <x:c r="F224" s="39" t="n">
        <x:v>0.005699999999999999</x:v>
      </x:c>
      <x:c r="G224" s="40" t="n">
        <x:v>1.92</x:v>
      </x:c>
      <x:c r="H224" s="40" t="n">
        <x:v>2.71</x:v>
      </x:c>
      <x:c r="I224" s="32" t="n">
        <x:v>0</x:v>
      </x:c>
      <x:c r="J224" s="32" t="str">
        <x:v>1 de setembro de 2026 - 14 de outubro de 2026</x:v>
      </x:c>
      <x:c r="K224" s="32" t="str">
        <x:v>F083</x:v>
      </x:c>
    </x:row>
    <x:row r="225" ht="24" customHeight="1">
      <x:c r="A225" s="32" t="str">
        <x:v>C07</x:v>
      </x:c>
      <x:c r="B225" s="33" t="str">
        <x:v>[TRON] - YouTube 03 -  VT 5 Seg - {Reg SC} - 07/10</x:v>
      </x:c>
      <x:c r="C225" s="33" t="str">
        <x:v>5,0|km|R. João Pio Duarte Silva, 1623 - Córrego Grande, Florianópolis - SC, 88037-001</x:v>
      </x:c>
      <x:c r="D225" s="38" t="n">
        <x:v>332</x:v>
      </x:c>
      <x:c r="E225" s="38" t="n">
        <x:v>1</x:v>
      </x:c>
      <x:c r="F225" s="39" t="n">
        <x:v>0.0058</x:v>
      </x:c>
      <x:c r="G225" s="40" t="n">
        <x:v>0.9</x:v>
      </x:c>
      <x:c r="H225" s="40" t="n">
        <x:v>2.72</x:v>
      </x:c>
      <x:c r="I225" s="32" t="n">
        <x:v>0</x:v>
      </x:c>
      <x:c r="J225" s="32" t="str">
        <x:v>1 de setembro de 2026 - 14 de outubro de 2026</x:v>
      </x:c>
      <x:c r="K225" s="32" t="str">
        <x:v>F083</x:v>
      </x:c>
    </x:row>
    <x:row r="226" ht="24" customHeight="1">
      <x:c r="A226" s="32" t="str">
        <x:v>C07</x:v>
      </x:c>
      <x:c r="B226" s="33" t="str">
        <x:v>[TRON] - YouTube 03 -  VT 5 Seg - {Reg SC} - 07/10</x:v>
      </x:c>
      <x:c r="C226" s="33" t="str">
        <x:v>5,0|km|R. Paralela Novo Horizonte, 3530 - Capoeiras, Florianópolis - SC, 88090-085</x:v>
      </x:c>
      <x:c r="D226" s="38" t="n">
        <x:v>1299</x:v>
      </x:c>
      <x:c r="E226" s="38" t="n">
        <x:v>0</x:v>
      </x:c>
      <x:c r="F226" s="39" t="n">
        <x:v>0</x:v>
      </x:c>
      <x:c r="G226" s="40" t="n">
        <x:v>3.33</x:v>
      </x:c>
      <x:c r="H226" s="40" t="n">
        <x:v>2.56</x:v>
      </x:c>
      <x:c r="I226" s="32" t="n">
        <x:v>0</x:v>
      </x:c>
      <x:c r="J226" s="32" t="str">
        <x:v>1 de setembro de 2026 - 14 de outubro de 2026</x:v>
      </x:c>
      <x:c r="K226" s="32" t="str">
        <x:v>F083</x:v>
      </x:c>
    </x:row>
    <x:row r="227" ht="24" customHeight="1">
      <x:c r="A227" s="32" t="str">
        <x:v>C07</x:v>
      </x:c>
      <x:c r="B227" s="33" t="str">
        <x:v>[TRON] - YouTube 03 -  VT 5 Seg - {Reg SC} - 07/10</x:v>
      </x:c>
      <x:c r="C227" s="33" t="str">
        <x:v>5,0|km|R. Alexandre Sergio Godinho, 853 - Mar das Pedras, Biguaçu - SC, 88160-000</x:v>
      </x:c>
      <x:c r="D227" s="38" t="n">
        <x:v>409</x:v>
      </x:c>
      <x:c r="E227" s="38" t="n">
        <x:v>0</x:v>
      </x:c>
      <x:c r="F227" s="39" t="n">
        <x:v>0</x:v>
      </x:c>
      <x:c r="G227" s="40" t="n">
        <x:v>1.34</x:v>
      </x:c>
      <x:c r="H227" s="40" t="n">
        <x:v>3.27</x:v>
      </x:c>
      <x:c r="I227" s="32" t="n">
        <x:v>0</x:v>
      </x:c>
      <x:c r="J227" s="32" t="str">
        <x:v>1 de setembro de 2026 - 14 de outubro de 2026</x:v>
      </x:c>
      <x:c r="K227" s="32" t="str">
        <x:v>F083</x:v>
      </x:c>
    </x:row>
    <x:row r="228" ht="24" customHeight="1">
      <x:c r="A228" s="32" t="str">
        <x:v>C07</x:v>
      </x:c>
      <x:c r="B228" s="33" t="str">
        <x:v>[TRON] - YouTube 03 -  VT 5 Seg - {Reg SC} - 07/10</x:v>
      </x:c>
      <x:c r="C228" s="33" t="str">
        <x:v>5,0|km|R. Maj. Joaquim Alexandre​ Campos, 6037 - Centro, Santo Amaro da Imperatriz - SC, 88140-000</x:v>
      </x:c>
      <x:c r="D228" s="38" t="n">
        <x:v>830</x:v>
      </x:c>
      <x:c r="E228" s="38" t="n">
        <x:v>0</x:v>
      </x:c>
      <x:c r="F228" s="39" t="n">
        <x:v>0</x:v>
      </x:c>
      <x:c r="G228" s="40" t="n">
        <x:v>2.2</x:v>
      </x:c>
      <x:c r="H228" s="40" t="n">
        <x:v>2.65</x:v>
      </x:c>
      <x:c r="I228" s="32" t="n">
        <x:v>0</x:v>
      </x:c>
      <x:c r="J228" s="32" t="str">
        <x:v>1 de setembro de 2026 - 14 de outubro de 2026</x:v>
      </x:c>
      <x:c r="K228" s="32" t="str">
        <x:v>F083</x:v>
      </x:c>
    </x:row>
    <x:row r="229" ht="24" customHeight="1">
      <x:c r="A229" s="32" t="str">
        <x:v>C07</x:v>
      </x:c>
      <x:c r="B229" s="33" t="str">
        <x:v>[TRON] - YouTube 03 -  VT 5 Seg - {Reg SC} - 07/10</x:v>
      </x:c>
      <x:c r="C229" s="33" t="str">
        <x:v>5,0|km|Rua João Motta Espezim, 549-461 - Saco dos Limões, Florianópolis - SC, 88045-400</x:v>
      </x:c>
      <x:c r="D229" s="38" t="n">
        <x:v>139</x:v>
      </x:c>
      <x:c r="E229" s="38" t="n">
        <x:v>0</x:v>
      </x:c>
      <x:c r="F229" s="39" t="n">
        <x:v>0</x:v>
      </x:c>
      <x:c r="G229" s="40" t="n">
        <x:v>0.37</x:v>
      </x:c>
      <x:c r="H229" s="40" t="n">
        <x:v>2.67</x:v>
      </x:c>
      <x:c r="I229" s="32" t="n">
        <x:v>0</x:v>
      </x:c>
      <x:c r="J229" s="32" t="str">
        <x:v>1 de setembro de 2026 - 14 de outubro de 2026</x:v>
      </x:c>
      <x:c r="K229" s="32" t="str">
        <x:v>F083</x:v>
      </x:c>
    </x:row>
    <x:row r="230" ht="24" customHeight="1">
      <x:c r="A230" s="32" t="str">
        <x:v>C07</x:v>
      </x:c>
      <x:c r="B230" s="33" t="str">
        <x:v>[TRON] - YouTube 03 -  VT 5 Seg - {Reg SC} - 07/10</x:v>
      </x:c>
      <x:c r="C230" s="33" t="str">
        <x:v>0,0||</x:v>
      </x:c>
      <x:c r="D230" s="38" t="n">
        <x:v>726</x:v>
      </x:c>
      <x:c r="E230" s="38" t="n">
        <x:v>3</x:v>
      </x:c>
      <x:c r="F230" s="39" t="n">
        <x:v>0.011000000000000001</x:v>
      </x:c>
      <x:c r="G230" s="40" t="n">
        <x:v>2.05</x:v>
      </x:c>
      <x:c r="H230" s="40" t="n">
        <x:v>2.82</x:v>
      </x:c>
      <x:c r="I230" s="32" t="n">
        <x:v>0</x:v>
      </x:c>
      <x:c r="J230" s="32" t="str">
        <x:v>1 de setembro de 2026 - 14 de outubro de 2026</x:v>
      </x:c>
      <x:c r="K230" s="32" t="str">
        <x:v>F083</x:v>
      </x:c>
    </x:row>
  </x:sheetData>
  <x:pageMargins left="0.7" right="0.7" top="0.75" bottom="0.75" header="0.3" footer="0.3"/>
  <x:tableParts count="1">
    <x:tablePart xmlns:r="http://schemas.openxmlformats.org/officeDocument/2006/relationships" r:id="Rdeac1669e7b64c9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6" hidden="0" customWidth="1"/>
    <x:col min="3" max="3" width="25" hidden="0" customWidth="1"/>
    <x:col min="4" max="4" width="20" hidden="0" customWidth="1"/>
    <x:col min="5" max="5" width="20" hidden="0" customWidth="1"/>
    <x:col min="6" max="6" width="25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54" hidden="0" customWidth="1"/>
    <x:col min="12" max="12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Dispositivos por campanha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Taxas nativas preservadas. Não presumir denominador por formato nas campanhas de alcance.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8" t="str">
        <x:v>ID</x:v>
      </x:c>
      <x:c r="B5" s="8" t="str">
        <x:v>Campanha</x:v>
      </x:c>
      <x:c r="C5" s="8" t="str">
        <x:v>Dispositivo</x:v>
      </x:c>
      <x:c r="D5" s="8" t="str">
        <x:v>Impressões</x:v>
      </x:c>
      <x:c r="E5" s="8" t="str">
        <x:v>TrueView</x:v>
      </x:c>
      <x:c r="F5" s="8" t="str">
        <x:v>Taxa nativa TrueView</x:v>
      </x:c>
      <x:c r="G5" s="8" t="str">
        <x:v>Custo BRL</x:v>
      </x:c>
      <x:c r="H5" s="8" t="str">
        <x:v>CPV nativo BRL</x:v>
      </x:c>
      <x:c r="I5" s="8" t="str">
        <x:v>CPM nativo BRL</x:v>
      </x:c>
      <x:c r="J5" s="8" t="str">
        <x:v>Conversões</x:v>
      </x:c>
      <x:c r="K5" s="8" t="str">
        <x:v>Período original</x:v>
      </x:c>
      <x:c r="L5" s="8" t="str">
        <x:v>Fonte</x:v>
      </x:c>
    </x:row>
    <x:row r="6" ht="24" customHeight="1">
      <x:c r="A6" s="9" t="str">
        <x:v>C01</x:v>
      </x:c>
      <x:c r="B6" s="9" t="str">
        <x:v>YT - Arrozes especiais Bahia 01</x:v>
      </x:c>
      <x:c r="C6" s="9" t="str">
        <x:v>Telas de TV</x:v>
      </x:c>
      <x:c r="D6" s="11" t="n">
        <x:v>134408</x:v>
      </x:c>
      <x:c r="E6" s="11" t="n">
        <x:v>80148</x:v>
      </x:c>
      <x:c r="F6" s="13" t="n">
        <x:v>0.5963</x:v>
      </x:c>
      <x:c r="G6" s="12" t="n">
        <x:v>649.37</x:v>
      </x:c>
      <x:c r="H6" s="12" t="n">
        <x:v>0.01</x:v>
      </x:c>
      <x:c r="I6" s="12"/>
      <x:c r="J6" s="9" t="n">
        <x:v>0</x:v>
      </x:c>
      <x:c r="K6" s="9" t="str">
        <x:v>1 de julho de 2026 - 13 de outubro de 2026</x:v>
      </x:c>
      <x:c r="L6" s="9" t="str">
        <x:v>F006</x:v>
      </x:c>
    </x:row>
    <x:row r="7" ht="24" customHeight="1">
      <x:c r="A7" s="9" t="str">
        <x:v>C01</x:v>
      </x:c>
      <x:c r="B7" s="9" t="str">
        <x:v>YT - Arrozes especiais Bahia 01</x:v>
      </x:c>
      <x:c r="C7" s="9" t="str">
        <x:v>Smartphones</x:v>
      </x:c>
      <x:c r="D7" s="11" t="n">
        <x:v>14173</x:v>
      </x:c>
      <x:c r="E7" s="11" t="n">
        <x:v>5437</x:v>
      </x:c>
      <x:c r="F7" s="13" t="n">
        <x:v>0.3836</x:v>
      </x:c>
      <x:c r="G7" s="12" t="n">
        <x:v>91.66</x:v>
      </x:c>
      <x:c r="H7" s="12" t="n">
        <x:v>0.02</x:v>
      </x:c>
      <x:c r="I7" s="12"/>
      <x:c r="J7" s="9" t="n">
        <x:v>0</x:v>
      </x:c>
      <x:c r="K7" s="9" t="str">
        <x:v>1 de julho de 2026 - 13 de outubro de 2026</x:v>
      </x:c>
      <x:c r="L7" s="9" t="str">
        <x:v>F006</x:v>
      </x:c>
    </x:row>
    <x:row r="8" ht="24" customHeight="1">
      <x:c r="A8" s="9" t="str">
        <x:v>C01</x:v>
      </x:c>
      <x:c r="B8" s="9" t="str">
        <x:v>YT - Arrozes especiais Bahia 01</x:v>
      </x:c>
      <x:c r="C8" s="9" t="str">
        <x:v>Tablets</x:v>
      </x:c>
      <x:c r="D8" s="11" t="n">
        <x:v>1055</x:v>
      </x:c>
      <x:c r="E8" s="11" t="n">
        <x:v>454</x:v>
      </x:c>
      <x:c r="F8" s="13" t="n">
        <x:v>0.4303</x:v>
      </x:c>
      <x:c r="G8" s="12" t="n">
        <x:v>5.86</x:v>
      </x:c>
      <x:c r="H8" s="12" t="n">
        <x:v>0.01</x:v>
      </x:c>
      <x:c r="I8" s="12"/>
      <x:c r="J8" s="9" t="n">
        <x:v>0</x:v>
      </x:c>
      <x:c r="K8" s="9" t="str">
        <x:v>1 de julho de 2026 - 13 de outubro de 2026</x:v>
      </x:c>
      <x:c r="L8" s="9" t="str">
        <x:v>F006</x:v>
      </x:c>
    </x:row>
    <x:row r="9" ht="24" customHeight="1">
      <x:c r="A9" s="9" t="str">
        <x:v>C01</x:v>
      </x:c>
      <x:c r="B9" s="9" t="str">
        <x:v>YT - Arrozes especiais Bahia 01</x:v>
      </x:c>
      <x:c r="C9" s="9" t="str">
        <x:v>Computadores</x:v>
      </x:c>
      <x:c r="D9" s="11" t="n">
        <x:v>3967</x:v>
      </x:c>
      <x:c r="E9" s="11" t="n">
        <x:v>2600</x:v>
      </x:c>
      <x:c r="F9" s="13" t="n">
        <x:v>0.6554000000000001</x:v>
      </x:c>
      <x:c r="G9" s="12" t="n">
        <x:v>29.08</x:v>
      </x:c>
      <x:c r="H9" s="12" t="n">
        <x:v>0.01</x:v>
      </x:c>
      <x:c r="I9" s="12"/>
      <x:c r="J9" s="9" t="n">
        <x:v>0</x:v>
      </x:c>
      <x:c r="K9" s="9" t="str">
        <x:v>1 de julho de 2026 - 13 de outubro de 2026</x:v>
      </x:c>
      <x:c r="L9" s="9" t="str">
        <x:v>F006</x:v>
      </x:c>
    </x:row>
    <x:row r="10" ht="24" customHeight="1">
      <x:c r="A10" s="9" t="str">
        <x:v>C02</x:v>
      </x:c>
      <x:c r="B10" s="9" t="str">
        <x:v>YT - Arrozes especiais Bahia 02</x:v>
      </x:c>
      <x:c r="C10" s="9" t="str">
        <x:v>Telas de TV</x:v>
      </x:c>
      <x:c r="D10" s="11" t="n">
        <x:v>155994</x:v>
      </x:c>
      <x:c r="E10" s="11" t="n">
        <x:v>91947</x:v>
      </x:c>
      <x:c r="F10" s="13" t="n">
        <x:v>0.5893999999999999</x:v>
      </x:c>
      <x:c r="G10" s="12" t="n">
        <x:v>665.46</x:v>
      </x:c>
      <x:c r="H10" s="12" t="n">
        <x:v>0.01</x:v>
      </x:c>
      <x:c r="I10" s="12"/>
      <x:c r="J10" s="9" t="n">
        <x:v>0</x:v>
      </x:c>
      <x:c r="K10" s="9" t="str">
        <x:v>1 de julho de 2026 - 13 de outubro de 2026</x:v>
      </x:c>
      <x:c r="L10" s="9" t="str">
        <x:v>F013</x:v>
      </x:c>
    </x:row>
    <x:row r="11" ht="24" customHeight="1">
      <x:c r="A11" s="9" t="str">
        <x:v>C02</x:v>
      </x:c>
      <x:c r="B11" s="9" t="str">
        <x:v>YT - Arrozes especiais Bahia 02</x:v>
      </x:c>
      <x:c r="C11" s="9" t="str">
        <x:v>Smartphones</x:v>
      </x:c>
      <x:c r="D11" s="11" t="n">
        <x:v>12745</x:v>
      </x:c>
      <x:c r="E11" s="11" t="n">
        <x:v>4552</x:v>
      </x:c>
      <x:c r="F11" s="13" t="n">
        <x:v>0.35719999999999996</x:v>
      </x:c>
      <x:c r="G11" s="12" t="n">
        <x:v>77.43</x:v>
      </x:c>
      <x:c r="H11" s="12" t="n">
        <x:v>0.02</x:v>
      </x:c>
      <x:c r="I11" s="12"/>
      <x:c r="J11" s="9" t="n">
        <x:v>0</x:v>
      </x:c>
      <x:c r="K11" s="9" t="str">
        <x:v>1 de julho de 2026 - 13 de outubro de 2026</x:v>
      </x:c>
      <x:c r="L11" s="9" t="str">
        <x:v>F013</x:v>
      </x:c>
    </x:row>
    <x:row r="12" ht="24" customHeight="1">
      <x:c r="A12" s="9" t="str">
        <x:v>C02</x:v>
      </x:c>
      <x:c r="B12" s="9" t="str">
        <x:v>YT - Arrozes especiais Bahia 02</x:v>
      </x:c>
      <x:c r="C12" s="9" t="str">
        <x:v>Tablets</x:v>
      </x:c>
      <x:c r="D12" s="11" t="n">
        <x:v>1016</x:v>
      </x:c>
      <x:c r="E12" s="11" t="n">
        <x:v>429</x:v>
      </x:c>
      <x:c r="F12" s="13" t="n">
        <x:v>0.42219999999999996</x:v>
      </x:c>
      <x:c r="G12" s="12" t="n">
        <x:v>5.39</x:v>
      </x:c>
      <x:c r="H12" s="12" t="n">
        <x:v>0.01</x:v>
      </x:c>
      <x:c r="I12" s="12"/>
      <x:c r="J12" s="9" t="n">
        <x:v>0</x:v>
      </x:c>
      <x:c r="K12" s="9" t="str">
        <x:v>1 de julho de 2026 - 13 de outubro de 2026</x:v>
      </x:c>
      <x:c r="L12" s="9" t="str">
        <x:v>F013</x:v>
      </x:c>
    </x:row>
    <x:row r="13" ht="24" customHeight="1">
      <x:c r="A13" s="9" t="str">
        <x:v>C02</x:v>
      </x:c>
      <x:c r="B13" s="9" t="str">
        <x:v>YT - Arrozes especiais Bahia 02</x:v>
      </x:c>
      <x:c r="C13" s="9" t="str">
        <x:v>Computadores</x:v>
      </x:c>
      <x:c r="D13" s="11" t="n">
        <x:v>2837</x:v>
      </x:c>
      <x:c r="E13" s="11" t="n">
        <x:v>1769</x:v>
      </x:c>
      <x:c r="F13" s="13" t="n">
        <x:v>0.6235</x:v>
      </x:c>
      <x:c r="G13" s="12" t="n">
        <x:v>17.48</x:v>
      </x:c>
      <x:c r="H13" s="12" t="n">
        <x:v>0.01</x:v>
      </x:c>
      <x:c r="I13" s="12"/>
      <x:c r="J13" s="9" t="n">
        <x:v>0</x:v>
      </x:c>
      <x:c r="K13" s="9" t="str">
        <x:v>1 de julho de 2026 - 13 de outubro de 2026</x:v>
      </x:c>
      <x:c r="L13" s="9" t="str">
        <x:v>F013</x:v>
      </x:c>
    </x:row>
    <x:row r="14" ht="24" customHeight="1">
      <x:c r="A14" s="9" t="str">
        <x:v>C03</x:v>
      </x:c>
      <x:c r="B14" s="9" t="str">
        <x:v>YT - Arrozes especiais Bahia 03</x:v>
      </x:c>
      <x:c r="C14" s="9" t="str">
        <x:v>Smartphones</x:v>
      </x:c>
      <x:c r="D14" s="11" t="n">
        <x:v>11594</x:v>
      </x:c>
      <x:c r="E14" s="11" t="n">
        <x:v>4021</x:v>
      </x:c>
      <x:c r="F14" s="13" t="n">
        <x:v>0.3468</x:v>
      </x:c>
      <x:c r="G14" s="12" t="n">
        <x:v>68.43</x:v>
      </x:c>
      <x:c r="H14" s="12" t="n">
        <x:v>0.02</x:v>
      </x:c>
      <x:c r="I14" s="12"/>
      <x:c r="J14" s="9" t="n">
        <x:v>0</x:v>
      </x:c>
      <x:c r="K14" s="9" t="str">
        <x:v>1 de julho de 2026 - 13 de outubro de 2026</x:v>
      </x:c>
      <x:c r="L14" s="9" t="str">
        <x:v>F022</x:v>
      </x:c>
    </x:row>
    <x:row r="15" ht="24" customHeight="1">
      <x:c r="A15" s="9" t="str">
        <x:v>C03</x:v>
      </x:c>
      <x:c r="B15" s="9" t="str">
        <x:v>YT - Arrozes especiais Bahia 03</x:v>
      </x:c>
      <x:c r="C15" s="9" t="str">
        <x:v>Tablets</x:v>
      </x:c>
      <x:c r="D15" s="11" t="n">
        <x:v>973</x:v>
      </x:c>
      <x:c r="E15" s="11" t="n">
        <x:v>446</x:v>
      </x:c>
      <x:c r="F15" s="13" t="n">
        <x:v>0.45840000000000003</x:v>
      </x:c>
      <x:c r="G15" s="12" t="n">
        <x:v>5.29</x:v>
      </x:c>
      <x:c r="H15" s="12" t="n">
        <x:v>0.01</x:v>
      </x:c>
      <x:c r="I15" s="12"/>
      <x:c r="J15" s="9" t="n">
        <x:v>0</x:v>
      </x:c>
      <x:c r="K15" s="9" t="str">
        <x:v>1 de julho de 2026 - 13 de outubro de 2026</x:v>
      </x:c>
      <x:c r="L15" s="9" t="str">
        <x:v>F022</x:v>
      </x:c>
    </x:row>
    <x:row r="16" ht="24" customHeight="1">
      <x:c r="A16" s="9" t="str">
        <x:v>C03</x:v>
      </x:c>
      <x:c r="B16" s="9" t="str">
        <x:v>YT - Arrozes especiais Bahia 03</x:v>
      </x:c>
      <x:c r="C16" s="9" t="str">
        <x:v>Telas de TV</x:v>
      </x:c>
      <x:c r="D16" s="11" t="n">
        <x:v>156952</x:v>
      </x:c>
      <x:c r="E16" s="11" t="n">
        <x:v>94235</x:v>
      </x:c>
      <x:c r="F16" s="13" t="n">
        <x:v>0.6004</x:v>
      </x:c>
      <x:c r="G16" s="12" t="n">
        <x:v>672.53</x:v>
      </x:c>
      <x:c r="H16" s="12" t="n">
        <x:v>0.01</x:v>
      </x:c>
      <x:c r="I16" s="12"/>
      <x:c r="J16" s="9" t="n">
        <x:v>0</x:v>
      </x:c>
      <x:c r="K16" s="9" t="str">
        <x:v>1 de julho de 2026 - 13 de outubro de 2026</x:v>
      </x:c>
      <x:c r="L16" s="9" t="str">
        <x:v>F022</x:v>
      </x:c>
    </x:row>
    <x:row r="17" ht="24" customHeight="1">
      <x:c r="A17" s="9" t="str">
        <x:v>C03</x:v>
      </x:c>
      <x:c r="B17" s="9" t="str">
        <x:v>YT - Arrozes especiais Bahia 03</x:v>
      </x:c>
      <x:c r="C17" s="9" t="str">
        <x:v>Computadores</x:v>
      </x:c>
      <x:c r="D17" s="11" t="n">
        <x:v>3124</x:v>
      </x:c>
      <x:c r="E17" s="11" t="n">
        <x:v>2053</x:v>
      </x:c>
      <x:c r="F17" s="13" t="n">
        <x:v>0.6572</x:v>
      </x:c>
      <x:c r="G17" s="12" t="n">
        <x:v>19.7</x:v>
      </x:c>
      <x:c r="H17" s="12" t="n">
        <x:v>0.01</x:v>
      </x:c>
      <x:c r="I17" s="12"/>
      <x:c r="J17" s="9" t="n">
        <x:v>0</x:v>
      </x:c>
      <x:c r="K17" s="9" t="str">
        <x:v>1 de julho de 2026 - 13 de outubro de 2026</x:v>
      </x:c>
      <x:c r="L17" s="9" t="str">
        <x:v>F022</x:v>
      </x:c>
    </x:row>
    <x:row r="18" ht="24" customHeight="1">
      <x:c r="A18" s="9" t="str">
        <x:v>C04</x:v>
      </x:c>
      <x:c r="B18" s="9" t="str">
        <x:v>Remarketing Caçarola</x:v>
      </x:c>
      <x:c r="C18" s="9" t="str">
        <x:v>Computadores</x:v>
      </x:c>
      <x:c r="D18" s="11" t="n">
        <x:v>2093</x:v>
      </x:c>
      <x:c r="E18" s="11" t="n">
        <x:v>972</x:v>
      </x:c>
      <x:c r="F18" s="13" t="n">
        <x:v>0.4644</x:v>
      </x:c>
      <x:c r="G18" s="12" t="n">
        <x:v>19.35</x:v>
      </x:c>
      <x:c r="H18" s="12" t="n">
        <x:v>0.02</x:v>
      </x:c>
      <x:c r="I18" s="12"/>
      <x:c r="J18" s="9" t="n">
        <x:v>0</x:v>
      </x:c>
      <x:c r="K18" s="9" t="str">
        <x:v>27 de agosto de 2026 - 14 de outubro de 2026</x:v>
      </x:c>
      <x:c r="L18" s="9" t="str">
        <x:v>F037</x:v>
      </x:c>
    </x:row>
    <x:row r="19" ht="24" customHeight="1">
      <x:c r="A19" s="9" t="str">
        <x:v>C04</x:v>
      </x:c>
      <x:c r="B19" s="9" t="str">
        <x:v>Remarketing Caçarola</x:v>
      </x:c>
      <x:c r="C19" s="9" t="str">
        <x:v>Tablets</x:v>
      </x:c>
      <x:c r="D19" s="11" t="n">
        <x:v>629</x:v>
      </x:c>
      <x:c r="E19" s="11" t="n">
        <x:v>137</x:v>
      </x:c>
      <x:c r="F19" s="13" t="n">
        <x:v>0.21780000000000002</x:v>
      </x:c>
      <x:c r="G19" s="12" t="n">
        <x:v>3.09</x:v>
      </x:c>
      <x:c r="H19" s="12" t="n">
        <x:v>0.02</x:v>
      </x:c>
      <x:c r="I19" s="12"/>
      <x:c r="J19" s="9" t="n">
        <x:v>0</x:v>
      </x:c>
      <x:c r="K19" s="9" t="str">
        <x:v>27 de agosto de 2026 - 14 de outubro de 2026</x:v>
      </x:c>
      <x:c r="L19" s="9" t="str">
        <x:v>F037</x:v>
      </x:c>
    </x:row>
    <x:row r="20" ht="24" customHeight="1">
      <x:c r="A20" s="9" t="str">
        <x:v>C04</x:v>
      </x:c>
      <x:c r="B20" s="9" t="str">
        <x:v>Remarketing Caçarola</x:v>
      </x:c>
      <x:c r="C20" s="9" t="str">
        <x:v>Smartphones</x:v>
      </x:c>
      <x:c r="D20" s="11" t="n">
        <x:v>13047</x:v>
      </x:c>
      <x:c r="E20" s="11" t="n">
        <x:v>3199</x:v>
      </x:c>
      <x:c r="F20" s="13" t="n">
        <x:v>0.2452</x:v>
      </x:c>
      <x:c r="G20" s="12" t="n">
        <x:v>201.26</x:v>
      </x:c>
      <x:c r="H20" s="12" t="n">
        <x:v>0.06</x:v>
      </x:c>
      <x:c r="I20" s="12"/>
      <x:c r="J20" s="9" t="n">
        <x:v>0</x:v>
      </x:c>
      <x:c r="K20" s="9" t="str">
        <x:v>27 de agosto de 2026 - 14 de outubro de 2026</x:v>
      </x:c>
      <x:c r="L20" s="9" t="str">
        <x:v>F037</x:v>
      </x:c>
    </x:row>
    <x:row r="21" ht="24" customHeight="1">
      <x:c r="A21" s="9" t="str">
        <x:v>C04</x:v>
      </x:c>
      <x:c r="B21" s="9" t="str">
        <x:v>Remarketing Caçarola</x:v>
      </x:c>
      <x:c r="C21" s="9" t="str">
        <x:v>Telas de TV</x:v>
      </x:c>
      <x:c r="D21" s="11" t="n">
        <x:v>16407</x:v>
      </x:c>
      <x:c r="E21" s="11" t="n">
        <x:v>10494</x:v>
      </x:c>
      <x:c r="F21" s="13" t="n">
        <x:v>0.6396000000000001</x:v>
      </x:c>
      <x:c r="G21" s="12" t="n">
        <x:v>119.79</x:v>
      </x:c>
      <x:c r="H21" s="12" t="n">
        <x:v>0.01</x:v>
      </x:c>
      <x:c r="I21" s="12"/>
      <x:c r="J21" s="9" t="n">
        <x:v>0</x:v>
      </x:c>
      <x:c r="K21" s="9" t="str">
        <x:v>27 de agosto de 2026 - 14 de outubro de 2026</x:v>
      </x:c>
      <x:c r="L21" s="9" t="str">
        <x:v>F037</x:v>
      </x:c>
    </x:row>
    <x:row r="22" ht="24" customHeight="1">
      <x:c r="A22" s="9" t="str">
        <x:v>C05</x:v>
      </x:c>
      <x:c r="B22" s="9" t="str">
        <x:v>[TRON] - YouTube 01 -  VT 5 Seg - {Reg SC} - 07/10</x:v>
      </x:c>
      <x:c r="C22" s="9" t="str">
        <x:v>Smartphones</x:v>
      </x:c>
      <x:c r="D22" s="11" t="n">
        <x:v>400</x:v>
      </x:c>
      <x:c r="E22" s="11" t="n">
        <x:v>0</x:v>
      </x:c>
      <x:c r="F22" s="13" t="n">
        <x:v>0</x:v>
      </x:c>
      <x:c r="G22" s="12" t="n">
        <x:v>0.75</x:v>
      </x:c>
      <x:c r="H22" s="12"/>
      <x:c r="I22" s="12" t="n">
        <x:v>1.88</x:v>
      </x:c>
      <x:c r="J22" s="9" t="n">
        <x:v>0</x:v>
      </x:c>
      <x:c r="K22" s="9" t="str">
        <x:v>1 de setembro de 2026 - 14 de outubro de 2026</x:v>
      </x:c>
      <x:c r="L22" s="9" t="str">
        <x:v>F052</x:v>
      </x:c>
    </x:row>
    <x:row r="23" ht="24" customHeight="1">
      <x:c r="A23" s="9" t="str">
        <x:v>C05</x:v>
      </x:c>
      <x:c r="B23" s="9" t="str">
        <x:v>[TRON] - YouTube 01 -  VT 5 Seg - {Reg SC} - 07/10</x:v>
      </x:c>
      <x:c r="C23" s="9" t="str">
        <x:v>Computadores</x:v>
      </x:c>
      <x:c r="D23" s="11" t="n">
        <x:v>38</x:v>
      </x:c>
      <x:c r="E23" s="11" t="n">
        <x:v>0</x:v>
      </x:c>
      <x:c r="F23" s="13" t="n">
        <x:v>0</x:v>
      </x:c>
      <x:c r="G23" s="12" t="n">
        <x:v>0.02</x:v>
      </x:c>
      <x:c r="H23" s="12"/>
      <x:c r="I23" s="12" t="n">
        <x:v>0.61</x:v>
      </x:c>
      <x:c r="J23" s="9" t="n">
        <x:v>0</x:v>
      </x:c>
      <x:c r="K23" s="9" t="str">
        <x:v>1 de setembro de 2026 - 14 de outubro de 2026</x:v>
      </x:c>
      <x:c r="L23" s="9" t="str">
        <x:v>F052</x:v>
      </x:c>
    </x:row>
    <x:row r="24" ht="24" customHeight="1">
      <x:c r="A24" s="9" t="str">
        <x:v>C05</x:v>
      </x:c>
      <x:c r="B24" s="9" t="str">
        <x:v>[TRON] - YouTube 01 -  VT 5 Seg - {Reg SC} - 07/10</x:v>
      </x:c>
      <x:c r="C24" s="9" t="str">
        <x:v>Telas de TV</x:v>
      </x:c>
      <x:c r="D24" s="11" t="n">
        <x:v>142</x:v>
      </x:c>
      <x:c r="E24" s="11" t="n">
        <x:v>2</x:v>
      </x:c>
      <x:c r="F24" s="13" t="n">
        <x:v>0.0667</x:v>
      </x:c>
      <x:c r="G24" s="12" t="n">
        <x:v>0.46</x:v>
      </x:c>
      <x:c r="H24" s="12"/>
      <x:c r="I24" s="12" t="n">
        <x:v>3.23</x:v>
      </x:c>
      <x:c r="J24" s="9" t="n">
        <x:v>0</x:v>
      </x:c>
      <x:c r="K24" s="9" t="str">
        <x:v>1 de setembro de 2026 - 14 de outubro de 2026</x:v>
      </x:c>
      <x:c r="L24" s="9" t="str">
        <x:v>F052</x:v>
      </x:c>
    </x:row>
    <x:row r="25" ht="24" customHeight="1">
      <x:c r="A25" s="9" t="str">
        <x:v>C05</x:v>
      </x:c>
      <x:c r="B25" s="9" t="str">
        <x:v>[TRON] - YouTube 01 -  VT 5 Seg - {Reg SC} - 07/10</x:v>
      </x:c>
      <x:c r="C25" s="9" t="str">
        <x:v>Tablets</x:v>
      </x:c>
      <x:c r="D25" s="11" t="n">
        <x:v>22</x:v>
      </x:c>
      <x:c r="E25" s="11" t="n">
        <x:v>1</x:v>
      </x:c>
      <x:c r="F25" s="13" t="n">
        <x:v>0.0909</x:v>
      </x:c>
      <x:c r="G25" s="12" t="n">
        <x:v>0.03</x:v>
      </x:c>
      <x:c r="H25" s="12"/>
      <x:c r="I25" s="12" t="n">
        <x:v>1.55</x:v>
      </x:c>
      <x:c r="J25" s="9" t="n">
        <x:v>0</x:v>
      </x:c>
      <x:c r="K25" s="9" t="str">
        <x:v>1 de setembro de 2026 - 14 de outubro de 2026</x:v>
      </x:c>
      <x:c r="L25" s="9" t="str">
        <x:v>F052</x:v>
      </x:c>
    </x:row>
    <x:row r="26" ht="24" customHeight="1">
      <x:c r="A26" s="9" t="str">
        <x:v>C06</x:v>
      </x:c>
      <x:c r="B26" s="9" t="str">
        <x:v>[TRON] - YouTube 02 -  VT 5 Seg - {Reg SC} - 07/10</x:v>
      </x:c>
      <x:c r="C26" s="9" t="str">
        <x:v>Smartphones</x:v>
      </x:c>
      <x:c r="D26" s="11" t="n">
        <x:v>21106</x:v>
      </x:c>
      <x:c r="E26" s="11" t="n">
        <x:v>7</x:v>
      </x:c>
      <x:c r="F26" s="13" t="n">
        <x:v>0.0004</x:v>
      </x:c>
      <x:c r="G26" s="12" t="n">
        <x:v>46.7</x:v>
      </x:c>
      <x:c r="H26" s="12"/>
      <x:c r="I26" s="12" t="n">
        <x:v>2.21</x:v>
      </x:c>
      <x:c r="J26" s="9" t="n">
        <x:v>0</x:v>
      </x:c>
      <x:c r="K26" s="9" t="str">
        <x:v>1 de setembro de 2026 - 14 de outubro de 2026</x:v>
      </x:c>
      <x:c r="L26" s="9" t="str">
        <x:v>F067</x:v>
      </x:c>
    </x:row>
    <x:row r="27" ht="24" customHeight="1">
      <x:c r="A27" s="9" t="str">
        <x:v>C06</x:v>
      </x:c>
      <x:c r="B27" s="9" t="str">
        <x:v>[TRON] - YouTube 02 -  VT 5 Seg - {Reg SC} - 07/10</x:v>
      </x:c>
      <x:c r="C27" s="9" t="str">
        <x:v>Computadores</x:v>
      </x:c>
      <x:c r="D27" s="11" t="n">
        <x:v>2393</x:v>
      </x:c>
      <x:c r="E27" s="11" t="n">
        <x:v>14</x:v>
      </x:c>
      <x:c r="F27" s="13" t="n">
        <x:v>0.0124</x:v>
      </x:c>
      <x:c r="G27" s="12" t="n">
        <x:v>5.71</x:v>
      </x:c>
      <x:c r="H27" s="12"/>
      <x:c r="I27" s="12" t="n">
        <x:v>2.39</x:v>
      </x:c>
      <x:c r="J27" s="9" t="n">
        <x:v>0</x:v>
      </x:c>
      <x:c r="K27" s="9" t="str">
        <x:v>1 de setembro de 2026 - 14 de outubro de 2026</x:v>
      </x:c>
      <x:c r="L27" s="9" t="str">
        <x:v>F067</x:v>
      </x:c>
    </x:row>
    <x:row r="28" ht="24" customHeight="1">
      <x:c r="A28" s="9" t="str">
        <x:v>C06</x:v>
      </x:c>
      <x:c r="B28" s="9" t="str">
        <x:v>[TRON] - YouTube 02 -  VT 5 Seg - {Reg SC} - 07/10</x:v>
      </x:c>
      <x:c r="C28" s="9" t="str">
        <x:v>Telas de TV</x:v>
      </x:c>
      <x:c r="D28" s="11" t="n">
        <x:v>19339</x:v>
      </x:c>
      <x:c r="E28" s="11" t="n">
        <x:v>105</x:v>
      </x:c>
      <x:c r="F28" s="13" t="n">
        <x:v>0.037000000000000005</x:v>
      </x:c>
      <x:c r="G28" s="12" t="n">
        <x:v>57.87</x:v>
      </x:c>
      <x:c r="H28" s="12"/>
      <x:c r="I28" s="12" t="n">
        <x:v>2.99</x:v>
      </x:c>
      <x:c r="J28" s="9" t="n">
        <x:v>0</x:v>
      </x:c>
      <x:c r="K28" s="9" t="str">
        <x:v>1 de setembro de 2026 - 14 de outubro de 2026</x:v>
      </x:c>
      <x:c r="L28" s="9" t="str">
        <x:v>F067</x:v>
      </x:c>
    </x:row>
    <x:row r="29" ht="24" customHeight="1">
      <x:c r="A29" s="9" t="str">
        <x:v>C06</x:v>
      </x:c>
      <x:c r="B29" s="9" t="str">
        <x:v>[TRON] - YouTube 02 -  VT 5 Seg - {Reg SC} - 07/10</x:v>
      </x:c>
      <x:c r="C29" s="9" t="str">
        <x:v>Tablets</x:v>
      </x:c>
      <x:c r="D29" s="11" t="n">
        <x:v>1135</x:v>
      </x:c>
      <x:c r="E29" s="11" t="n">
        <x:v>1</x:v>
      </x:c>
      <x:c r="F29" s="13" t="n">
        <x:v>0.0013</x:v>
      </x:c>
      <x:c r="G29" s="12" t="n">
        <x:v>2.15</x:v>
      </x:c>
      <x:c r="H29" s="12"/>
      <x:c r="I29" s="12" t="n">
        <x:v>1.89</x:v>
      </x:c>
      <x:c r="J29" s="9" t="n">
        <x:v>0</x:v>
      </x:c>
      <x:c r="K29" s="9" t="str">
        <x:v>1 de setembro de 2026 - 14 de outubro de 2026</x:v>
      </x:c>
      <x:c r="L29" s="9" t="str">
        <x:v>F067</x:v>
      </x:c>
    </x:row>
    <x:row r="30" ht="24" customHeight="1">
      <x:c r="A30" s="9" t="str">
        <x:v>C07</x:v>
      </x:c>
      <x:c r="B30" s="9" t="str">
        <x:v>[TRON] - YouTube 03 -  VT 5 Seg - {Reg SC} - 07/10</x:v>
      </x:c>
      <x:c r="C30" s="9" t="str">
        <x:v>Telas de TV</x:v>
      </x:c>
      <x:c r="D30" s="11" t="n">
        <x:v>16959</x:v>
      </x:c>
      <x:c r="E30" s="11" t="n">
        <x:v>48</x:v>
      </x:c>
      <x:c r="F30" s="13" t="n">
        <x:v>0.0388</x:v>
      </x:c>
      <x:c r="G30" s="12" t="n">
        <x:v>58.55</x:v>
      </x:c>
      <x:c r="H30" s="12"/>
      <x:c r="I30" s="12" t="n">
        <x:v>3.45</x:v>
      </x:c>
      <x:c r="J30" s="9" t="n">
        <x:v>0</x:v>
      </x:c>
      <x:c r="K30" s="9" t="str">
        <x:v>1 de setembro de 2026 - 14 de outubro de 2026</x:v>
      </x:c>
      <x:c r="L30" s="9" t="str">
        <x:v>F082</x:v>
      </x:c>
    </x:row>
    <x:row r="31" ht="24" customHeight="1">
      <x:c r="A31" s="9" t="str">
        <x:v>C07</x:v>
      </x:c>
      <x:c r="B31" s="9" t="str">
        <x:v>[TRON] - YouTube 03 -  VT 5 Seg - {Reg SC} - 07/10</x:v>
      </x:c>
      <x:c r="C31" s="9" t="str">
        <x:v>Computadores</x:v>
      </x:c>
      <x:c r="D31" s="11" t="n">
        <x:v>2252</x:v>
      </x:c>
      <x:c r="E31" s="11" t="n">
        <x:v>1</x:v>
      </x:c>
      <x:c r="F31" s="13" t="n">
        <x:v>0.0014000000000000002</x:v>
      </x:c>
      <x:c r="G31" s="12" t="n">
        <x:v>5.68</x:v>
      </x:c>
      <x:c r="H31" s="12"/>
      <x:c r="I31" s="12" t="n">
        <x:v>2.52</x:v>
      </x:c>
      <x:c r="J31" s="9" t="n">
        <x:v>0</x:v>
      </x:c>
      <x:c r="K31" s="9" t="str">
        <x:v>1 de setembro de 2026 - 14 de outubro de 2026</x:v>
      </x:c>
      <x:c r="L31" s="9" t="str">
        <x:v>F082</x:v>
      </x:c>
    </x:row>
    <x:row r="32" ht="24" customHeight="1">
      <x:c r="A32" s="9" t="str">
        <x:v>C07</x:v>
      </x:c>
      <x:c r="B32" s="9" t="str">
        <x:v>[TRON] - YouTube 03 -  VT 5 Seg - {Reg SC} - 07/10</x:v>
      </x:c>
      <x:c r="C32" s="9" t="str">
        <x:v>Tablets</x:v>
      </x:c>
      <x:c r="D32" s="11" t="n">
        <x:v>1048</x:v>
      </x:c>
      <x:c r="E32" s="11" t="n">
        <x:v>6</x:v>
      </x:c>
      <x:c r="F32" s="13" t="n">
        <x:v>0.0087</x:v>
      </x:c>
      <x:c r="G32" s="12" t="n">
        <x:v>2.11</x:v>
      </x:c>
      <x:c r="H32" s="12"/>
      <x:c r="I32" s="12" t="n">
        <x:v>2.02</x:v>
      </x:c>
      <x:c r="J32" s="9" t="n">
        <x:v>0</x:v>
      </x:c>
      <x:c r="K32" s="9" t="str">
        <x:v>1 de setembro de 2026 - 14 de outubro de 2026</x:v>
      </x:c>
      <x:c r="L32" s="9" t="str">
        <x:v>F082</x:v>
      </x:c>
    </x:row>
    <x:row r="33" ht="24" customHeight="1">
      <x:c r="A33" s="9" t="str">
        <x:v>C07</x:v>
      </x:c>
      <x:c r="B33" s="9" t="str">
        <x:v>[TRON] - YouTube 03 -  VT 5 Seg - {Reg SC} - 07/10</x:v>
      </x:c>
      <x:c r="C33" s="9" t="str">
        <x:v>Smartphones</x:v>
      </x:c>
      <x:c r="D33" s="11" t="n">
        <x:v>22153</x:v>
      </x:c>
      <x:c r="E33" s="11" t="n">
        <x:v>9</x:v>
      </x:c>
      <x:c r="F33" s="13" t="n">
        <x:v>0.0005</x:v>
      </x:c>
      <x:c r="G33" s="12" t="n">
        <x:v>46.31</x:v>
      </x:c>
      <x:c r="H33" s="12"/>
      <x:c r="I33" s="12" t="n">
        <x:v>2.09</x:v>
      </x:c>
      <x:c r="J33" s="9" t="n">
        <x:v>0</x:v>
      </x:c>
      <x:c r="K33" s="9" t="str">
        <x:v>1 de setembro de 2026 - 14 de outubro de 2026</x:v>
      </x:c>
      <x:c r="L33" s="9" t="str">
        <x:v>F082</x:v>
      </x:c>
    </x:row>
    <x:row r="34" ht="24" customHeight="1">
      <x:c r="A34" s="9" t="str">
        <x:v>C08</x:v>
      </x:c>
      <x:c r="B34" s="9" t="str">
        <x:v>[TRON] - YouTube 04 -  VT 5 Seg - {Reg SC} - 07/10</x:v>
      </x:c>
      <x:c r="C34" s="9" t="str">
        <x:v>Computadores</x:v>
      </x:c>
      <x:c r="D34" s="11" t="n">
        <x:v>2413</x:v>
      </x:c>
      <x:c r="E34" s="11" t="n">
        <x:v>11</x:v>
      </x:c>
      <x:c r="F34" s="13" t="n">
        <x:v>0.0069</x:v>
      </x:c>
      <x:c r="G34" s="12" t="n">
        <x:v>6.29</x:v>
      </x:c>
      <x:c r="H34" s="12"/>
      <x:c r="I34" s="12" t="n">
        <x:v>2.61</x:v>
      </x:c>
      <x:c r="J34" s="9" t="n">
        <x:v>0</x:v>
      </x:c>
      <x:c r="K34" s="9" t="str">
        <x:v>1 de setembro de 2026 - 14 de outubro de 2026</x:v>
      </x:c>
      <x:c r="L34" s="9" t="str">
        <x:v>F097</x:v>
      </x:c>
    </x:row>
    <x:row r="35" ht="24" customHeight="1">
      <x:c r="A35" s="9" t="str">
        <x:v>C08</x:v>
      </x:c>
      <x:c r="B35" s="9" t="str">
        <x:v>[TRON] - YouTube 04 -  VT 5 Seg - {Reg SC} - 07/10</x:v>
      </x:c>
      <x:c r="C35" s="9" t="str">
        <x:v>Tablets</x:v>
      </x:c>
      <x:c r="D35" s="11" t="n">
        <x:v>954</x:v>
      </x:c>
      <x:c r="E35" s="11" t="n">
        <x:v>5</x:v>
      </x:c>
      <x:c r="F35" s="13" t="n">
        <x:v>0.0070999999999999995</x:v>
      </x:c>
      <x:c r="G35" s="12" t="n">
        <x:v>1.77</x:v>
      </x:c>
      <x:c r="H35" s="12"/>
      <x:c r="I35" s="12" t="n">
        <x:v>1.85</x:v>
      </x:c>
      <x:c r="J35" s="9" t="n">
        <x:v>0</x:v>
      </x:c>
      <x:c r="K35" s="9" t="str">
        <x:v>1 de setembro de 2026 - 14 de outubro de 2026</x:v>
      </x:c>
      <x:c r="L35" s="9" t="str">
        <x:v>F097</x:v>
      </x:c>
    </x:row>
    <x:row r="36" ht="24" customHeight="1">
      <x:c r="A36" s="9" t="str">
        <x:v>C08</x:v>
      </x:c>
      <x:c r="B36" s="9" t="str">
        <x:v>[TRON] - YouTube 04 -  VT 5 Seg - {Reg SC} - 07/10</x:v>
      </x:c>
      <x:c r="C36" s="9" t="str">
        <x:v>Smartphones</x:v>
      </x:c>
      <x:c r="D36" s="11" t="n">
        <x:v>20337</x:v>
      </x:c>
      <x:c r="E36" s="11" t="n">
        <x:v>11</x:v>
      </x:c>
      <x:c r="F36" s="13" t="n">
        <x:v>0.0006</x:v>
      </x:c>
      <x:c r="G36" s="12" t="n">
        <x:v>36.32</x:v>
      </x:c>
      <x:c r="H36" s="12"/>
      <x:c r="I36" s="12" t="n">
        <x:v>1.79</x:v>
      </x:c>
      <x:c r="J36" s="9" t="n">
        <x:v>0</x:v>
      </x:c>
      <x:c r="K36" s="9" t="str">
        <x:v>1 de setembro de 2026 - 14 de outubro de 2026</x:v>
      </x:c>
      <x:c r="L36" s="9" t="str">
        <x:v>F097</x:v>
      </x:c>
    </x:row>
    <x:row r="37" ht="24" customHeight="1">
      <x:c r="A37" s="9" t="str">
        <x:v>C08</x:v>
      </x:c>
      <x:c r="B37" s="9" t="str">
        <x:v>[TRON] - YouTube 04 -  VT 5 Seg - {Reg SC} - 07/10</x:v>
      </x:c>
      <x:c r="C37" s="9" t="str">
        <x:v>Telas de TV</x:v>
      </x:c>
      <x:c r="D37" s="11" t="n">
        <x:v>20408</x:v>
      </x:c>
      <x:c r="E37" s="11" t="n">
        <x:v>96</x:v>
      </x:c>
      <x:c r="F37" s="13" t="n">
        <x:v>0.042199999999999994</x:v>
      </x:c>
      <x:c r="G37" s="12" t="n">
        <x:v>68.67</x:v>
      </x:c>
      <x:c r="H37" s="12"/>
      <x:c r="I37" s="12" t="n">
        <x:v>3.37</x:v>
      </x:c>
      <x:c r="J37" s="9" t="n">
        <x:v>0</x:v>
      </x:c>
      <x:c r="K37" s="9" t="str">
        <x:v>1 de setembro de 2026 - 14 de outubro de 2026</x:v>
      </x:c>
      <x:c r="L37" s="9" t="str">
        <x:v>F097</x:v>
      </x:c>
    </x:row>
  </x:sheetData>
  <x:pageMargins left="0.7" right="0.7" top="0.75" bottom="0.75" header="0.3" footer="0.3"/>
  <x:tableParts count="1">
    <x:tablePart xmlns:r="http://schemas.openxmlformats.org/officeDocument/2006/relationships" r:id="Rcc952466f5de45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6" hidden="0" customWidth="1"/>
    <x:col min="3" max="3" width="56" hidden="0" customWidth="1"/>
    <x:col min="4" max="4" width="50" hidden="0" customWidth="1"/>
    <x:col min="5" max="5" width="83" hidden="0" customWidth="1"/>
    <x:col min="6" max="6" width="66" hidden="0" customWidth="1"/>
    <x:col min="7" max="7" width="65" hidden="0" customWidth="1"/>
    <x:col min="8" max="8" width="24" hidden="0" customWidth="1"/>
    <x:col min="9" max="9" width="58" hidden="0" customWidth="1"/>
    <x:col min="10" max="10" width="23" hidden="0" customWidth="1"/>
    <x:col min="11" max="11" width="30" hidden="0" customWidth="1"/>
    <x:col min="12" max="12" width="32" hidden="0" customWidth="1"/>
    <x:col min="13" max="13" width="20" hidden="0" customWidth="1"/>
    <x:col min="14" max="14" width="20" hidden="0" customWidth="1"/>
    <x:col min="15" max="15" width="20" hidden="0" customWidth="1"/>
    <x:col min="16" max="16" width="18" hidden="0" customWidth="1"/>
    <x:col min="17" max="17" width="54" hidden="0" customWidth="1"/>
    <x:col min="18" max="18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4" customHeight="1">
      <x:c r="A2" s="2" t="str">
        <x:v>Anúncios e vídeos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Bahia 02 não possui relatório de anúncios. Duração dos vídeos não foi exportada.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4" customHeight="1">
      <x:c r="A5" s="8" t="str">
        <x:v>ID</x:v>
      </x:c>
      <x:c r="B5" s="8" t="str">
        <x:v>Campanha</x:v>
      </x:c>
      <x:c r="C5" s="8" t="str">
        <x:v>Anúncio</x:v>
      </x:c>
      <x:c r="D5" s="8" t="str">
        <x:v>Título</x:v>
      </x:c>
      <x:c r="E5" s="8" t="str">
        <x:v>Descrição</x:v>
      </x:c>
      <x:c r="F5" s="8" t="str">
        <x:v>URL vídeo</x:v>
      </x:c>
      <x:c r="G5" s="8" t="str">
        <x:v>URL destino</x:v>
      </x:c>
      <x:c r="H5" s="8" t="str">
        <x:v>ID vídeo exportado</x:v>
      </x:c>
      <x:c r="I5" s="8" t="str">
        <x:v>Grupo de anúncios</x:v>
      </x:c>
      <x:c r="J5" s="8" t="str">
        <x:v>Status anúncio</x:v>
      </x:c>
      <x:c r="K5" s="8" t="str">
        <x:v>Motivos</x:v>
      </x:c>
      <x:c r="L5" s="8" t="str">
        <x:v>Tipo anúncio</x:v>
      </x:c>
      <x:c r="M5" s="8" t="str">
        <x:v>Impressões</x:v>
      </x:c>
      <x:c r="N5" s="8" t="str">
        <x:v>TrueView</x:v>
      </x:c>
      <x:c r="O5" s="8" t="str">
        <x:v>Custo BRL</x:v>
      </x:c>
      <x:c r="P5" s="8" t="str">
        <x:v>Conversões</x:v>
      </x:c>
      <x:c r="Q5" s="8" t="str">
        <x:v>Período original</x:v>
      </x:c>
      <x:c r="R5" s="8" t="str">
        <x:v>Fonte</x:v>
      </x:c>
    </x:row>
    <x:row r="6" ht="24" customHeight="1">
      <x:c r="A6" s="32" t="str">
        <x:v>C01</x:v>
      </x:c>
      <x:c r="B6" s="33" t="str">
        <x:v>YT - Arrozes especiais Bahia 01</x:v>
      </x:c>
      <x:c r="C6" s="33" t="str">
        <x:v>A origem do amor</x:v>
      </x:c>
      <x:c r="D6" s="33" t="str">
        <x:v>Feito por Famílias do Campo</x:v>
      </x:c>
      <x:c r="E6" s="33" t="str">
        <x:v>A origem do amor</x:v>
      </x:c>
      <x:c r="F6" s="33" t="str">
        <x:v>https://www.youtube.com/watch?v=1OC1sZmtrXk</x:v>
      </x:c>
      <x:c r="G6" s="33" t="str">
        <x:v>https://www.instagram.com/alimentoscacarola/</x:v>
      </x:c>
      <x:c r="H6" s="32" t="str">
        <x:v>397701676795</x:v>
      </x:c>
      <x:c r="I6" s="33" t="str">
        <x:v>Vídeo 01</x:v>
      </x:c>
      <x:c r="J6" s="32" t="str">
        <x:v>Qualificado</x:v>
      </x:c>
      <x:c r="K6" s="32" t="str"/>
      <x:c r="L6" s="32" t="str">
        <x:v>Anúncio responsivo em vídeo</x:v>
      </x:c>
      <x:c r="M6" s="32" t="n">
        <x:v>153603</x:v>
      </x:c>
      <x:c r="N6" s="32" t="n">
        <x:v>88639</x:v>
      </x:c>
      <x:c r="O6" s="40" t="n">
        <x:v>775.98</x:v>
      </x:c>
      <x:c r="P6" s="32" t="n">
        <x:v>0</x:v>
      </x:c>
      <x:c r="Q6" s="32" t="str">
        <x:v>1 de julho de 2026 - 13 de outubro de 2026</x:v>
      </x:c>
      <x:c r="R6" s="32" t="str">
        <x:v>F004</x:v>
      </x:c>
    </x:row>
    <x:row r="7" ht="24" customHeight="1">
      <x:c r="A7" s="32" t="str">
        <x:v>C03</x:v>
      </x:c>
      <x:c r="B7" s="33" t="str">
        <x:v>YT - Arrozes especiais Bahia 03</x:v>
      </x:c>
      <x:c r="C7" s="33" t="str">
        <x:v>A origem do amor</x:v>
      </x:c>
      <x:c r="D7" s="33" t="str">
        <x:v>Feito por Famílias do Campo</x:v>
      </x:c>
      <x:c r="E7" s="33" t="str">
        <x:v>A origem do amor</x:v>
      </x:c>
      <x:c r="F7" s="33" t="str">
        <x:v>https://www.youtube.com/watch?v=1OC1sZmtrXk</x:v>
      </x:c>
      <x:c r="G7" s="33" t="str">
        <x:v>https://www.instagram.com/alimentoscacarola/</x:v>
      </x:c>
      <x:c r="H7" s="32" t="str">
        <x:v>397701676795</x:v>
      </x:c>
      <x:c r="I7" s="33" t="str">
        <x:v>Vídeo 01</x:v>
      </x:c>
      <x:c r="J7" s="32" t="str">
        <x:v>Qualificado</x:v>
      </x:c>
      <x:c r="K7" s="32" t="str"/>
      <x:c r="L7" s="32" t="str">
        <x:v>Anúncio responsivo em vídeo</x:v>
      </x:c>
      <x:c r="M7" s="32" t="n">
        <x:v>172643</x:v>
      </x:c>
      <x:c r="N7" s="32" t="n">
        <x:v>100755</x:v>
      </x:c>
      <x:c r="O7" s="40" t="n">
        <x:v>765.94</x:v>
      </x:c>
      <x:c r="P7" s="32" t="n">
        <x:v>0</x:v>
      </x:c>
      <x:c r="Q7" s="32" t="str">
        <x:v>1 de julho de 2026 - 13 de outubro de 2026</x:v>
      </x:c>
      <x:c r="R7" s="32" t="str">
        <x:v>F020</x:v>
      </x:c>
    </x:row>
    <x:row r="8" ht="24" customHeight="1">
      <x:c r="A8" s="32" t="str">
        <x:v>C04</x:v>
      </x:c>
      <x:c r="B8" s="33" t="str">
        <x:v>Remarketing Caçarola</x:v>
      </x:c>
      <x:c r="C8" s="33" t="str">
        <x:v>Remarketing 90D - Pessoas que interagiram com os videos</x:v>
      </x:c>
      <x:c r="D8" s="33" t="str">
        <x:v>Arroz Caçarola | Do campo para a sua mesa</x:v>
      </x:c>
      <x:c r="E8" s="33" t="str">
        <x:v>Arroz Caçarola: qualidade e amor cultivado para a sua família. Acesse e confira!</x:v>
      </x:c>
      <x:c r="F8" s="33" t="str">
        <x:v>https://www.youtube.com/watch?v=1OC1sZmtrXk</x:v>
      </x:c>
      <x:c r="G8" s="33" t="str">
        <x:v>https://www.cooperja.com.br/cacarola</x:v>
      </x:c>
      <x:c r="H8" s="32" t="str">
        <x:v>397701676795</x:v>
      </x:c>
      <x:c r="I8" s="33" t="str">
        <x:v>Remarketing 90D - Interagiram com os videos</x:v>
      </x:c>
      <x:c r="J8" s="32" t="str">
        <x:v>Não qualificado</x:v>
      </x:c>
      <x:c r="K8" s="32" t="str">
        <x:v>campanha pausada</x:v>
      </x:c>
      <x:c r="L8" s="32" t="str">
        <x:v>Anúncio responsivo em vídeo</x:v>
      </x:c>
      <x:c r="M8" s="32" t="n">
        <x:v>32176</x:v>
      </x:c>
      <x:c r="N8" s="32" t="n">
        <x:v>14802</x:v>
      </x:c>
      <x:c r="O8" s="40" t="n">
        <x:v>343.48</x:v>
      </x:c>
      <x:c r="P8" s="32" t="n">
        <x:v>0</x:v>
      </x:c>
      <x:c r="Q8" s="32" t="str">
        <x:v>27 de agosto de 2026 - 14 de outubro de 2026</x:v>
      </x:c>
      <x:c r="R8" s="32" t="str">
        <x:v>F035</x:v>
      </x:c>
    </x:row>
    <x:row r="9" ht="24" customHeight="1">
      <x:c r="A9" s="32" t="str">
        <x:v>C05</x:v>
      </x:c>
      <x:c r="B9" s="33" t="str">
        <x:v>[TRON] - YouTube 01 -  VT 5 Seg - {Reg SC} - 07/10</x:v>
      </x:c>
      <x:c r="C9" s="33" t="str">
        <x:v>VT 01 - A gente faz porque tem amor por aquilo que faz</x:v>
      </x:c>
      <x:c r="D9" s="33" t="str">
        <x:v>A gente faz porque tem amor por aquilo que faz</x:v>
      </x:c>
      <x:c r="E9" s="33" t="str">
        <x:v>Amor Cultivado</x:v>
      </x:c>
      <x:c r="F9" s="33" t="str">
        <x:v>https://www.youtube.com/watch?v=IV5hrQ9oqjk</x:v>
      </x:c>
      <x:c r="G9" s="33" t="str">
        <x:v>https://www.cooperja.com.br/cacarola</x:v>
      </x:c>
      <x:c r="H9" s="32" t="str">
        <x:v>428300314398</x:v>
      </x:c>
      <x:c r="I9" s="33" t="str">
        <x:v>Vídeo - Alcance eficiente - 06/10 = Região SC</x:v>
      </x:c>
      <x:c r="J9" s="32" t="str">
        <x:v>Qualificado</x:v>
      </x:c>
      <x:c r="K9" s="32" t="str"/>
      <x:c r="L9" s="32" t="str">
        <x:v>Anúncio responsivo em vídeo</x:v>
      </x:c>
      <x:c r="M9" s="32" t="n">
        <x:v>602</x:v>
      </x:c>
      <x:c r="N9" s="32" t="n">
        <x:v>3</x:v>
      </x:c>
      <x:c r="O9" s="40" t="n">
        <x:v>1.27</x:v>
      </x:c>
      <x:c r="P9" s="32" t="n">
        <x:v>0</x:v>
      </x:c>
      <x:c r="Q9" s="32" t="str">
        <x:v>1 de setembro de 2026 - 14 de outubro de 2026</x:v>
      </x:c>
      <x:c r="R9" s="32" t="str">
        <x:v>F050</x:v>
      </x:c>
    </x:row>
    <x:row r="10" ht="39" customHeight="1">
      <x:c r="A10" s="32" t="str">
        <x:v>C06</x:v>
      </x:c>
      <x:c r="B10" s="33" t="str">
        <x:v>[TRON] - YouTube 02 -  VT 5 Seg - {Reg SC} - 07/10</x:v>
      </x:c>
      <x:c r="C10" s="33" t="str">
        <x:v>VT 02 - Nunca passou pela minha cabeça abandonar essa cultura | Amor Cultivado</x:v>
      </x:c>
      <x:c r="D10" s="33" t="str">
        <x:v>Nunca passou pela minha cabeça abandonar essa cultura</x:v>
      </x:c>
      <x:c r="E10" s="33" t="str">
        <x:v>Amor Cultivado</x:v>
      </x:c>
      <x:c r="F10" s="33" t="str">
        <x:v>https://www.youtube.com/watch?v=-Ih9_RU8Ndk</x:v>
      </x:c>
      <x:c r="G10" s="33" t="str">
        <x:v>https://www.cooperja.com.br/cacarola</x:v>
      </x:c>
      <x:c r="H10" s="32" t="str">
        <x:v>428212195513</x:v>
      </x:c>
      <x:c r="I10" s="33" t="str">
        <x:v>Vídeo - Alcance eficiente - 07/10 = Região SC</x:v>
      </x:c>
      <x:c r="J10" s="32" t="str">
        <x:v>Qualificado</x:v>
      </x:c>
      <x:c r="K10" s="32" t="str"/>
      <x:c r="L10" s="32" t="str">
        <x:v>Anúncio responsivo em vídeo</x:v>
      </x:c>
      <x:c r="M10" s="32" t="n">
        <x:v>43982</x:v>
      </x:c>
      <x:c r="N10" s="32" t="n">
        <x:v>127</x:v>
      </x:c>
      <x:c r="O10" s="40" t="n">
        <x:v>112.45</x:v>
      </x:c>
      <x:c r="P10" s="32" t="n">
        <x:v>0</x:v>
      </x:c>
      <x:c r="Q10" s="32" t="str">
        <x:v>1 de setembro de 2026 - 14 de outubro de 2026</x:v>
      </x:c>
      <x:c r="R10" s="32" t="str">
        <x:v>F065</x:v>
      </x:c>
    </x:row>
    <x:row r="11" ht="24" customHeight="1">
      <x:c r="A11" s="32" t="str">
        <x:v>C07</x:v>
      </x:c>
      <x:c r="B11" s="33" t="str">
        <x:v>[TRON] - YouTube 03 -  VT 5 Seg - {Reg SC} - 07/10</x:v>
      </x:c>
      <x:c r="C11" s="33" t="str">
        <x:v>VT 03 - O campo é minha vida | Amor Cultivado</x:v>
      </x:c>
      <x:c r="D11" s="33" t="str">
        <x:v>O campo é minha vida</x:v>
      </x:c>
      <x:c r="E11" s="33" t="str">
        <x:v>Amor Cultivado</x:v>
      </x:c>
      <x:c r="F11" s="33" t="str">
        <x:v>https://www.youtube.com/watch?v=ZdQLceEkcIY</x:v>
      </x:c>
      <x:c r="G11" s="33" t="str">
        <x:v>https://www.cooperja.com.br/cacarola</x:v>
      </x:c>
      <x:c r="H11" s="32" t="str">
        <x:v>428213337688</x:v>
      </x:c>
      <x:c r="I11" s="33" t="str">
        <x:v>Vídeo - Alcance eficiente - 07/10 = Região SC</x:v>
      </x:c>
      <x:c r="J11" s="32" t="str">
        <x:v>Qualificado</x:v>
      </x:c>
      <x:c r="K11" s="32" t="str"/>
      <x:c r="L11" s="32" t="str">
        <x:v>Anúncio responsivo em vídeo</x:v>
      </x:c>
      <x:c r="M11" s="32" t="n">
        <x:v>42415</x:v>
      </x:c>
      <x:c r="N11" s="32" t="n">
        <x:v>64</x:v>
      </x:c>
      <x:c r="O11" s="40" t="n">
        <x:v>112.66</x:v>
      </x:c>
      <x:c r="P11" s="32" t="n">
        <x:v>0</x:v>
      </x:c>
      <x:c r="Q11" s="32" t="str">
        <x:v>1 de setembro de 2026 - 14 de outubro de 2026</x:v>
      </x:c>
      <x:c r="R11" s="32" t="str">
        <x:v>F080</x:v>
      </x:c>
    </x:row>
    <x:row r="12" ht="24" customHeight="1">
      <x:c r="A12" s="32" t="str">
        <x:v>C08</x:v>
      </x:c>
      <x:c r="B12" s="33" t="str">
        <x:v>[TRON] - YouTube 04 -  VT 5 Seg - {Reg SC} - 07/10</x:v>
      </x:c>
      <x:c r="C12" s="33" t="str">
        <x:v>VT 04 - Tudo é feito em família | Amor Cultivado</x:v>
      </x:c>
      <x:c r="D12" s="33" t="str">
        <x:v>Tudo é feito em família</x:v>
      </x:c>
      <x:c r="E12" s="33" t="str">
        <x:v>Amor Cultivado</x:v>
      </x:c>
      <x:c r="F12" s="33" t="str">
        <x:v>https://www.youtube.com/watch?v=GBjGLoh5gTA</x:v>
      </x:c>
      <x:c r="G12" s="33" t="str">
        <x:v>https://www.cooperja.com.br/cacarola</x:v>
      </x:c>
      <x:c r="H12" s="32" t="str">
        <x:v>428213214076</x:v>
      </x:c>
      <x:c r="I12" s="33" t="str">
        <x:v>Vídeo - Alcance eficiente - 07/10 = Região SC</x:v>
      </x:c>
      <x:c r="J12" s="32" t="str">
        <x:v>Qualificado</x:v>
      </x:c>
      <x:c r="K12" s="32" t="str"/>
      <x:c r="L12" s="32" t="str">
        <x:v>Anúncio responsivo em vídeo</x:v>
      </x:c>
      <x:c r="M12" s="32" t="n">
        <x:v>44115</x:v>
      </x:c>
      <x:c r="N12" s="32" t="n">
        <x:v>123</x:v>
      </x:c>
      <x:c r="O12" s="40" t="n">
        <x:v>113.07</x:v>
      </x:c>
      <x:c r="P12" s="32" t="n">
        <x:v>0</x:v>
      </x:c>
      <x:c r="Q12" s="32" t="str">
        <x:v>1 de setembro de 2026 - 14 de outubro de 2026</x:v>
      </x:c>
      <x:c r="R12" s="32" t="str">
        <x:v>F095</x:v>
      </x:c>
    </x:row>
  </x:sheetData>
  <x:pageMargins left="0.7" right="0.7" top="0.75" bottom="0.75" header="0.3" footer="0.3"/>
  <x:tableParts count="1">
    <x:tablePart xmlns:r="http://schemas.openxmlformats.org/officeDocument/2006/relationships" r:id="R5f21528ef23b4d3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6" hidden="0" customWidth="1"/>
    <x:col min="3" max="3" width="91" hidden="0" customWidth="1"/>
    <x:col min="4" max="4" width="30" hidden="0" customWidth="1"/>
    <x:col min="5" max="5" width="60" hidden="0" customWidth="1"/>
    <x:col min="6" max="6" width="21" hidden="0" customWidth="1"/>
    <x:col min="7" max="7" width="47" hidden="0" customWidth="1"/>
    <x:col min="8" max="8" width="36" hidden="0" customWidth="1"/>
    <x:col min="9" max="9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Alcance e frequência dos ZIPs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Anexos da pasta com escopo a confirmar. Nunca somar usuários únicos de formatos, dispositivos ou campanhas.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8" t="str">
        <x:v>ID</x:v>
      </x:c>
      <x:c r="B5" s="8" t="str">
        <x:v>Campanha da pasta</x:v>
      </x:c>
      <x:c r="C5" s="8" t="str">
        <x:v>Tabela anexa</x:v>
      </x:c>
      <x:c r="D5" s="8" t="str">
        <x:v>Dimensão / data original</x:v>
      </x:c>
      <x:c r="E5" s="8" t="str">
        <x:v>Métrica</x:v>
      </x:c>
      <x:c r="F5" s="8" t="str">
        <x:v>Valor</x:v>
      </x:c>
      <x:c r="G5" s="8" t="str">
        <x:v>Período / filtro</x:v>
      </x:c>
      <x:c r="H5" s="8" t="str">
        <x:v>Canal exportado</x:v>
      </x:c>
      <x:c r="I5" s="8" t="str">
        <x:v>Fonte</x:v>
      </x:c>
    </x:row>
    <x:row r="6" ht="24" customHeight="1">
      <x:c r="A6" s="9" t="str">
        <x:v>C04</x:v>
      </x:c>
      <x:c r="B6" s="9" t="str">
        <x:v>Remarketing Caçarola</x:v>
      </x:c>
      <x:c r="C6" s="9" t="str">
        <x:v>Freq. méd. impr. _ usuário (covisualizadas).csv</x:v>
      </x:c>
      <x:c r="D6" s="9" t="str">
        <x:v>8/24/2026</x:v>
      </x:c>
      <x:c r="E6" s="9" t="str">
        <x:v>Freq. méd. impr. / usuário (covisualizadas)</x:v>
      </x:c>
      <x:c r="F6" s="36" t="n">
        <x:v>1.112540192926045</x:v>
      </x:c>
      <x:c r="G6" s="9" t="str">
        <x:v>Período/filtro não informado no ZIP</x:v>
      </x:c>
      <x:c r="H6" s="9" t="str">
        <x:v>A confirmar</x:v>
      </x:c>
      <x:c r="I6" s="9" t="str">
        <x:v>F026</x:v>
      </x:c>
    </x:row>
    <x:row r="7" ht="24" customHeight="1">
      <x:c r="A7" s="9" t="str">
        <x:v>C04</x:v>
      </x:c>
      <x:c r="B7" s="9" t="str">
        <x:v>Remarketing Caçarola</x:v>
      </x:c>
      <x:c r="C7" s="9" t="str">
        <x:v>Freq. méd. impr. _ usuário (covisualizadas).csv</x:v>
      </x:c>
      <x:c r="D7" s="9" t="str">
        <x:v>8/31/2026</x:v>
      </x:c>
      <x:c r="E7" s="9" t="str">
        <x:v>Freq. méd. impr. / usuário (covisualizadas)</x:v>
      </x:c>
      <x:c r="F7" s="36" t="n">
        <x:v>1.2017733564013842</x:v>
      </x:c>
      <x:c r="G7" s="9" t="str">
        <x:v>Período/filtro não informado no ZIP</x:v>
      </x:c>
      <x:c r="H7" s="9" t="str">
        <x:v>A confirmar</x:v>
      </x:c>
      <x:c r="I7" s="9" t="str">
        <x:v>F026</x:v>
      </x:c>
    </x:row>
    <x:row r="8" ht="24" customHeight="1">
      <x:c r="A8" s="9" t="str">
        <x:v>C04</x:v>
      </x:c>
      <x:c r="B8" s="9" t="str">
        <x:v>Remarketing Caçarola</x:v>
      </x:c>
      <x:c r="C8" s="9" t="str">
        <x:v>Freq. méd. impr. _ usuário (covisualizadas).csv</x:v>
      </x:c>
      <x:c r="D8" s="9" t="str">
        <x:v>9/7/2026</x:v>
      </x:c>
      <x:c r="E8" s="9" t="str">
        <x:v>Freq. méd. impr. / usuário (covisualizadas)</x:v>
      </x:c>
      <x:c r="F8" s="36" t="n">
        <x:v>1.3310611224721653</x:v>
      </x:c>
      <x:c r="G8" s="9" t="str">
        <x:v>Período/filtro não informado no ZIP</x:v>
      </x:c>
      <x:c r="H8" s="9" t="str">
        <x:v>A confirmar</x:v>
      </x:c>
      <x:c r="I8" s="9" t="str">
        <x:v>F026</x:v>
      </x:c>
    </x:row>
    <x:row r="9" ht="24" customHeight="1">
      <x:c r="A9" s="9" t="str">
        <x:v>C04</x:v>
      </x:c>
      <x:c r="B9" s="9" t="str">
        <x:v>Remarketing Caçarola</x:v>
      </x:c>
      <x:c r="C9" s="9" t="str">
        <x:v>Freq. méd. impr. _ usuário (covisualizadas).csv</x:v>
      </x:c>
      <x:c r="D9" s="9" t="str">
        <x:v>9/14/2026</x:v>
      </x:c>
      <x:c r="E9" s="9" t="str">
        <x:v>Freq. méd. impr. / usuário (covisualizadas)</x:v>
      </x:c>
      <x:c r="F9" s="36" t="n">
        <x:v>1.2453300124533002</x:v>
      </x:c>
      <x:c r="G9" s="9" t="str">
        <x:v>Período/filtro não informado no ZIP</x:v>
      </x:c>
      <x:c r="H9" s="9" t="str">
        <x:v>A confirmar</x:v>
      </x:c>
      <x:c r="I9" s="9" t="str">
        <x:v>F026</x:v>
      </x:c>
    </x:row>
    <x:row r="10" ht="24" customHeight="1">
      <x:c r="A10" s="9" t="str">
        <x:v>C04</x:v>
      </x:c>
      <x:c r="B10" s="9" t="str">
        <x:v>Remarketing Caçarola</x:v>
      </x:c>
      <x:c r="C10" s="9" t="str">
        <x:v>Freq. méd. impr. _ usuário (covisualizadas).csv</x:v>
      </x:c>
      <x:c r="D10" s="9" t="str">
        <x:v>9/21/2026</x:v>
      </x:c>
      <x:c r="E10" s="9" t="str">
        <x:v>Freq. méd. impr. / usuário (covisualizadas)</x:v>
      </x:c>
      <x:c r="F10" s="36" t="n">
        <x:v>1.1508246527777777</x:v>
      </x:c>
      <x:c r="G10" s="9" t="str">
        <x:v>Período/filtro não informado no ZIP</x:v>
      </x:c>
      <x:c r="H10" s="9" t="str">
        <x:v>A confirmar</x:v>
      </x:c>
      <x:c r="I10" s="9" t="str">
        <x:v>F026</x:v>
      </x:c>
    </x:row>
    <x:row r="11" ht="24" customHeight="1">
      <x:c r="A11" s="9" t="str">
        <x:v>C04</x:v>
      </x:c>
      <x:c r="B11" s="9" t="str">
        <x:v>Remarketing Caçarola</x:v>
      </x:c>
      <x:c r="C11" s="9" t="str">
        <x:v>Freq. méd. impr. _ usuário (covisualizadas).csv</x:v>
      </x:c>
      <x:c r="D11" s="9" t="str">
        <x:v>9/28/2026</x:v>
      </x:c>
      <x:c r="E11" s="9" t="str">
        <x:v>Freq. méd. impr. / usuário (covisualizadas)</x:v>
      </x:c>
      <x:c r="F11" s="36" t="n">
        <x:v>1.2937989163154726</x:v>
      </x:c>
      <x:c r="G11" s="9" t="str">
        <x:v>Período/filtro não informado no ZIP</x:v>
      </x:c>
      <x:c r="H11" s="9" t="str">
        <x:v>A confirmar</x:v>
      </x:c>
      <x:c r="I11" s="9" t="str">
        <x:v>F026</x:v>
      </x:c>
    </x:row>
    <x:row r="12" ht="24" customHeight="1">
      <x:c r="A12" s="9" t="str">
        <x:v>C04</x:v>
      </x:c>
      <x:c r="B12" s="9" t="str">
        <x:v>Remarketing Caçarola</x:v>
      </x:c>
      <x:c r="C12" s="9" t="str">
        <x:v>Freq. méd. impr. _ usuário (covisualizadas).csv</x:v>
      </x:c>
      <x:c r="D12" s="9" t="str">
        <x:v>10/5/2026</x:v>
      </x:c>
      <x:c r="E12" s="9" t="str">
        <x:v>Freq. méd. impr. / usuário (covisualizadas)</x:v>
      </x:c>
      <x:c r="F12" s="36" t="n">
        <x:v>1.4194260485651213</x:v>
      </x:c>
      <x:c r="G12" s="9" t="str">
        <x:v>Período/filtro não informado no ZIP</x:v>
      </x:c>
      <x:c r="H12" s="9" t="str">
        <x:v>A confirmar</x:v>
      </x:c>
      <x:c r="I12" s="9" t="str">
        <x:v>F026</x:v>
      </x:c>
    </x:row>
    <x:row r="13" ht="24" customHeight="1">
      <x:c r="A13" s="9" t="str">
        <x:v>C04</x:v>
      </x:c>
      <x:c r="B13" s="9" t="str">
        <x:v>Remarketing Caçarola</x:v>
      </x:c>
      <x:c r="C13" s="9" t="str">
        <x:v>Freq. méd. impr. _ usuário (covisualizadas).csv</x:v>
      </x:c>
      <x:c r="D13" s="9" t="str">
        <x:v>10/12/2026</x:v>
      </x:c>
      <x:c r="E13" s="9" t="str">
        <x:v>Freq. méd. impr. / usuário (covisualizadas)</x:v>
      </x:c>
      <x:c r="F13" s="36"/>
      <x:c r="G13" s="9" t="str">
        <x:v>Período/filtro não informado no ZIP</x:v>
      </x:c>
      <x:c r="H13" s="9" t="str">
        <x:v>A confirmar</x:v>
      </x:c>
      <x:c r="I13" s="9" t="str">
        <x:v>F026</x:v>
      </x:c>
    </x:row>
    <x:row r="14" ht="24" customHeight="1">
      <x:c r="A14" s="9" t="str">
        <x:v>C04</x:v>
      </x:c>
      <x:c r="B14" s="9" t="str">
        <x:v>Remarketing Caçarola</x:v>
      </x:c>
      <x:c r="C14" s="9" t="str">
        <x:v>Formatos de anúncio por tipo de campanha/Usuários únicos (covisualizados).csv</x:v>
      </x:c>
      <x:c r="D14" s="9" t="str">
        <x:v>In-stream pulável</x:v>
      </x:c>
      <x:c r="E14" s="9" t="str">
        <x:v>Usuários únicos (covisualizados)</x:v>
      </x:c>
      <x:c r="F14" s="36" t="n">
        <x:v>26059</x:v>
      </x:c>
      <x:c r="G14" s="9" t="str">
        <x:v>Período/filtro não informado no ZIP</x:v>
      </x:c>
      <x:c r="H14" s="9" t="str">
        <x:v>Total: campanhas de vídeo</x:v>
      </x:c>
      <x:c r="I14" s="9" t="str">
        <x:v>F027</x:v>
      </x:c>
    </x:row>
    <x:row r="15" ht="24" customHeight="1">
      <x:c r="A15" s="9" t="str">
        <x:v>C04</x:v>
      </x:c>
      <x:c r="B15" s="9" t="str">
        <x:v>Remarketing Caçarola</x:v>
      </x:c>
      <x:c r="C15" s="9" t="str">
        <x:v>Formatos de anúncio por tipo de campanha/Usuários únicos (covisualizados).csv</x:v>
      </x:c>
      <x:c r="D15" s="9" t="str">
        <x:v>In-feed</x:v>
      </x:c>
      <x:c r="E15" s="9" t="str">
        <x:v>Usuários únicos (covisualizados)</x:v>
      </x:c>
      <x:c r="F15" s="36" t="n">
        <x:v>2587</x:v>
      </x:c>
      <x:c r="G15" s="9" t="str">
        <x:v>Período/filtro não informado no ZIP</x:v>
      </x:c>
      <x:c r="H15" s="9" t="str">
        <x:v>Total: campanhas de vídeo</x:v>
      </x:c>
      <x:c r="I15" s="9" t="str">
        <x:v>F027</x:v>
      </x:c>
    </x:row>
    <x:row r="16" ht="24" customHeight="1">
      <x:c r="A16" s="9" t="str">
        <x:v>C04</x:v>
      </x:c>
      <x:c r="B16" s="9" t="str">
        <x:v>Remarketing Caçarola</x:v>
      </x:c>
      <x:c r="C16" s="9" t="str">
        <x:v>Formatos de anúncio por tipo de campanha/Freq. méd. impr. _ usuário (covisualizadas).csv</x:v>
      </x:c>
      <x:c r="D16" s="9" t="str">
        <x:v>Shorts</x:v>
      </x:c>
      <x:c r="E16" s="9" t="str">
        <x:v>Freq. méd. impr. / usuário (covisualizadas)</x:v>
      </x:c>
      <x:c r="F16" s="36"/>
      <x:c r="G16" s="9" t="str">
        <x:v>Período/filtro não informado no ZIP</x:v>
      </x:c>
      <x:c r="H16" s="9" t="str">
        <x:v>A confirmar</x:v>
      </x:c>
      <x:c r="I16" s="9" t="str">
        <x:v>F028</x:v>
      </x:c>
    </x:row>
    <x:row r="17" ht="24" customHeight="1">
      <x:c r="A17" s="9" t="str">
        <x:v>C04</x:v>
      </x:c>
      <x:c r="B17" s="9" t="str">
        <x:v>Remarketing Caçarola</x:v>
      </x:c>
      <x:c r="C17" s="9" t="str">
        <x:v>Formatos de anúncio por tipo de campanha/Freq. méd. impr. _ usuário (covisualizadas).csv</x:v>
      </x:c>
      <x:c r="D17" s="9" t="str">
        <x:v>In-stream pulável</x:v>
      </x:c>
      <x:c r="E17" s="9" t="str">
        <x:v>Freq. méd. impr. / usuário (covisualizadas)</x:v>
      </x:c>
      <x:c r="F17" s="36" t="n">
        <x:v>1.289496910856134</x:v>
      </x:c>
      <x:c r="G17" s="9" t="str">
        <x:v>Período/filtro não informado no ZIP</x:v>
      </x:c>
      <x:c r="H17" s="9" t="str">
        <x:v>A confirmar</x:v>
      </x:c>
      <x:c r="I17" s="9" t="str">
        <x:v>F028</x:v>
      </x:c>
    </x:row>
    <x:row r="18" ht="24" customHeight="1">
      <x:c r="A18" s="9" t="str">
        <x:v>C04</x:v>
      </x:c>
      <x:c r="B18" s="9" t="str">
        <x:v>Remarketing Caçarola</x:v>
      </x:c>
      <x:c r="C18" s="9" t="str">
        <x:v>Formatos de anúncio por tipo de campanha/Freq. méd. impr. _ usuário (covisualizadas).csv</x:v>
      </x:c>
      <x:c r="D18" s="9" t="str">
        <x:v>In-feed</x:v>
      </x:c>
      <x:c r="E18" s="9" t="str">
        <x:v>Freq. méd. impr. / usuário (covisualizadas)</x:v>
      </x:c>
      <x:c r="F18" s="36" t="n">
        <x:v>1.4395052183996908</x:v>
      </x:c>
      <x:c r="G18" s="9" t="str">
        <x:v>Período/filtro não informado no ZIP</x:v>
      </x:c>
      <x:c r="H18" s="9" t="str">
        <x:v>A confirmar</x:v>
      </x:c>
      <x:c r="I18" s="9" t="str">
        <x:v>F028</x:v>
      </x:c>
    </x:row>
    <x:row r="19" ht="24" customHeight="1">
      <x:c r="A19" s="9" t="str">
        <x:v>C04</x:v>
      </x:c>
      <x:c r="B19" s="9" t="str">
        <x:v>Remarketing Caçarola</x:v>
      </x:c>
      <x:c r="C19" s="9" t="str">
        <x:v>Dispositivos/Usuários únicos (covisualizados).csv</x:v>
      </x:c>
      <x:c r="D19" s="9" t="str">
        <x:v>Tablets</x:v>
      </x:c>
      <x:c r="E19" s="9" t="str">
        <x:v>Usuários únicos (covisualizados)</x:v>
      </x:c>
      <x:c r="F19" s="36" t="n">
        <x:v>399</x:v>
      </x:c>
      <x:c r="G19" s="9" t="str">
        <x:v>Período/filtro não informado no ZIP</x:v>
      </x:c>
      <x:c r="H19" s="9" t="str">
        <x:v>A confirmar</x:v>
      </x:c>
      <x:c r="I19" s="9" t="str">
        <x:v>F029</x:v>
      </x:c>
    </x:row>
    <x:row r="20" ht="24" customHeight="1">
      <x:c r="A20" s="9" t="str">
        <x:v>C04</x:v>
      </x:c>
      <x:c r="B20" s="9" t="str">
        <x:v>Remarketing Caçarola</x:v>
      </x:c>
      <x:c r="C20" s="9" t="str">
        <x:v>Dispositivos/Usuários únicos (covisualizados).csv</x:v>
      </x:c>
      <x:c r="D20" s="9" t="str">
        <x:v>Dispositivos móveis</x:v>
      </x:c>
      <x:c r="E20" s="9" t="str">
        <x:v>Usuários únicos (covisualizados)</x:v>
      </x:c>
      <x:c r="F20" s="36" t="n">
        <x:v>7621</x:v>
      </x:c>
      <x:c r="G20" s="9" t="str">
        <x:v>Período/filtro não informado no ZIP</x:v>
      </x:c>
      <x:c r="H20" s="9" t="str">
        <x:v>A confirmar</x:v>
      </x:c>
      <x:c r="I20" s="9" t="str">
        <x:v>F029</x:v>
      </x:c>
    </x:row>
    <x:row r="21" ht="24" customHeight="1">
      <x:c r="A21" s="9" t="str">
        <x:v>C04</x:v>
      </x:c>
      <x:c r="B21" s="9" t="str">
        <x:v>Remarketing Caçarola</x:v>
      </x:c>
      <x:c r="C21" s="9" t="str">
        <x:v>Dispositivos/Usuários únicos (covisualizados).csv</x:v>
      </x:c>
      <x:c r="D21" s="9" t="str">
        <x:v>Computadores</x:v>
      </x:c>
      <x:c r="E21" s="9" t="str">
        <x:v>Usuários únicos (covisualizados)</x:v>
      </x:c>
      <x:c r="F21" s="36" t="n">
        <x:v>1263</x:v>
      </x:c>
      <x:c r="G21" s="9" t="str">
        <x:v>Período/filtro não informado no ZIP</x:v>
      </x:c>
      <x:c r="H21" s="9" t="str">
        <x:v>A confirmar</x:v>
      </x:c>
      <x:c r="I21" s="9" t="str">
        <x:v>F029</x:v>
      </x:c>
    </x:row>
    <x:row r="22" ht="24" customHeight="1">
      <x:c r="A22" s="9" t="str">
        <x:v>C04</x:v>
      </x:c>
      <x:c r="B22" s="9" t="str">
        <x:v>Remarketing Caçarola</x:v>
      </x:c>
      <x:c r="C22" s="9" t="str">
        <x:v>Dispositivos/Usuários únicos (covisualizados).csv</x:v>
      </x:c>
      <x:c r="D22" s="9" t="str">
        <x:v>Telas de TV</x:v>
      </x:c>
      <x:c r="E22" s="9" t="str">
        <x:v>Usuários únicos (covisualizados)</x:v>
      </x:c>
      <x:c r="F22" s="36" t="n">
        <x:v>19296</x:v>
      </x:c>
      <x:c r="G22" s="9" t="str">
        <x:v>Período/filtro não informado no ZIP</x:v>
      </x:c>
      <x:c r="H22" s="9" t="str">
        <x:v>A confirmar</x:v>
      </x:c>
      <x:c r="I22" s="9" t="str">
        <x:v>F029</x:v>
      </x:c>
    </x:row>
    <x:row r="23" ht="24" customHeight="1">
      <x:c r="A23" s="9" t="str">
        <x:v>C04</x:v>
      </x:c>
      <x:c r="B23" s="9" t="str">
        <x:v>Remarketing Caçarola</x:v>
      </x:c>
      <x:c r="C23" s="9" t="str">
        <x:v>Dispositivos/Freq. méd. impr. _ usuário (covisualizadas).csv</x:v>
      </x:c>
      <x:c r="D23" s="9" t="str">
        <x:v>Tablets</x:v>
      </x:c>
      <x:c r="E23" s="9" t="str">
        <x:v>Freq. méd. impr. / usuário (covisualizadas)</x:v>
      </x:c>
      <x:c r="F23" s="36" t="n">
        <x:v>1.5764411027568923</x:v>
      </x:c>
      <x:c r="G23" s="9" t="str">
        <x:v>Período/filtro não informado no ZIP</x:v>
      </x:c>
      <x:c r="H23" s="9" t="str">
        <x:v>A confirmar</x:v>
      </x:c>
      <x:c r="I23" s="9" t="str">
        <x:v>F030</x:v>
      </x:c>
    </x:row>
    <x:row r="24" ht="24" customHeight="1">
      <x:c r="A24" s="9" t="str">
        <x:v>C04</x:v>
      </x:c>
      <x:c r="B24" s="9" t="str">
        <x:v>Remarketing Caçarola</x:v>
      </x:c>
      <x:c r="C24" s="9" t="str">
        <x:v>Dispositivos/Freq. méd. impr. _ usuário (covisualizadas).csv</x:v>
      </x:c>
      <x:c r="D24" s="9" t="str">
        <x:v>Dispositivos móveis</x:v>
      </x:c>
      <x:c r="E24" s="9" t="str">
        <x:v>Freq. méd. impr. / usuário (covisualizadas)</x:v>
      </x:c>
      <x:c r="F24" s="36" t="n">
        <x:v>1.711980055110878</x:v>
      </x:c>
      <x:c r="G24" s="9" t="str">
        <x:v>Período/filtro não informado no ZIP</x:v>
      </x:c>
      <x:c r="H24" s="9" t="str">
        <x:v>A confirmar</x:v>
      </x:c>
      <x:c r="I24" s="9" t="str">
        <x:v>F030</x:v>
      </x:c>
    </x:row>
    <x:row r="25" ht="24" customHeight="1">
      <x:c r="A25" s="9" t="str">
        <x:v>C04</x:v>
      </x:c>
      <x:c r="B25" s="9" t="str">
        <x:v>Remarketing Caçarola</x:v>
      </x:c>
      <x:c r="C25" s="9" t="str">
        <x:v>Dispositivos/Freq. méd. impr. _ usuário (covisualizadas).csv</x:v>
      </x:c>
      <x:c r="D25" s="9" t="str">
        <x:v>Computadores</x:v>
      </x:c>
      <x:c r="E25" s="9" t="str">
        <x:v>Freq. méd. impr. / usuário (covisualizadas)</x:v>
      </x:c>
      <x:c r="F25" s="36" t="n">
        <x:v>1.6571654790182107</x:v>
      </x:c>
      <x:c r="G25" s="9" t="str">
        <x:v>Período/filtro não informado no ZIP</x:v>
      </x:c>
      <x:c r="H25" s="9" t="str">
        <x:v>A confirmar</x:v>
      </x:c>
      <x:c r="I25" s="9" t="str">
        <x:v>F030</x:v>
      </x:c>
    </x:row>
    <x:row r="26" ht="24" customHeight="1">
      <x:c r="A26" s="9" t="str">
        <x:v>C04</x:v>
      </x:c>
      <x:c r="B26" s="9" t="str">
        <x:v>Remarketing Caçarola</x:v>
      </x:c>
      <x:c r="C26" s="9" t="str">
        <x:v>Dispositivos/Freq. méd. impr. _ usuário (covisualizadas).csv</x:v>
      </x:c>
      <x:c r="D26" s="9" t="str">
        <x:v>Telas de TV</x:v>
      </x:c>
      <x:c r="E26" s="9" t="str">
        <x:v>Freq. méd. impr. / usuário (covisualizadas)</x:v>
      </x:c>
      <x:c r="F26" s="36" t="n">
        <x:v>1.1194029850746268</x:v>
      </x:c>
      <x:c r="G26" s="9" t="str">
        <x:v>Período/filtro não informado no ZIP</x:v>
      </x:c>
      <x:c r="H26" s="9" t="str">
        <x:v>A confirmar</x:v>
      </x:c>
      <x:c r="I26" s="9" t="str">
        <x:v>F030</x:v>
      </x:c>
    </x:row>
    <x:row r="27" ht="24" customHeight="1">
      <x:c r="A27" s="9" t="str">
        <x:v>C04</x:v>
      </x:c>
      <x:c r="B27" s="9" t="str">
        <x:v>Remarketing Caçarola</x:v>
      </x:c>
      <x:c r="C27" s="9" t="str">
        <x:v>Local.csv</x:v>
      </x:c>
      <x:c r="D27" s="9" t="str">
        <x:v>Brazil</x:v>
      </x:c>
      <x:c r="E27" s="9" t="str">
        <x:v>Usuários únicos (covisualizados)</x:v>
      </x:c>
      <x:c r="F27" s="36" t="n">
        <x:v>28532</x:v>
      </x:c>
      <x:c r="G27" s="9" t="str">
        <x:v>Período/filtro não informado no ZIP</x:v>
      </x:c>
      <x:c r="H27" s="9" t="str">
        <x:v>A confirmar</x:v>
      </x:c>
      <x:c r="I27" s="9" t="str">
        <x:v>F031</x:v>
      </x:c>
    </x:row>
    <x:row r="28" ht="24" customHeight="1">
      <x:c r="A28" s="9" t="str">
        <x:v>C04</x:v>
      </x:c>
      <x:c r="B28" s="9" t="str">
        <x:v>Remarketing Caçarola</x:v>
      </x:c>
      <x:c r="C28" s="9" t="str">
        <x:v>Local.csv</x:v>
      </x:c>
      <x:c r="D28" s="9" t="str">
        <x:v>Brazil</x:v>
      </x:c>
      <x:c r="E28" s="9" t="str">
        <x:v>Freq. méd. impr. / usuário (covisualizadas)</x:v>
      </x:c>
      <x:c r="F28" s="36" t="n">
        <x:v>1.3097224169353707</x:v>
      </x:c>
      <x:c r="G28" s="9" t="str">
        <x:v>Período/filtro não informado no ZIP</x:v>
      </x:c>
      <x:c r="H28" s="9" t="str">
        <x:v>A confirmar</x:v>
      </x:c>
      <x:c r="I28" s="9" t="str">
        <x:v>F031</x:v>
      </x:c>
    </x:row>
    <x:row r="29" ht="24" customHeight="1">
      <x:c r="A29" s="9" t="str">
        <x:v>C05</x:v>
      </x:c>
      <x:c r="B29" s="9" t="str">
        <x:v>[TRON] - YouTube 01 -  VT 5 Seg - {Reg SC} - 07/10</x:v>
      </x:c>
      <x:c r="C29" s="9" t="str">
        <x:v>Freq. méd. impr. _ usuário (covisualizadas).csv</x:v>
      </x:c>
      <x:c r="D29" s="9" t="str">
        <x:v>8/31/2026</x:v>
      </x:c>
      <x:c r="E29" s="9" t="str">
        <x:v>Freq. méd. impr. / usuário (covisualizadas)</x:v>
      </x:c>
      <x:c r="F29" s="36"/>
      <x:c r="G29" s="9" t="str">
        <x:v>Período/filtro não informado no ZIP</x:v>
      </x:c>
      <x:c r="H29" s="9" t="str">
        <x:v>A confirmar</x:v>
      </x:c>
      <x:c r="I29" s="9" t="str">
        <x:v>F041</x:v>
      </x:c>
    </x:row>
    <x:row r="30" ht="24" customHeight="1">
      <x:c r="A30" s="9" t="str">
        <x:v>C05</x:v>
      </x:c>
      <x:c r="B30" s="9" t="str">
        <x:v>[TRON] - YouTube 01 -  VT 5 Seg - {Reg SC} - 07/10</x:v>
      </x:c>
      <x:c r="C30" s="9" t="str">
        <x:v>Freq. méd. impr. _ usuário (covisualizadas).csv</x:v>
      </x:c>
      <x:c r="D30" s="9" t="str">
        <x:v>9/7/2026</x:v>
      </x:c>
      <x:c r="E30" s="9" t="str">
        <x:v>Freq. méd. impr. / usuário (covisualizadas)</x:v>
      </x:c>
      <x:c r="F30" s="36"/>
      <x:c r="G30" s="9" t="str">
        <x:v>Período/filtro não informado no ZIP</x:v>
      </x:c>
      <x:c r="H30" s="9" t="str">
        <x:v>A confirmar</x:v>
      </x:c>
      <x:c r="I30" s="9" t="str">
        <x:v>F041</x:v>
      </x:c>
    </x:row>
    <x:row r="31" ht="24" customHeight="1">
      <x:c r="A31" s="9" t="str">
        <x:v>C05</x:v>
      </x:c>
      <x:c r="B31" s="9" t="str">
        <x:v>[TRON] - YouTube 01 -  VT 5 Seg - {Reg SC} - 07/10</x:v>
      </x:c>
      <x:c r="C31" s="9" t="str">
        <x:v>Freq. méd. impr. _ usuário (covisualizadas).csv</x:v>
      </x:c>
      <x:c r="D31" s="9" t="str">
        <x:v>9/14/2026</x:v>
      </x:c>
      <x:c r="E31" s="9" t="str">
        <x:v>Freq. méd. impr. / usuário (covisualizadas)</x:v>
      </x:c>
      <x:c r="F31" s="36"/>
      <x:c r="G31" s="9" t="str">
        <x:v>Período/filtro não informado no ZIP</x:v>
      </x:c>
      <x:c r="H31" s="9" t="str">
        <x:v>A confirmar</x:v>
      </x:c>
      <x:c r="I31" s="9" t="str">
        <x:v>F041</x:v>
      </x:c>
    </x:row>
    <x:row r="32" ht="24" customHeight="1">
      <x:c r="A32" s="9" t="str">
        <x:v>C05</x:v>
      </x:c>
      <x:c r="B32" s="9" t="str">
        <x:v>[TRON] - YouTube 01 -  VT 5 Seg - {Reg SC} - 07/10</x:v>
      </x:c>
      <x:c r="C32" s="9" t="str">
        <x:v>Freq. méd. impr. _ usuário (covisualizadas).csv</x:v>
      </x:c>
      <x:c r="D32" s="9" t="str">
        <x:v>9/21/2026</x:v>
      </x:c>
      <x:c r="E32" s="9" t="str">
        <x:v>Freq. méd. impr. / usuário (covisualizadas)</x:v>
      </x:c>
      <x:c r="F32" s="36"/>
      <x:c r="G32" s="9" t="str">
        <x:v>Período/filtro não informado no ZIP</x:v>
      </x:c>
      <x:c r="H32" s="9" t="str">
        <x:v>A confirmar</x:v>
      </x:c>
      <x:c r="I32" s="9" t="str">
        <x:v>F041</x:v>
      </x:c>
    </x:row>
    <x:row r="33" ht="24" customHeight="1">
      <x:c r="A33" s="9" t="str">
        <x:v>C05</x:v>
      </x:c>
      <x:c r="B33" s="9" t="str">
        <x:v>[TRON] - YouTube 01 -  VT 5 Seg - {Reg SC} - 07/10</x:v>
      </x:c>
      <x:c r="C33" s="9" t="str">
        <x:v>Freq. méd. impr. _ usuário (covisualizadas).csv</x:v>
      </x:c>
      <x:c r="D33" s="9" t="str">
        <x:v>9/28/2026</x:v>
      </x:c>
      <x:c r="E33" s="9" t="str">
        <x:v>Freq. méd. impr. / usuário (covisualizadas)</x:v>
      </x:c>
      <x:c r="F33" s="36"/>
      <x:c r="G33" s="9" t="str">
        <x:v>Período/filtro não informado no ZIP</x:v>
      </x:c>
      <x:c r="H33" s="9" t="str">
        <x:v>A confirmar</x:v>
      </x:c>
      <x:c r="I33" s="9" t="str">
        <x:v>F041</x:v>
      </x:c>
    </x:row>
    <x:row r="34" ht="24" customHeight="1">
      <x:c r="A34" s="9" t="str">
        <x:v>C05</x:v>
      </x:c>
      <x:c r="B34" s="9" t="str">
        <x:v>[TRON] - YouTube 01 -  VT 5 Seg - {Reg SC} - 07/10</x:v>
      </x:c>
      <x:c r="C34" s="9" t="str">
        <x:v>Freq. méd. impr. _ usuário (covisualizadas).csv</x:v>
      </x:c>
      <x:c r="D34" s="9" t="str">
        <x:v>10/5/2026</x:v>
      </x:c>
      <x:c r="E34" s="9" t="str">
        <x:v>Freq. méd. impr. / usuário (covisualizadas)</x:v>
      </x:c>
      <x:c r="F34" s="36" t="n">
        <x:v>1.8271604938271604</x:v>
      </x:c>
      <x:c r="G34" s="9" t="str">
        <x:v>Período/filtro não informado no ZIP</x:v>
      </x:c>
      <x:c r="H34" s="9" t="str">
        <x:v>A confirmar</x:v>
      </x:c>
      <x:c r="I34" s="9" t="str">
        <x:v>F041</x:v>
      </x:c>
    </x:row>
    <x:row r="35" ht="24" customHeight="1">
      <x:c r="A35" s="9" t="str">
        <x:v>C05</x:v>
      </x:c>
      <x:c r="B35" s="9" t="str">
        <x:v>[TRON] - YouTube 01 -  VT 5 Seg - {Reg SC} - 07/10</x:v>
      </x:c>
      <x:c r="C35" s="9" t="str">
        <x:v>Freq. méd. impr. _ usuário (covisualizadas).csv</x:v>
      </x:c>
      <x:c r="D35" s="9" t="str">
        <x:v>10/12/2026</x:v>
      </x:c>
      <x:c r="E35" s="9" t="str">
        <x:v>Freq. méd. impr. / usuário (covisualizadas)</x:v>
      </x:c>
      <x:c r="F35" s="36" t="n">
        <x:v>1.64</x:v>
      </x:c>
      <x:c r="G35" s="9" t="str">
        <x:v>Período/filtro não informado no ZIP</x:v>
      </x:c>
      <x:c r="H35" s="9" t="str">
        <x:v>A confirmar</x:v>
      </x:c>
      <x:c r="I35" s="9" t="str">
        <x:v>F041</x:v>
      </x:c>
    </x:row>
    <x:row r="36" ht="24" customHeight="1">
      <x:c r="A36" s="9" t="str">
        <x:v>C05</x:v>
      </x:c>
      <x:c r="B36" s="9" t="str">
        <x:v>[TRON] - YouTube 01 -  VT 5 Seg - {Reg SC} - 07/10</x:v>
      </x:c>
      <x:c r="C36" s="9" t="str">
        <x:v>Formatos de anúncio por tipo de campanha/Usuários únicos (covisualizados).csv</x:v>
      </x:c>
      <x:c r="D36" s="9" t="str">
        <x:v>In-feed</x:v>
      </x:c>
      <x:c r="E36" s="9" t="str">
        <x:v>Usuários únicos (covisualizados)</x:v>
      </x:c>
      <x:c r="F36" s="36" t="n">
        <x:v>154</x:v>
      </x:c>
      <x:c r="G36" s="9" t="str">
        <x:v>Período/filtro não informado no ZIP</x:v>
      </x:c>
      <x:c r="H36" s="9" t="str">
        <x:v>Total: campanhas de vídeo</x:v>
      </x:c>
      <x:c r="I36" s="9" t="str">
        <x:v>F042</x:v>
      </x:c>
    </x:row>
    <x:row r="37" ht="24" customHeight="1">
      <x:c r="A37" s="9" t="str">
        <x:v>C05</x:v>
      </x:c>
      <x:c r="B37" s="9" t="str">
        <x:v>[TRON] - YouTube 01 -  VT 5 Seg - {Reg SC} - 07/10</x:v>
      </x:c>
      <x:c r="C37" s="9" t="str">
        <x:v>Formatos de anúncio por tipo de campanha/Usuários únicos (covisualizados).csv</x:v>
      </x:c>
      <x:c r="D37" s="9" t="str">
        <x:v>Bumper</x:v>
      </x:c>
      <x:c r="E37" s="9" t="str">
        <x:v>Usuários únicos (covisualizados)</x:v>
      </x:c>
      <x:c r="F37" s="36" t="n">
        <x:v>194</x:v>
      </x:c>
      <x:c r="G37" s="9" t="str">
        <x:v>Período/filtro não informado no ZIP</x:v>
      </x:c>
      <x:c r="H37" s="9" t="str">
        <x:v>Total: campanhas de vídeo</x:v>
      </x:c>
      <x:c r="I37" s="9" t="str">
        <x:v>F042</x:v>
      </x:c>
    </x:row>
    <x:row r="38" ht="24" customHeight="1">
      <x:c r="A38" s="9" t="str">
        <x:v>C05</x:v>
      </x:c>
      <x:c r="B38" s="9" t="str">
        <x:v>[TRON] - YouTube 01 -  VT 5 Seg - {Reg SC} - 07/10</x:v>
      </x:c>
      <x:c r="C38" s="9" t="str">
        <x:v>Formatos de anúncio por tipo de campanha/Freq. méd. impr. _ usuário (covisualizadas).csv</x:v>
      </x:c>
      <x:c r="D38" s="9" t="str">
        <x:v>Shorts</x:v>
      </x:c>
      <x:c r="E38" s="9" t="str">
        <x:v>Freq. méd. impr. / usuário (covisualizadas)</x:v>
      </x:c>
      <x:c r="F38" s="36"/>
      <x:c r="G38" s="9" t="str">
        <x:v>Período/filtro não informado no ZIP</x:v>
      </x:c>
      <x:c r="H38" s="9" t="str">
        <x:v>A confirmar</x:v>
      </x:c>
      <x:c r="I38" s="9" t="str">
        <x:v>F043</x:v>
      </x:c>
    </x:row>
    <x:row r="39" ht="24" customHeight="1">
      <x:c r="A39" s="9" t="str">
        <x:v>C05</x:v>
      </x:c>
      <x:c r="B39" s="9" t="str">
        <x:v>[TRON] - YouTube 01 -  VT 5 Seg - {Reg SC} - 07/10</x:v>
      </x:c>
      <x:c r="C39" s="9" t="str">
        <x:v>Formatos de anúncio por tipo de campanha/Freq. méd. impr. _ usuário (covisualizadas).csv</x:v>
      </x:c>
      <x:c r="D39" s="9" t="str">
        <x:v>In-feed</x:v>
      </x:c>
      <x:c r="E39" s="9" t="str">
        <x:v>Freq. méd. impr. / usuário (covisualizadas)</x:v>
      </x:c>
      <x:c r="F39" s="36" t="n">
        <x:v>2.051948051948052</x:v>
      </x:c>
      <x:c r="G39" s="9" t="str">
        <x:v>Período/filtro não informado no ZIP</x:v>
      </x:c>
      <x:c r="H39" s="9" t="str">
        <x:v>A confirmar</x:v>
      </x:c>
      <x:c r="I39" s="9" t="str">
        <x:v>F043</x:v>
      </x:c>
    </x:row>
    <x:row r="40" ht="24" customHeight="1">
      <x:c r="A40" s="9" t="str">
        <x:v>C05</x:v>
      </x:c>
      <x:c r="B40" s="9" t="str">
        <x:v>[TRON] - YouTube 01 -  VT 5 Seg - {Reg SC} - 07/10</x:v>
      </x:c>
      <x:c r="C40" s="9" t="str">
        <x:v>Formatos de anúncio por tipo de campanha/Freq. méd. impr. _ usuário (covisualizadas).csv</x:v>
      </x:c>
      <x:c r="D40" s="9" t="str">
        <x:v>Bumper</x:v>
      </x:c>
      <x:c r="E40" s="9" t="str">
        <x:v>Freq. méd. impr. / usuário (covisualizadas)</x:v>
      </x:c>
      <x:c r="F40" s="36" t="n">
        <x:v>1.3453608247422681</x:v>
      </x:c>
      <x:c r="G40" s="9" t="str">
        <x:v>Período/filtro não informado no ZIP</x:v>
      </x:c>
      <x:c r="H40" s="9" t="str">
        <x:v>A confirmar</x:v>
      </x:c>
      <x:c r="I40" s="9" t="str">
        <x:v>F043</x:v>
      </x:c>
    </x:row>
    <x:row r="41" ht="24" customHeight="1">
      <x:c r="A41" s="9" t="str">
        <x:v>C05</x:v>
      </x:c>
      <x:c r="B41" s="9" t="str">
        <x:v>[TRON] - YouTube 01 -  VT 5 Seg - {Reg SC} - 07/10</x:v>
      </x:c>
      <x:c r="C41" s="9" t="str">
        <x:v>Dispositivos/Usuários únicos (covisualizados).csv</x:v>
      </x:c>
      <x:c r="D41" s="9" t="str">
        <x:v>Tablets</x:v>
      </x:c>
      <x:c r="E41" s="9" t="str">
        <x:v>Usuários únicos (covisualizados)</x:v>
      </x:c>
      <x:c r="F41" s="36" t="n">
        <x:v>0</x:v>
      </x:c>
      <x:c r="G41" s="9" t="str">
        <x:v>Período/filtro não informado no ZIP</x:v>
      </x:c>
      <x:c r="H41" s="9" t="str">
        <x:v>A confirmar</x:v>
      </x:c>
      <x:c r="I41" s="9" t="str">
        <x:v>F044</x:v>
      </x:c>
    </x:row>
    <x:row r="42" ht="24" customHeight="1">
      <x:c r="A42" s="9" t="str">
        <x:v>C05</x:v>
      </x:c>
      <x:c r="B42" s="9" t="str">
        <x:v>[TRON] - YouTube 01 -  VT 5 Seg - {Reg SC} - 07/10</x:v>
      </x:c>
      <x:c r="C42" s="9" t="str">
        <x:v>Dispositivos/Usuários únicos (covisualizados).csv</x:v>
      </x:c>
      <x:c r="D42" s="9" t="str">
        <x:v>Dispositivos móveis</x:v>
      </x:c>
      <x:c r="E42" s="9" t="str">
        <x:v>Usuários únicos (covisualizados)</x:v>
      </x:c>
      <x:c r="F42" s="36" t="n">
        <x:v>152</x:v>
      </x:c>
      <x:c r="G42" s="9" t="str">
        <x:v>Período/filtro não informado no ZIP</x:v>
      </x:c>
      <x:c r="H42" s="9" t="str">
        <x:v>A confirmar</x:v>
      </x:c>
      <x:c r="I42" s="9" t="str">
        <x:v>F044</x:v>
      </x:c>
    </x:row>
    <x:row r="43" ht="24" customHeight="1">
      <x:c r="A43" s="9" t="str">
        <x:v>C05</x:v>
      </x:c>
      <x:c r="B43" s="9" t="str">
        <x:v>[TRON] - YouTube 01 -  VT 5 Seg - {Reg SC} - 07/10</x:v>
      </x:c>
      <x:c r="C43" s="9" t="str">
        <x:v>Dispositivos/Usuários únicos (covisualizados).csv</x:v>
      </x:c>
      <x:c r="D43" s="9" t="str">
        <x:v>Computadores</x:v>
      </x:c>
      <x:c r="E43" s="9" t="str">
        <x:v>Usuários únicos (covisualizados)</x:v>
      </x:c>
      <x:c r="F43" s="36" t="n">
        <x:v>0</x:v>
      </x:c>
      <x:c r="G43" s="9" t="str">
        <x:v>Período/filtro não informado no ZIP</x:v>
      </x:c>
      <x:c r="H43" s="9" t="str">
        <x:v>A confirmar</x:v>
      </x:c>
      <x:c r="I43" s="9" t="str">
        <x:v>F044</x:v>
      </x:c>
    </x:row>
    <x:row r="44" ht="24" customHeight="1">
      <x:c r="A44" s="9" t="str">
        <x:v>C05</x:v>
      </x:c>
      <x:c r="B44" s="9" t="str">
        <x:v>[TRON] - YouTube 01 -  VT 5 Seg - {Reg SC} - 07/10</x:v>
      </x:c>
      <x:c r="C44" s="9" t="str">
        <x:v>Dispositivos/Usuários únicos (covisualizados).csv</x:v>
      </x:c>
      <x:c r="D44" s="9" t="str">
        <x:v>Telas de TV</x:v>
      </x:c>
      <x:c r="E44" s="9" t="str">
        <x:v>Usuários únicos (covisualizados)</x:v>
      </x:c>
      <x:c r="F44" s="36" t="n">
        <x:v>171</x:v>
      </x:c>
      <x:c r="G44" s="9" t="str">
        <x:v>Período/filtro não informado no ZIP</x:v>
      </x:c>
      <x:c r="H44" s="9" t="str">
        <x:v>A confirmar</x:v>
      </x:c>
      <x:c r="I44" s="9" t="str">
        <x:v>F044</x:v>
      </x:c>
    </x:row>
    <x:row r="45" ht="24" customHeight="1">
      <x:c r="A45" s="9" t="str">
        <x:v>C05</x:v>
      </x:c>
      <x:c r="B45" s="9" t="str">
        <x:v>[TRON] - YouTube 01 -  VT 5 Seg - {Reg SC} - 07/10</x:v>
      </x:c>
      <x:c r="C45" s="9" t="str">
        <x:v>Dispositivos/Freq. méd. impr. _ usuário (covisualizadas).csv</x:v>
      </x:c>
      <x:c r="D45" s="9" t="str">
        <x:v>Tablets</x:v>
      </x:c>
      <x:c r="E45" s="9" t="str">
        <x:v>Freq. méd. impr. / usuário (covisualizadas)</x:v>
      </x:c>
      <x:c r="F45" s="36"/>
      <x:c r="G45" s="9" t="str">
        <x:v>Período/filtro não informado no ZIP</x:v>
      </x:c>
      <x:c r="H45" s="9" t="str">
        <x:v>A confirmar</x:v>
      </x:c>
      <x:c r="I45" s="9" t="str">
        <x:v>F045</x:v>
      </x:c>
    </x:row>
    <x:row r="46" ht="24" customHeight="1">
      <x:c r="A46" s="9" t="str">
        <x:v>C05</x:v>
      </x:c>
      <x:c r="B46" s="9" t="str">
        <x:v>[TRON] - YouTube 01 -  VT 5 Seg - {Reg SC} - 07/10</x:v>
      </x:c>
      <x:c r="C46" s="9" t="str">
        <x:v>Dispositivos/Freq. méd. impr. _ usuário (covisualizadas).csv</x:v>
      </x:c>
      <x:c r="D46" s="9" t="str">
        <x:v>Dispositivos móveis</x:v>
      </x:c>
      <x:c r="E46" s="9" t="str">
        <x:v>Freq. méd. impr. / usuário (covisualizadas)</x:v>
      </x:c>
      <x:c r="F46" s="36" t="n">
        <x:v>2.6315789473684212</x:v>
      </x:c>
      <x:c r="G46" s="9" t="str">
        <x:v>Período/filtro não informado no ZIP</x:v>
      </x:c>
      <x:c r="H46" s="9" t="str">
        <x:v>A confirmar</x:v>
      </x:c>
      <x:c r="I46" s="9" t="str">
        <x:v>F045</x:v>
      </x:c>
    </x:row>
    <x:row r="47" ht="24" customHeight="1">
      <x:c r="A47" s="9" t="str">
        <x:v>C05</x:v>
      </x:c>
      <x:c r="B47" s="9" t="str">
        <x:v>[TRON] - YouTube 01 -  VT 5 Seg - {Reg SC} - 07/10</x:v>
      </x:c>
      <x:c r="C47" s="9" t="str">
        <x:v>Dispositivos/Freq. méd. impr. _ usuário (covisualizadas).csv</x:v>
      </x:c>
      <x:c r="D47" s="9" t="str">
        <x:v>Computadores</x:v>
      </x:c>
      <x:c r="E47" s="9" t="str">
        <x:v>Freq. méd. impr. / usuário (covisualizadas)</x:v>
      </x:c>
      <x:c r="F47" s="36"/>
      <x:c r="G47" s="9" t="str">
        <x:v>Período/filtro não informado no ZIP</x:v>
      </x:c>
      <x:c r="H47" s="9" t="str">
        <x:v>A confirmar</x:v>
      </x:c>
      <x:c r="I47" s="9" t="str">
        <x:v>F045</x:v>
      </x:c>
    </x:row>
    <x:row r="48" ht="24" customHeight="1">
      <x:c r="A48" s="9" t="str">
        <x:v>C05</x:v>
      </x:c>
      <x:c r="B48" s="9" t="str">
        <x:v>[TRON] - YouTube 01 -  VT 5 Seg - {Reg SC} - 07/10</x:v>
      </x:c>
      <x:c r="C48" s="9" t="str">
        <x:v>Dispositivos/Freq. méd. impr. _ usuário (covisualizadas).csv</x:v>
      </x:c>
      <x:c r="D48" s="9" t="str">
        <x:v>Telas de TV</x:v>
      </x:c>
      <x:c r="E48" s="9" t="str">
        <x:v>Freq. méd. impr. / usuário (covisualizadas)</x:v>
      </x:c>
      <x:c r="F48" s="36" t="n">
        <x:v>1.105263157894737</x:v>
      </x:c>
      <x:c r="G48" s="9" t="str">
        <x:v>Período/filtro não informado no ZIP</x:v>
      </x:c>
      <x:c r="H48" s="9" t="str">
        <x:v>A confirmar</x:v>
      </x:c>
      <x:c r="I48" s="9" t="str">
        <x:v>F045</x:v>
      </x:c>
    </x:row>
    <x:row r="49" ht="24" customHeight="1">
      <x:c r="A49" s="9" t="str">
        <x:v>C05</x:v>
      </x:c>
      <x:c r="B49" s="9" t="str">
        <x:v>[TRON] - YouTube 01 -  VT 5 Seg - {Reg SC} - 07/10</x:v>
      </x:c>
      <x:c r="C49" s="9" t="str">
        <x:v>Local.csv</x:v>
      </x:c>
      <x:c r="D49" s="9" t="str">
        <x:v>Brazil</x:v>
      </x:c>
      <x:c r="E49" s="9" t="str">
        <x:v>Usuários únicos (covisualizados)</x:v>
      </x:c>
      <x:c r="F49" s="36" t="n">
        <x:v>372</x:v>
      </x:c>
      <x:c r="G49" s="9" t="str">
        <x:v>Período/filtro não informado no ZIP</x:v>
      </x:c>
      <x:c r="H49" s="9" t="str">
        <x:v>A confirmar</x:v>
      </x:c>
      <x:c r="I49" s="9" t="str">
        <x:v>F046</x:v>
      </x:c>
    </x:row>
    <x:row r="50" ht="24" customHeight="1">
      <x:c r="A50" s="9" t="str">
        <x:v>C05</x:v>
      </x:c>
      <x:c r="B50" s="9" t="str">
        <x:v>[TRON] - YouTube 01 -  VT 5 Seg - {Reg SC} - 07/10</x:v>
      </x:c>
      <x:c r="C50" s="9" t="str">
        <x:v>Local.csv</x:v>
      </x:c>
      <x:c r="D50" s="9" t="str">
        <x:v>Brazil</x:v>
      </x:c>
      <x:c r="E50" s="9" t="str">
        <x:v>Freq. méd. impr. / usuário (covisualizadas)</x:v>
      </x:c>
      <x:c r="F50" s="36" t="n">
        <x:v>1.7446236559139785</x:v>
      </x:c>
      <x:c r="G50" s="9" t="str">
        <x:v>Período/filtro não informado no ZIP</x:v>
      </x:c>
      <x:c r="H50" s="9" t="str">
        <x:v>A confirmar</x:v>
      </x:c>
      <x:c r="I50" s="9" t="str">
        <x:v>F046</x:v>
      </x:c>
    </x:row>
    <x:row r="51" ht="24" customHeight="1">
      <x:c r="A51" s="9" t="str">
        <x:v>C06</x:v>
      </x:c>
      <x:c r="B51" s="9" t="str">
        <x:v>[TRON] - YouTube 02 -  VT 5 Seg - {Reg SC} - 07/10</x:v>
      </x:c>
      <x:c r="C51" s="9" t="str">
        <x:v>Freq. méd. impr. _ usuário (covisualizadas).csv</x:v>
      </x:c>
      <x:c r="D51" s="9" t="str">
        <x:v>8/31/2026</x:v>
      </x:c>
      <x:c r="E51" s="9" t="str">
        <x:v>Freq. méd. impr. / usuário (covisualizadas)</x:v>
      </x:c>
      <x:c r="F51" s="36"/>
      <x:c r="G51" s="9" t="str">
        <x:v>Período/filtro não informado no ZIP</x:v>
      </x:c>
      <x:c r="H51" s="9" t="str">
        <x:v>A confirmar</x:v>
      </x:c>
      <x:c r="I51" s="9" t="str">
        <x:v>F056</x:v>
      </x:c>
    </x:row>
    <x:row r="52" ht="24" customHeight="1">
      <x:c r="A52" s="9" t="str">
        <x:v>C06</x:v>
      </x:c>
      <x:c r="B52" s="9" t="str">
        <x:v>[TRON] - YouTube 02 -  VT 5 Seg - {Reg SC} - 07/10</x:v>
      </x:c>
      <x:c r="C52" s="9" t="str">
        <x:v>Freq. méd. impr. _ usuário (covisualizadas).csv</x:v>
      </x:c>
      <x:c r="D52" s="9" t="str">
        <x:v>9/7/2026</x:v>
      </x:c>
      <x:c r="E52" s="9" t="str">
        <x:v>Freq. méd. impr. / usuário (covisualizadas)</x:v>
      </x:c>
      <x:c r="F52" s="36"/>
      <x:c r="G52" s="9" t="str">
        <x:v>Período/filtro não informado no ZIP</x:v>
      </x:c>
      <x:c r="H52" s="9" t="str">
        <x:v>A confirmar</x:v>
      </x:c>
      <x:c r="I52" s="9" t="str">
        <x:v>F056</x:v>
      </x:c>
    </x:row>
    <x:row r="53" ht="24" customHeight="1">
      <x:c r="A53" s="9" t="str">
        <x:v>C06</x:v>
      </x:c>
      <x:c r="B53" s="9" t="str">
        <x:v>[TRON] - YouTube 02 -  VT 5 Seg - {Reg SC} - 07/10</x:v>
      </x:c>
      <x:c r="C53" s="9" t="str">
        <x:v>Freq. méd. impr. _ usuário (covisualizadas).csv</x:v>
      </x:c>
      <x:c r="D53" s="9" t="str">
        <x:v>9/14/2026</x:v>
      </x:c>
      <x:c r="E53" s="9" t="str">
        <x:v>Freq. méd. impr. / usuário (covisualizadas)</x:v>
      </x:c>
      <x:c r="F53" s="36"/>
      <x:c r="G53" s="9" t="str">
        <x:v>Período/filtro não informado no ZIP</x:v>
      </x:c>
      <x:c r="H53" s="9" t="str">
        <x:v>A confirmar</x:v>
      </x:c>
      <x:c r="I53" s="9" t="str">
        <x:v>F056</x:v>
      </x:c>
    </x:row>
    <x:row r="54" ht="24" customHeight="1">
      <x:c r="A54" s="9" t="str">
        <x:v>C06</x:v>
      </x:c>
      <x:c r="B54" s="9" t="str">
        <x:v>[TRON] - YouTube 02 -  VT 5 Seg - {Reg SC} - 07/10</x:v>
      </x:c>
      <x:c r="C54" s="9" t="str">
        <x:v>Freq. méd. impr. _ usuário (covisualizadas).csv</x:v>
      </x:c>
      <x:c r="D54" s="9" t="str">
        <x:v>9/21/2026</x:v>
      </x:c>
      <x:c r="E54" s="9" t="str">
        <x:v>Freq. méd. impr. / usuário (covisualizadas)</x:v>
      </x:c>
      <x:c r="F54" s="36"/>
      <x:c r="G54" s="9" t="str">
        <x:v>Período/filtro não informado no ZIP</x:v>
      </x:c>
      <x:c r="H54" s="9" t="str">
        <x:v>A confirmar</x:v>
      </x:c>
      <x:c r="I54" s="9" t="str">
        <x:v>F056</x:v>
      </x:c>
    </x:row>
    <x:row r="55" ht="24" customHeight="1">
      <x:c r="A55" s="9" t="str">
        <x:v>C06</x:v>
      </x:c>
      <x:c r="B55" s="9" t="str">
        <x:v>[TRON] - YouTube 02 -  VT 5 Seg - {Reg SC} - 07/10</x:v>
      </x:c>
      <x:c r="C55" s="9" t="str">
        <x:v>Freq. méd. impr. _ usuário (covisualizadas).csv</x:v>
      </x:c>
      <x:c r="D55" s="9" t="str">
        <x:v>9/28/2026</x:v>
      </x:c>
      <x:c r="E55" s="9" t="str">
        <x:v>Freq. méd. impr. / usuário (covisualizadas)</x:v>
      </x:c>
      <x:c r="F55" s="36"/>
      <x:c r="G55" s="9" t="str">
        <x:v>Período/filtro não informado no ZIP</x:v>
      </x:c>
      <x:c r="H55" s="9" t="str">
        <x:v>A confirmar</x:v>
      </x:c>
      <x:c r="I55" s="9" t="str">
        <x:v>F056</x:v>
      </x:c>
    </x:row>
    <x:row r="56" ht="24" customHeight="1">
      <x:c r="A56" s="9" t="str">
        <x:v>C06</x:v>
      </x:c>
      <x:c r="B56" s="9" t="str">
        <x:v>[TRON] - YouTube 02 -  VT 5 Seg - {Reg SC} - 07/10</x:v>
      </x:c>
      <x:c r="C56" s="9" t="str">
        <x:v>Freq. méd. impr. _ usuário (covisualizadas).csv</x:v>
      </x:c>
      <x:c r="D56" s="9" t="str">
        <x:v>10/5/2026</x:v>
      </x:c>
      <x:c r="E56" s="9" t="str">
        <x:v>Freq. méd. impr. / usuário (covisualizadas)</x:v>
      </x:c>
      <x:c r="F56" s="36" t="n">
        <x:v>1.3558611710135493</x:v>
      </x:c>
      <x:c r="G56" s="9" t="str">
        <x:v>Período/filtro não informado no ZIP</x:v>
      </x:c>
      <x:c r="H56" s="9" t="str">
        <x:v>A confirmar</x:v>
      </x:c>
      <x:c r="I56" s="9" t="str">
        <x:v>F056</x:v>
      </x:c>
    </x:row>
    <x:row r="57" ht="24" customHeight="1">
      <x:c r="A57" s="9" t="str">
        <x:v>C06</x:v>
      </x:c>
      <x:c r="B57" s="9" t="str">
        <x:v>[TRON] - YouTube 02 -  VT 5 Seg - {Reg SC} - 07/10</x:v>
      </x:c>
      <x:c r="C57" s="9" t="str">
        <x:v>Freq. méd. impr. _ usuário (covisualizadas).csv</x:v>
      </x:c>
      <x:c r="D57" s="9" t="str">
        <x:v>10/12/2026</x:v>
      </x:c>
      <x:c r="E57" s="9" t="str">
        <x:v>Freq. méd. impr. / usuário (covisualizadas)</x:v>
      </x:c>
      <x:c r="F57" s="36" t="n">
        <x:v>1.228297967057427</x:v>
      </x:c>
      <x:c r="G57" s="9" t="str">
        <x:v>Período/filtro não informado no ZIP</x:v>
      </x:c>
      <x:c r="H57" s="9" t="str">
        <x:v>A confirmar</x:v>
      </x:c>
      <x:c r="I57" s="9" t="str">
        <x:v>F056</x:v>
      </x:c>
    </x:row>
    <x:row r="58" ht="24" customHeight="1">
      <x:c r="A58" s="9" t="str">
        <x:v>C06</x:v>
      </x:c>
      <x:c r="B58" s="9" t="str">
        <x:v>[TRON] - YouTube 02 -  VT 5 Seg - {Reg SC} - 07/10</x:v>
      </x:c>
      <x:c r="C58" s="9" t="str">
        <x:v>Formatos de anúncio por tipo de campanha/Usuários únicos (covisualizados).csv</x:v>
      </x:c>
      <x:c r="D58" s="9" t="str">
        <x:v>Shorts</x:v>
      </x:c>
      <x:c r="E58" s="9" t="str">
        <x:v>Usuários únicos (covisualizados)</x:v>
      </x:c>
      <x:c r="F58" s="36" t="n">
        <x:v>1922</x:v>
      </x:c>
      <x:c r="G58" s="9" t="str">
        <x:v>Período/filtro não informado no ZIP</x:v>
      </x:c>
      <x:c r="H58" s="9" t="str">
        <x:v>Total: campanhas de vídeo</x:v>
      </x:c>
      <x:c r="I58" s="9" t="str">
        <x:v>F057</x:v>
      </x:c>
    </x:row>
    <x:row r="59" ht="24" customHeight="1">
      <x:c r="A59" s="9" t="str">
        <x:v>C06</x:v>
      </x:c>
      <x:c r="B59" s="9" t="str">
        <x:v>[TRON] - YouTube 02 -  VT 5 Seg - {Reg SC} - 07/10</x:v>
      </x:c>
      <x:c r="C59" s="9" t="str">
        <x:v>Formatos de anúncio por tipo de campanha/Usuários únicos (covisualizados).csv</x:v>
      </x:c>
      <x:c r="D59" s="9" t="str">
        <x:v>In-feed</x:v>
      </x:c>
      <x:c r="E59" s="9" t="str">
        <x:v>Usuários únicos (covisualizados)</x:v>
      </x:c>
      <x:c r="F59" s="36" t="n">
        <x:v>13099</x:v>
      </x:c>
      <x:c r="G59" s="9" t="str">
        <x:v>Período/filtro não informado no ZIP</x:v>
      </x:c>
      <x:c r="H59" s="9" t="str">
        <x:v>Total: campanhas de vídeo</x:v>
      </x:c>
      <x:c r="I59" s="9" t="str">
        <x:v>F057</x:v>
      </x:c>
    </x:row>
    <x:row r="60" ht="24" customHeight="1">
      <x:c r="A60" s="9" t="str">
        <x:v>C06</x:v>
      </x:c>
      <x:c r="B60" s="9" t="str">
        <x:v>[TRON] - YouTube 02 -  VT 5 Seg - {Reg SC} - 07/10</x:v>
      </x:c>
      <x:c r="C60" s="9" t="str">
        <x:v>Formatos de anúncio por tipo de campanha/Usuários únicos (covisualizados).csv</x:v>
      </x:c>
      <x:c r="D60" s="9" t="str">
        <x:v>Bumper</x:v>
      </x:c>
      <x:c r="E60" s="9" t="str">
        <x:v>Usuários únicos (covisualizados)</x:v>
      </x:c>
      <x:c r="F60" s="36" t="n">
        <x:v>22637</x:v>
      </x:c>
      <x:c r="G60" s="9" t="str">
        <x:v>Período/filtro não informado no ZIP</x:v>
      </x:c>
      <x:c r="H60" s="9" t="str">
        <x:v>Total: campanhas de vídeo</x:v>
      </x:c>
      <x:c r="I60" s="9" t="str">
        <x:v>F057</x:v>
      </x:c>
    </x:row>
    <x:row r="61" ht="24" customHeight="1">
      <x:c r="A61" s="9" t="str">
        <x:v>C06</x:v>
      </x:c>
      <x:c r="B61" s="9" t="str">
        <x:v>[TRON] - YouTube 02 -  VT 5 Seg - {Reg SC} - 07/10</x:v>
      </x:c>
      <x:c r="C61" s="9" t="str">
        <x:v>Formatos de anúncio por tipo de campanha/Freq. méd. impr. _ usuário (covisualizadas).csv</x:v>
      </x:c>
      <x:c r="D61" s="9" t="str">
        <x:v>Shorts</x:v>
      </x:c>
      <x:c r="E61" s="9" t="str">
        <x:v>Freq. méd. impr. / usuário (covisualizadas)</x:v>
      </x:c>
      <x:c r="F61" s="36" t="n">
        <x:v>2.1160249739854318</x:v>
      </x:c>
      <x:c r="G61" s="9" t="str">
        <x:v>Período/filtro não informado no ZIP</x:v>
      </x:c>
      <x:c r="H61" s="9" t="str">
        <x:v>A confirmar</x:v>
      </x:c>
      <x:c r="I61" s="9" t="str">
        <x:v>F058</x:v>
      </x:c>
    </x:row>
    <x:row r="62" ht="24" customHeight="1">
      <x:c r="A62" s="9" t="str">
        <x:v>C06</x:v>
      </x:c>
      <x:c r="B62" s="9" t="str">
        <x:v>[TRON] - YouTube 02 -  VT 5 Seg - {Reg SC} - 07/10</x:v>
      </x:c>
      <x:c r="C62" s="9" t="str">
        <x:v>Formatos de anúncio por tipo de campanha/Freq. méd. impr. _ usuário (covisualizadas).csv</x:v>
      </x:c>
      <x:c r="D62" s="9" t="str">
        <x:v>In-feed</x:v>
      </x:c>
      <x:c r="E62" s="9" t="str">
        <x:v>Freq. méd. impr. / usuário (covisualizadas)</x:v>
      </x:c>
      <x:c r="F62" s="36" t="n">
        <x:v>1.4588899916024125</x:v>
      </x:c>
      <x:c r="G62" s="9" t="str">
        <x:v>Período/filtro não informado no ZIP</x:v>
      </x:c>
      <x:c r="H62" s="9" t="str">
        <x:v>A confirmar</x:v>
      </x:c>
      <x:c r="I62" s="9" t="str">
        <x:v>F058</x:v>
      </x:c>
    </x:row>
    <x:row r="63" ht="24" customHeight="1">
      <x:c r="A63" s="9" t="str">
        <x:v>C06</x:v>
      </x:c>
      <x:c r="B63" s="9" t="str">
        <x:v>[TRON] - YouTube 02 -  VT 5 Seg - {Reg SC} - 07/10</x:v>
      </x:c>
      <x:c r="C63" s="9" t="str">
        <x:v>Formatos de anúncio por tipo de campanha/Freq. méd. impr. _ usuário (covisualizadas).csv</x:v>
      </x:c>
      <x:c r="D63" s="9" t="str">
        <x:v>Bumper</x:v>
      </x:c>
      <x:c r="E63" s="9" t="str">
        <x:v>Freq. méd. impr. / usuário (covisualizadas)</x:v>
      </x:c>
      <x:c r="F63" s="36" t="n">
        <x:v>1.1795290895436674</x:v>
      </x:c>
      <x:c r="G63" s="9" t="str">
        <x:v>Período/filtro não informado no ZIP</x:v>
      </x:c>
      <x:c r="H63" s="9" t="str">
        <x:v>A confirmar</x:v>
      </x:c>
      <x:c r="I63" s="9" t="str">
        <x:v>F058</x:v>
      </x:c>
    </x:row>
    <x:row r="64" ht="24" customHeight="1">
      <x:c r="A64" s="9" t="str">
        <x:v>C06</x:v>
      </x:c>
      <x:c r="B64" s="9" t="str">
        <x:v>[TRON] - YouTube 02 -  VT 5 Seg - {Reg SC} - 07/10</x:v>
      </x:c>
      <x:c r="C64" s="9" t="str">
        <x:v>Dispositivos/Usuários únicos (covisualizados).csv</x:v>
      </x:c>
      <x:c r="D64" s="9" t="str">
        <x:v>Tablets</x:v>
      </x:c>
      <x:c r="E64" s="9" t="str">
        <x:v>Usuários únicos (covisualizados)</x:v>
      </x:c>
      <x:c r="F64" s="36" t="n">
        <x:v>842</x:v>
      </x:c>
      <x:c r="G64" s="9" t="str">
        <x:v>Período/filtro não informado no ZIP</x:v>
      </x:c>
      <x:c r="H64" s="9" t="str">
        <x:v>A confirmar</x:v>
      </x:c>
      <x:c r="I64" s="9" t="str">
        <x:v>F059</x:v>
      </x:c>
    </x:row>
    <x:row r="65" ht="24" customHeight="1">
      <x:c r="A65" s="9" t="str">
        <x:v>C06</x:v>
      </x:c>
      <x:c r="B65" s="9" t="str">
        <x:v>[TRON] - YouTube 02 -  VT 5 Seg - {Reg SC} - 07/10</x:v>
      </x:c>
      <x:c r="C65" s="9" t="str">
        <x:v>Dispositivos/Usuários únicos (covisualizados).csv</x:v>
      </x:c>
      <x:c r="D65" s="9" t="str">
        <x:v>Dispositivos móveis</x:v>
      </x:c>
      <x:c r="E65" s="9" t="str">
        <x:v>Usuários únicos (covisualizados)</x:v>
      </x:c>
      <x:c r="F65" s="36" t="n">
        <x:v>11959</x:v>
      </x:c>
      <x:c r="G65" s="9" t="str">
        <x:v>Período/filtro não informado no ZIP</x:v>
      </x:c>
      <x:c r="H65" s="9" t="str">
        <x:v>A confirmar</x:v>
      </x:c>
      <x:c r="I65" s="9" t="str">
        <x:v>F059</x:v>
      </x:c>
    </x:row>
    <x:row r="66" ht="24" customHeight="1">
      <x:c r="A66" s="9" t="str">
        <x:v>C06</x:v>
      </x:c>
      <x:c r="B66" s="9" t="str">
        <x:v>[TRON] - YouTube 02 -  VT 5 Seg - {Reg SC} - 07/10</x:v>
      </x:c>
      <x:c r="C66" s="9" t="str">
        <x:v>Dispositivos/Usuários únicos (covisualizados).csv</x:v>
      </x:c>
      <x:c r="D66" s="9" t="str">
        <x:v>Computadores</x:v>
      </x:c>
      <x:c r="E66" s="9" t="str">
        <x:v>Usuários únicos (covisualizados)</x:v>
      </x:c>
      <x:c r="F66" s="36" t="n">
        <x:v>1788</x:v>
      </x:c>
      <x:c r="G66" s="9" t="str">
        <x:v>Período/filtro não informado no ZIP</x:v>
      </x:c>
      <x:c r="H66" s="9" t="str">
        <x:v>A confirmar</x:v>
      </x:c>
      <x:c r="I66" s="9" t="str">
        <x:v>F059</x:v>
      </x:c>
    </x:row>
    <x:row r="67" ht="24" customHeight="1">
      <x:c r="A67" s="9" t="str">
        <x:v>C06</x:v>
      </x:c>
      <x:c r="B67" s="9" t="str">
        <x:v>[TRON] - YouTube 02 -  VT 5 Seg - {Reg SC} - 07/10</x:v>
      </x:c>
      <x:c r="C67" s="9" t="str">
        <x:v>Dispositivos/Usuários únicos (covisualizados).csv</x:v>
      </x:c>
      <x:c r="D67" s="9" t="str">
        <x:v>Telas de TV</x:v>
      </x:c>
      <x:c r="E67" s="9" t="str">
        <x:v>Usuários únicos (covisualizados)</x:v>
      </x:c>
      <x:c r="F67" s="36" t="n">
        <x:v>22965</x:v>
      </x:c>
      <x:c r="G67" s="9" t="str">
        <x:v>Período/filtro não informado no ZIP</x:v>
      </x:c>
      <x:c r="H67" s="9" t="str">
        <x:v>A confirmar</x:v>
      </x:c>
      <x:c r="I67" s="9" t="str">
        <x:v>F059</x:v>
      </x:c>
    </x:row>
    <x:row r="68" ht="24" customHeight="1">
      <x:c r="A68" s="9" t="str">
        <x:v>C06</x:v>
      </x:c>
      <x:c r="B68" s="9" t="str">
        <x:v>[TRON] - YouTube 02 -  VT 5 Seg - {Reg SC} - 07/10</x:v>
      </x:c>
      <x:c r="C68" s="9" t="str">
        <x:v>Dispositivos/Freq. méd. impr. _ usuário (covisualizadas).csv</x:v>
      </x:c>
      <x:c r="D68" s="9" t="str">
        <x:v>Tablets</x:v>
      </x:c>
      <x:c r="E68" s="9" t="str">
        <x:v>Freq. méd. impr. / usuário (covisualizadas)</x:v>
      </x:c>
      <x:c r="F68" s="36" t="n">
        <x:v>1.3467933491686461</x:v>
      </x:c>
      <x:c r="G68" s="9" t="str">
        <x:v>Período/filtro não informado no ZIP</x:v>
      </x:c>
      <x:c r="H68" s="9" t="str">
        <x:v>A confirmar</x:v>
      </x:c>
      <x:c r="I68" s="9" t="str">
        <x:v>F060</x:v>
      </x:c>
    </x:row>
    <x:row r="69" ht="24" customHeight="1">
      <x:c r="A69" s="9" t="str">
        <x:v>C06</x:v>
      </x:c>
      <x:c r="B69" s="9" t="str">
        <x:v>[TRON] - YouTube 02 -  VT 5 Seg - {Reg SC} - 07/10</x:v>
      </x:c>
      <x:c r="C69" s="9" t="str">
        <x:v>Dispositivos/Freq. méd. impr. _ usuário (covisualizadas).csv</x:v>
      </x:c>
      <x:c r="D69" s="9" t="str">
        <x:v>Dispositivos móveis</x:v>
      </x:c>
      <x:c r="E69" s="9" t="str">
        <x:v>Freq. méd. impr. / usuário (covisualizadas)</x:v>
      </x:c>
      <x:c r="F69" s="36" t="n">
        <x:v>1.7628435385514996</x:v>
      </x:c>
      <x:c r="G69" s="9" t="str">
        <x:v>Período/filtro não informado no ZIP</x:v>
      </x:c>
      <x:c r="H69" s="9" t="str">
        <x:v>A confirmar</x:v>
      </x:c>
      <x:c r="I69" s="9" t="str">
        <x:v>F060</x:v>
      </x:c>
    </x:row>
    <x:row r="70" ht="24" customHeight="1">
      <x:c r="A70" s="9" t="str">
        <x:v>C06</x:v>
      </x:c>
      <x:c r="B70" s="9" t="str">
        <x:v>[TRON] - YouTube 02 -  VT 5 Seg - {Reg SC} - 07/10</x:v>
      </x:c>
      <x:c r="C70" s="9" t="str">
        <x:v>Dispositivos/Freq. méd. impr. _ usuário (covisualizadas).csv</x:v>
      </x:c>
      <x:c r="D70" s="9" t="str">
        <x:v>Computadores</x:v>
      </x:c>
      <x:c r="E70" s="9" t="str">
        <x:v>Freq. méd. impr. / usuário (covisualizadas)</x:v>
      </x:c>
      <x:c r="F70" s="36" t="n">
        <x:v>1.3434343434343434</x:v>
      </x:c>
      <x:c r="G70" s="9" t="str">
        <x:v>Período/filtro não informado no ZIP</x:v>
      </x:c>
      <x:c r="H70" s="9" t="str">
        <x:v>A confirmar</x:v>
      </x:c>
      <x:c r="I70" s="9" t="str">
        <x:v>F060</x:v>
      </x:c>
    </x:row>
    <x:row r="71" ht="24" customHeight="1">
      <x:c r="A71" s="9" t="str">
        <x:v>C06</x:v>
      </x:c>
      <x:c r="B71" s="9" t="str">
        <x:v>[TRON] - YouTube 02 -  VT 5 Seg - {Reg SC} - 07/10</x:v>
      </x:c>
      <x:c r="C71" s="9" t="str">
        <x:v>Dispositivos/Freq. méd. impr. _ usuário (covisualizadas).csv</x:v>
      </x:c>
      <x:c r="D71" s="9" t="str">
        <x:v>Telas de TV</x:v>
      </x:c>
      <x:c r="E71" s="9" t="str">
        <x:v>Freq. méd. impr. / usuário (covisualizadas)</x:v>
      </x:c>
      <x:c r="F71" s="36" t="n">
        <x:v>1.0992728697696694</x:v>
      </x:c>
      <x:c r="G71" s="9" t="str">
        <x:v>Período/filtro não informado no ZIP</x:v>
      </x:c>
      <x:c r="H71" s="9" t="str">
        <x:v>A confirmar</x:v>
      </x:c>
      <x:c r="I71" s="9" t="str">
        <x:v>F060</x:v>
      </x:c>
    </x:row>
    <x:row r="72" ht="24" customHeight="1">
      <x:c r="A72" s="9" t="str">
        <x:v>C06</x:v>
      </x:c>
      <x:c r="B72" s="9" t="str">
        <x:v>[TRON] - YouTube 02 -  VT 5 Seg - {Reg SC} - 07/10</x:v>
      </x:c>
      <x:c r="C72" s="9" t="str">
        <x:v>Local.csv</x:v>
      </x:c>
      <x:c r="D72" s="9" t="str">
        <x:v>Brazil</x:v>
      </x:c>
      <x:c r="E72" s="9" t="str">
        <x:v>Usuários únicos (covisualizados)</x:v>
      </x:c>
      <x:c r="F72" s="36" t="n">
        <x:v>37469</x:v>
      </x:c>
      <x:c r="G72" s="9" t="str">
        <x:v>Período/filtro não informado no ZIP</x:v>
      </x:c>
      <x:c r="H72" s="9" t="str">
        <x:v>A confirmar</x:v>
      </x:c>
      <x:c r="I72" s="9" t="str">
        <x:v>F061</x:v>
      </x:c>
    </x:row>
    <x:row r="73" ht="24" customHeight="1">
      <x:c r="A73" s="9" t="str">
        <x:v>C06</x:v>
      </x:c>
      <x:c r="B73" s="9" t="str">
        <x:v>[TRON] - YouTube 02 -  VT 5 Seg - {Reg SC} - 07/10</x:v>
      </x:c>
      <x:c r="C73" s="9" t="str">
        <x:v>Local.csv</x:v>
      </x:c>
      <x:c r="D73" s="9" t="str">
        <x:v>Brazil</x:v>
      </x:c>
      <x:c r="E73" s="9" t="str">
        <x:v>Freq. méd. impr. / usuário (covisualizadas)</x:v>
      </x:c>
      <x:c r="F73" s="36" t="n">
        <x:v>1.331153753769783</x:v>
      </x:c>
      <x:c r="G73" s="9" t="str">
        <x:v>Período/filtro não informado no ZIP</x:v>
      </x:c>
      <x:c r="H73" s="9" t="str">
        <x:v>A confirmar</x:v>
      </x:c>
      <x:c r="I73" s="9" t="str">
        <x:v>F061</x:v>
      </x:c>
    </x:row>
    <x:row r="74" ht="24" customHeight="1">
      <x:c r="A74" s="9" t="str">
        <x:v>C07</x:v>
      </x:c>
      <x:c r="B74" s="9" t="str">
        <x:v>[TRON] - YouTube 03 -  VT 5 Seg - {Reg SC} - 07/10</x:v>
      </x:c>
      <x:c r="C74" s="9" t="str">
        <x:v>Freq. méd. impr. _ usuário (covisualizadas).csv</x:v>
      </x:c>
      <x:c r="D74" s="9" t="str">
        <x:v>8/31/2026</x:v>
      </x:c>
      <x:c r="E74" s="9" t="str">
        <x:v>Freq. méd. impr. / usuário (covisualizadas)</x:v>
      </x:c>
      <x:c r="F74" s="36"/>
      <x:c r="G74" s="9" t="str">
        <x:v>Período/filtro não informado no ZIP</x:v>
      </x:c>
      <x:c r="H74" s="9" t="str">
        <x:v>A confirmar</x:v>
      </x:c>
      <x:c r="I74" s="9" t="str">
        <x:v>F071</x:v>
      </x:c>
    </x:row>
    <x:row r="75" ht="24" customHeight="1">
      <x:c r="A75" s="9" t="str">
        <x:v>C07</x:v>
      </x:c>
      <x:c r="B75" s="9" t="str">
        <x:v>[TRON] - YouTube 03 -  VT 5 Seg - {Reg SC} - 07/10</x:v>
      </x:c>
      <x:c r="C75" s="9" t="str">
        <x:v>Freq. méd. impr. _ usuário (covisualizadas).csv</x:v>
      </x:c>
      <x:c r="D75" s="9" t="str">
        <x:v>9/7/2026</x:v>
      </x:c>
      <x:c r="E75" s="9" t="str">
        <x:v>Freq. méd. impr. / usuário (covisualizadas)</x:v>
      </x:c>
      <x:c r="F75" s="36"/>
      <x:c r="G75" s="9" t="str">
        <x:v>Período/filtro não informado no ZIP</x:v>
      </x:c>
      <x:c r="H75" s="9" t="str">
        <x:v>A confirmar</x:v>
      </x:c>
      <x:c r="I75" s="9" t="str">
        <x:v>F071</x:v>
      </x:c>
    </x:row>
    <x:row r="76" ht="24" customHeight="1">
      <x:c r="A76" s="9" t="str">
        <x:v>C07</x:v>
      </x:c>
      <x:c r="B76" s="9" t="str">
        <x:v>[TRON] - YouTube 03 -  VT 5 Seg - {Reg SC} - 07/10</x:v>
      </x:c>
      <x:c r="C76" s="9" t="str">
        <x:v>Freq. méd. impr. _ usuário (covisualizadas).csv</x:v>
      </x:c>
      <x:c r="D76" s="9" t="str">
        <x:v>9/14/2026</x:v>
      </x:c>
      <x:c r="E76" s="9" t="str">
        <x:v>Freq. méd. impr. / usuário (covisualizadas)</x:v>
      </x:c>
      <x:c r="F76" s="36"/>
      <x:c r="G76" s="9" t="str">
        <x:v>Período/filtro não informado no ZIP</x:v>
      </x:c>
      <x:c r="H76" s="9" t="str">
        <x:v>A confirmar</x:v>
      </x:c>
      <x:c r="I76" s="9" t="str">
        <x:v>F071</x:v>
      </x:c>
    </x:row>
    <x:row r="77" ht="24" customHeight="1">
      <x:c r="A77" s="9" t="str">
        <x:v>C07</x:v>
      </x:c>
      <x:c r="B77" s="9" t="str">
        <x:v>[TRON] - YouTube 03 -  VT 5 Seg - {Reg SC} - 07/10</x:v>
      </x:c>
      <x:c r="C77" s="9" t="str">
        <x:v>Freq. méd. impr. _ usuário (covisualizadas).csv</x:v>
      </x:c>
      <x:c r="D77" s="9" t="str">
        <x:v>9/21/2026</x:v>
      </x:c>
      <x:c r="E77" s="9" t="str">
        <x:v>Freq. méd. impr. / usuário (covisualizadas)</x:v>
      </x:c>
      <x:c r="F77" s="36"/>
      <x:c r="G77" s="9" t="str">
        <x:v>Período/filtro não informado no ZIP</x:v>
      </x:c>
      <x:c r="H77" s="9" t="str">
        <x:v>A confirmar</x:v>
      </x:c>
      <x:c r="I77" s="9" t="str">
        <x:v>F071</x:v>
      </x:c>
    </x:row>
    <x:row r="78" ht="24" customHeight="1">
      <x:c r="A78" s="9" t="str">
        <x:v>C07</x:v>
      </x:c>
      <x:c r="B78" s="9" t="str">
        <x:v>[TRON] - YouTube 03 -  VT 5 Seg - {Reg SC} - 07/10</x:v>
      </x:c>
      <x:c r="C78" s="9" t="str">
        <x:v>Freq. méd. impr. _ usuário (covisualizadas).csv</x:v>
      </x:c>
      <x:c r="D78" s="9" t="str">
        <x:v>9/28/2026</x:v>
      </x:c>
      <x:c r="E78" s="9" t="str">
        <x:v>Freq. méd. impr. / usuário (covisualizadas)</x:v>
      </x:c>
      <x:c r="F78" s="36"/>
      <x:c r="G78" s="9" t="str">
        <x:v>Período/filtro não informado no ZIP</x:v>
      </x:c>
      <x:c r="H78" s="9" t="str">
        <x:v>A confirmar</x:v>
      </x:c>
      <x:c r="I78" s="9" t="str">
        <x:v>F071</x:v>
      </x:c>
    </x:row>
    <x:row r="79" ht="24" customHeight="1">
      <x:c r="A79" s="9" t="str">
        <x:v>C07</x:v>
      </x:c>
      <x:c r="B79" s="9" t="str">
        <x:v>[TRON] - YouTube 03 -  VT 5 Seg - {Reg SC} - 07/10</x:v>
      </x:c>
      <x:c r="C79" s="9" t="str">
        <x:v>Freq. méd. impr. _ usuário (covisualizadas).csv</x:v>
      </x:c>
      <x:c r="D79" s="9" t="str">
        <x:v>10/5/2026</x:v>
      </x:c>
      <x:c r="E79" s="9" t="str">
        <x:v>Freq. méd. impr. / usuário (covisualizadas)</x:v>
      </x:c>
      <x:c r="F79" s="36" t="n">
        <x:v>1.5862001275948374</x:v>
      </x:c>
      <x:c r="G79" s="9" t="str">
        <x:v>Período/filtro não informado no ZIP</x:v>
      </x:c>
      <x:c r="H79" s="9" t="str">
        <x:v>A confirmar</x:v>
      </x:c>
      <x:c r="I79" s="9" t="str">
        <x:v>F071</x:v>
      </x:c>
    </x:row>
    <x:row r="80" ht="24" customHeight="1">
      <x:c r="A80" s="9" t="str">
        <x:v>C07</x:v>
      </x:c>
      <x:c r="B80" s="9" t="str">
        <x:v>[TRON] - YouTube 03 -  VT 5 Seg - {Reg SC} - 07/10</x:v>
      </x:c>
      <x:c r="C80" s="9" t="str">
        <x:v>Freq. méd. impr. _ usuário (covisualizadas).csv</x:v>
      </x:c>
      <x:c r="D80" s="9" t="str">
        <x:v>10/12/2026</x:v>
      </x:c>
      <x:c r="E80" s="9" t="str">
        <x:v>Freq. méd. impr. / usuário (covisualizadas)</x:v>
      </x:c>
      <x:c r="F80" s="36" t="n">
        <x:v>1.3503401360544218</x:v>
      </x:c>
      <x:c r="G80" s="9" t="str">
        <x:v>Período/filtro não informado no ZIP</x:v>
      </x:c>
      <x:c r="H80" s="9" t="str">
        <x:v>A confirmar</x:v>
      </x:c>
      <x:c r="I80" s="9" t="str">
        <x:v>F071</x:v>
      </x:c>
    </x:row>
    <x:row r="81" ht="24" customHeight="1">
      <x:c r="A81" s="9" t="str">
        <x:v>C07</x:v>
      </x:c>
      <x:c r="B81" s="9" t="str">
        <x:v>[TRON] - YouTube 03 -  VT 5 Seg - {Reg SC} - 07/10</x:v>
      </x:c>
      <x:c r="C81" s="9" t="str">
        <x:v>Formatos de anúncio por tipo de campanha/Usuários únicos (covisualizados).csv</x:v>
      </x:c>
      <x:c r="D81" s="9" t="str">
        <x:v>Shorts</x:v>
      </x:c>
      <x:c r="E81" s="9" t="str">
        <x:v>Usuários únicos (covisualizados)</x:v>
      </x:c>
      <x:c r="F81" s="36" t="n">
        <x:v>1422</x:v>
      </x:c>
      <x:c r="G81" s="9" t="str">
        <x:v>Período/filtro não informado no ZIP</x:v>
      </x:c>
      <x:c r="H81" s="9" t="str">
        <x:v>Total: campanhas de vídeo</x:v>
      </x:c>
      <x:c r="I81" s="9" t="str">
        <x:v>F072</x:v>
      </x:c>
    </x:row>
    <x:row r="82" ht="24" customHeight="1">
      <x:c r="A82" s="9" t="str">
        <x:v>C07</x:v>
      </x:c>
      <x:c r="B82" s="9" t="str">
        <x:v>[TRON] - YouTube 03 -  VT 5 Seg - {Reg SC} - 07/10</x:v>
      </x:c>
      <x:c r="C82" s="9" t="str">
        <x:v>Formatos de anúncio por tipo de campanha/Usuários únicos (covisualizados).csv</x:v>
      </x:c>
      <x:c r="D82" s="9" t="str">
        <x:v>In-feed</x:v>
      </x:c>
      <x:c r="E82" s="9" t="str">
        <x:v>Usuários únicos (covisualizados)</x:v>
      </x:c>
      <x:c r="F82" s="36" t="n">
        <x:v>10688</x:v>
      </x:c>
      <x:c r="G82" s="9" t="str">
        <x:v>Período/filtro não informado no ZIP</x:v>
      </x:c>
      <x:c r="H82" s="9" t="str">
        <x:v>Total: campanhas de vídeo</x:v>
      </x:c>
      <x:c r="I82" s="9" t="str">
        <x:v>F072</x:v>
      </x:c>
    </x:row>
    <x:row r="83" ht="24" customHeight="1">
      <x:c r="A83" s="9" t="str">
        <x:v>C07</x:v>
      </x:c>
      <x:c r="B83" s="9" t="str">
        <x:v>[TRON] - YouTube 03 -  VT 5 Seg - {Reg SC} - 07/10</x:v>
      </x:c>
      <x:c r="C83" s="9" t="str">
        <x:v>Formatos de anúncio por tipo de campanha/Usuários únicos (covisualizados).csv</x:v>
      </x:c>
      <x:c r="D83" s="9" t="str">
        <x:v>Bumper</x:v>
      </x:c>
      <x:c r="E83" s="9" t="str">
        <x:v>Usuários únicos (covisualizados)</x:v>
      </x:c>
      <x:c r="F83" s="36" t="n">
        <x:v>19331</x:v>
      </x:c>
      <x:c r="G83" s="9" t="str">
        <x:v>Período/filtro não informado no ZIP</x:v>
      </x:c>
      <x:c r="H83" s="9" t="str">
        <x:v>Total: campanhas de vídeo</x:v>
      </x:c>
      <x:c r="I83" s="9" t="str">
        <x:v>F072</x:v>
      </x:c>
    </x:row>
    <x:row r="84" ht="24" customHeight="1">
      <x:c r="A84" s="9" t="str">
        <x:v>C07</x:v>
      </x:c>
      <x:c r="B84" s="9" t="str">
        <x:v>[TRON] - YouTube 03 -  VT 5 Seg - {Reg SC} - 07/10</x:v>
      </x:c>
      <x:c r="C84" s="9" t="str">
        <x:v>Formatos de anúncio por tipo de campanha/Freq. méd. impr. _ usuário (covisualizadas).csv</x:v>
      </x:c>
      <x:c r="D84" s="9" t="str">
        <x:v>Shorts</x:v>
      </x:c>
      <x:c r="E84" s="9" t="str">
        <x:v>Freq. méd. impr. / usuário (covisualizadas)</x:v>
      </x:c>
      <x:c r="F84" s="36" t="n">
        <x:v>2.4655414908579467</x:v>
      </x:c>
      <x:c r="G84" s="9" t="str">
        <x:v>Período/filtro não informado no ZIP</x:v>
      </x:c>
      <x:c r="H84" s="9" t="str">
        <x:v>A confirmar</x:v>
      </x:c>
      <x:c r="I84" s="9" t="str">
        <x:v>F073</x:v>
      </x:c>
    </x:row>
    <x:row r="85" ht="24" customHeight="1">
      <x:c r="A85" s="9" t="str">
        <x:v>C07</x:v>
      </x:c>
      <x:c r="B85" s="9" t="str">
        <x:v>[TRON] - YouTube 03 -  VT 5 Seg - {Reg SC} - 07/10</x:v>
      </x:c>
      <x:c r="C85" s="9" t="str">
        <x:v>Formatos de anúncio por tipo de campanha/Freq. méd. impr. _ usuário (covisualizadas).csv</x:v>
      </x:c>
      <x:c r="D85" s="9" t="str">
        <x:v>In-feed</x:v>
      </x:c>
      <x:c r="E85" s="9" t="str">
        <x:v>Freq. méd. impr. / usuário (covisualizadas)</x:v>
      </x:c>
      <x:c r="F85" s="36" t="n">
        <x:v>1.690284537626357</x:v>
      </x:c>
      <x:c r="G85" s="9" t="str">
        <x:v>Período/filtro não informado no ZIP</x:v>
      </x:c>
      <x:c r="H85" s="9" t="str">
        <x:v>A confirmar</x:v>
      </x:c>
      <x:c r="I85" s="9" t="str">
        <x:v>F073</x:v>
      </x:c>
    </x:row>
    <x:row r="86" ht="24" customHeight="1">
      <x:c r="A86" s="9" t="str">
        <x:v>C07</x:v>
      </x:c>
      <x:c r="B86" s="9" t="str">
        <x:v>[TRON] - YouTube 03 -  VT 5 Seg - {Reg SC} - 07/10</x:v>
      </x:c>
      <x:c r="C86" s="9" t="str">
        <x:v>Formatos de anúncio por tipo de campanha/Freq. méd. impr. _ usuário (covisualizadas).csv</x:v>
      </x:c>
      <x:c r="D86" s="9" t="str">
        <x:v>Bumper</x:v>
      </x:c>
      <x:c r="E86" s="9" t="str">
        <x:v>Freq. méd. impr. / usuário (covisualizadas)</x:v>
      </x:c>
      <x:c r="F86" s="36" t="n">
        <x:v>1.3577673167451245</x:v>
      </x:c>
      <x:c r="G86" s="9" t="str">
        <x:v>Período/filtro não informado no ZIP</x:v>
      </x:c>
      <x:c r="H86" s="9" t="str">
        <x:v>A confirmar</x:v>
      </x:c>
      <x:c r="I86" s="9" t="str">
        <x:v>F073</x:v>
      </x:c>
    </x:row>
    <x:row r="87" ht="24" customHeight="1">
      <x:c r="A87" s="9" t="str">
        <x:v>C07</x:v>
      </x:c>
      <x:c r="B87" s="9" t="str">
        <x:v>[TRON] - YouTube 03 -  VT 5 Seg - {Reg SC} - 07/10</x:v>
      </x:c>
      <x:c r="C87" s="9" t="str">
        <x:v>Dispositivos/Usuários únicos (covisualizados).csv</x:v>
      </x:c>
      <x:c r="D87" s="9" t="str">
        <x:v>Tablets</x:v>
      </x:c>
      <x:c r="E87" s="9" t="str">
        <x:v>Usuários únicos (covisualizados)</x:v>
      </x:c>
      <x:c r="F87" s="36" t="n">
        <x:v>772</x:v>
      </x:c>
      <x:c r="G87" s="9" t="str">
        <x:v>Período/filtro não informado no ZIP</x:v>
      </x:c>
      <x:c r="H87" s="9" t="str">
        <x:v>A confirmar</x:v>
      </x:c>
      <x:c r="I87" s="9" t="str">
        <x:v>F074</x:v>
      </x:c>
    </x:row>
    <x:row r="88" ht="24" customHeight="1">
      <x:c r="A88" s="9" t="str">
        <x:v>C07</x:v>
      </x:c>
      <x:c r="B88" s="9" t="str">
        <x:v>[TRON] - YouTube 03 -  VT 5 Seg - {Reg SC} - 07/10</x:v>
      </x:c>
      <x:c r="C88" s="9" t="str">
        <x:v>Dispositivos/Usuários únicos (covisualizados).csv</x:v>
      </x:c>
      <x:c r="D88" s="9" t="str">
        <x:v>Dispositivos móveis</x:v>
      </x:c>
      <x:c r="E88" s="9" t="str">
        <x:v>Usuários únicos (covisualizados)</x:v>
      </x:c>
      <x:c r="F88" s="36" t="n">
        <x:v>11520</x:v>
      </x:c>
      <x:c r="G88" s="9" t="str">
        <x:v>Período/filtro não informado no ZIP</x:v>
      </x:c>
      <x:c r="H88" s="9" t="str">
        <x:v>A confirmar</x:v>
      </x:c>
      <x:c r="I88" s="9" t="str">
        <x:v>F074</x:v>
      </x:c>
    </x:row>
    <x:row r="89" ht="24" customHeight="1">
      <x:c r="A89" s="9" t="str">
        <x:v>C07</x:v>
      </x:c>
      <x:c r="B89" s="9" t="str">
        <x:v>[TRON] - YouTube 03 -  VT 5 Seg - {Reg SC} - 07/10</x:v>
      </x:c>
      <x:c r="C89" s="9" t="str">
        <x:v>Dispositivos/Usuários únicos (covisualizados).csv</x:v>
      </x:c>
      <x:c r="D89" s="9" t="str">
        <x:v>Computadores</x:v>
      </x:c>
      <x:c r="E89" s="9" t="str">
        <x:v>Usuários únicos (covisualizados)</x:v>
      </x:c>
      <x:c r="F89" s="36" t="n">
        <x:v>1397</x:v>
      </x:c>
      <x:c r="G89" s="9" t="str">
        <x:v>Período/filtro não informado no ZIP</x:v>
      </x:c>
      <x:c r="H89" s="9" t="str">
        <x:v>A confirmar</x:v>
      </x:c>
      <x:c r="I89" s="9" t="str">
        <x:v>F074</x:v>
      </x:c>
    </x:row>
    <x:row r="90" ht="24" customHeight="1">
      <x:c r="A90" s="9" t="str">
        <x:v>C07</x:v>
      </x:c>
      <x:c r="B90" s="9" t="str">
        <x:v>[TRON] - YouTube 03 -  VT 5 Seg - {Reg SC} - 07/10</x:v>
      </x:c>
      <x:c r="C90" s="9" t="str">
        <x:v>Dispositivos/Usuários únicos (covisualizados).csv</x:v>
      </x:c>
      <x:c r="D90" s="9" t="str">
        <x:v>Telas de TV</x:v>
      </x:c>
      <x:c r="E90" s="9" t="str">
        <x:v>Usuários únicos (covisualizados)</x:v>
      </x:c>
      <x:c r="F90" s="36" t="n">
        <x:v>17652</x:v>
      </x:c>
      <x:c r="G90" s="9" t="str">
        <x:v>Período/filtro não informado no ZIP</x:v>
      </x:c>
      <x:c r="H90" s="9" t="str">
        <x:v>A confirmar</x:v>
      </x:c>
      <x:c r="I90" s="9" t="str">
        <x:v>F074</x:v>
      </x:c>
    </x:row>
    <x:row r="91" ht="24" customHeight="1">
      <x:c r="A91" s="9" t="str">
        <x:v>C07</x:v>
      </x:c>
      <x:c r="B91" s="9" t="str">
        <x:v>[TRON] - YouTube 03 -  VT 5 Seg - {Reg SC} - 07/10</x:v>
      </x:c>
      <x:c r="C91" s="9" t="str">
        <x:v>Dispositivos/Freq. méd. impr. _ usuário (covisualizadas).csv</x:v>
      </x:c>
      <x:c r="D91" s="9" t="str">
        <x:v>Tablets</x:v>
      </x:c>
      <x:c r="E91" s="9" t="str">
        <x:v>Freq. méd. impr. / usuário (covisualizadas)</x:v>
      </x:c>
      <x:c r="F91" s="36" t="n">
        <x:v>1.3575129533678756</x:v>
      </x:c>
      <x:c r="G91" s="9" t="str">
        <x:v>Período/filtro não informado no ZIP</x:v>
      </x:c>
      <x:c r="H91" s="9" t="str">
        <x:v>A confirmar</x:v>
      </x:c>
      <x:c r="I91" s="9" t="str">
        <x:v>F075</x:v>
      </x:c>
    </x:row>
    <x:row r="92" ht="24" customHeight="1">
      <x:c r="A92" s="9" t="str">
        <x:v>C07</x:v>
      </x:c>
      <x:c r="B92" s="9" t="str">
        <x:v>[TRON] - YouTube 03 -  VT 5 Seg - {Reg SC} - 07/10</x:v>
      </x:c>
      <x:c r="C92" s="9" t="str">
        <x:v>Dispositivos/Freq. méd. impr. _ usuário (covisualizadas).csv</x:v>
      </x:c>
      <x:c r="D92" s="9" t="str">
        <x:v>Dispositivos móveis</x:v>
      </x:c>
      <x:c r="E92" s="9" t="str">
        <x:v>Freq. méd. impr. / usuário (covisualizadas)</x:v>
      </x:c>
      <x:c r="F92" s="36" t="n">
        <x:v>1.9221286570014757</x:v>
      </x:c>
      <x:c r="G92" s="9" t="str">
        <x:v>Período/filtro não informado no ZIP</x:v>
      </x:c>
      <x:c r="H92" s="9" t="str">
        <x:v>A confirmar</x:v>
      </x:c>
      <x:c r="I92" s="9" t="str">
        <x:v>F075</x:v>
      </x:c>
    </x:row>
    <x:row r="93" ht="24" customHeight="1">
      <x:c r="A93" s="9" t="str">
        <x:v>C07</x:v>
      </x:c>
      <x:c r="B93" s="9" t="str">
        <x:v>[TRON] - YouTube 03 -  VT 5 Seg - {Reg SC} - 07/10</x:v>
      </x:c>
      <x:c r="C93" s="9" t="str">
        <x:v>Dispositivos/Freq. méd. impr. _ usuário (covisualizadas).csv</x:v>
      </x:c>
      <x:c r="D93" s="9" t="str">
        <x:v>Computadores</x:v>
      </x:c>
      <x:c r="E93" s="9" t="str">
        <x:v>Freq. méd. impr. / usuário (covisualizadas)</x:v>
      </x:c>
      <x:c r="F93" s="36" t="n">
        <x:v>1.6248196248196247</x:v>
      </x:c>
      <x:c r="G93" s="9" t="str">
        <x:v>Período/filtro não informado no ZIP</x:v>
      </x:c>
      <x:c r="H93" s="9" t="str">
        <x:v>A confirmar</x:v>
      </x:c>
      <x:c r="I93" s="9" t="str">
        <x:v>F075</x:v>
      </x:c>
    </x:row>
    <x:row r="94" ht="24" customHeight="1">
      <x:c r="A94" s="9" t="str">
        <x:v>C07</x:v>
      </x:c>
      <x:c r="B94" s="9" t="str">
        <x:v>[TRON] - YouTube 03 -  VT 5 Seg - {Reg SC} - 07/10</x:v>
      </x:c>
      <x:c r="C94" s="9" t="str">
        <x:v>Dispositivos/Freq. méd. impr. _ usuário (covisualizadas).csv</x:v>
      </x:c>
      <x:c r="D94" s="9" t="str">
        <x:v>Telas de TV</x:v>
      </x:c>
      <x:c r="E94" s="9" t="str">
        <x:v>Freq. méd. impr. / usuário (covisualizadas)</x:v>
      </x:c>
      <x:c r="F94" s="36" t="n">
        <x:v>1.2673351461590754</x:v>
      </x:c>
      <x:c r="G94" s="9" t="str">
        <x:v>Período/filtro não informado no ZIP</x:v>
      </x:c>
      <x:c r="H94" s="9" t="str">
        <x:v>A confirmar</x:v>
      </x:c>
      <x:c r="I94" s="9" t="str">
        <x:v>F075</x:v>
      </x:c>
    </x:row>
    <x:row r="95" ht="24" customHeight="1">
      <x:c r="A95" s="9" t="str">
        <x:v>C07</x:v>
      </x:c>
      <x:c r="B95" s="9" t="str">
        <x:v>[TRON] - YouTube 03 -  VT 5 Seg - {Reg SC} - 07/10</x:v>
      </x:c>
      <x:c r="C95" s="9" t="str">
        <x:v>Local.csv</x:v>
      </x:c>
      <x:c r="D95" s="9" t="str">
        <x:v>Brazil</x:v>
      </x:c>
      <x:c r="E95" s="9" t="str">
        <x:v>Usuários únicos (covisualizados)</x:v>
      </x:c>
      <x:c r="F95" s="36" t="n">
        <x:v>31324</x:v>
      </x:c>
      <x:c r="G95" s="9" t="str">
        <x:v>Período/filtro não informado no ZIP</x:v>
      </x:c>
      <x:c r="H95" s="9" t="str">
        <x:v>A confirmar</x:v>
      </x:c>
      <x:c r="I95" s="9" t="str">
        <x:v>F076</x:v>
      </x:c>
    </x:row>
    <x:row r="96" ht="24" customHeight="1">
      <x:c r="A96" s="9" t="str">
        <x:v>C07</x:v>
      </x:c>
      <x:c r="B96" s="9" t="str">
        <x:v>[TRON] - YouTube 03 -  VT 5 Seg - {Reg SC} - 07/10</x:v>
      </x:c>
      <x:c r="C96" s="9" t="str">
        <x:v>Local.csv</x:v>
      </x:c>
      <x:c r="D96" s="9" t="str">
        <x:v>Brazil</x:v>
      </x:c>
      <x:c r="E96" s="9" t="str">
        <x:v>Freq. méd. impr. / usuário (covisualizadas)</x:v>
      </x:c>
      <x:c r="F96" s="36" t="n">
        <x:v>1.5263376324862725</x:v>
      </x:c>
      <x:c r="G96" s="9" t="str">
        <x:v>Período/filtro não informado no ZIP</x:v>
      </x:c>
      <x:c r="H96" s="9" t="str">
        <x:v>A confirmar</x:v>
      </x:c>
      <x:c r="I96" s="9" t="str">
        <x:v>F076</x:v>
      </x:c>
    </x:row>
    <x:row r="97" ht="24" customHeight="1">
      <x:c r="A97" s="9" t="str">
        <x:v>C08</x:v>
      </x:c>
      <x:c r="B97" s="9" t="str">
        <x:v>[TRON] - YouTube 04 -  VT 5 Seg - {Reg SC} - 07/10</x:v>
      </x:c>
      <x:c r="C97" s="9" t="str">
        <x:v>Freq. méd. impr. _ usuário (covisualizadas).csv</x:v>
      </x:c>
      <x:c r="D97" s="9" t="str">
        <x:v>8/31/2026</x:v>
      </x:c>
      <x:c r="E97" s="9" t="str">
        <x:v>Freq. méd. impr. / usuário (covisualizadas)</x:v>
      </x:c>
      <x:c r="F97" s="36"/>
      <x:c r="G97" s="9" t="str">
        <x:v>Período/filtro não informado no ZIP</x:v>
      </x:c>
      <x:c r="H97" s="9" t="str">
        <x:v>A confirmar</x:v>
      </x:c>
      <x:c r="I97" s="9" t="str">
        <x:v>F086</x:v>
      </x:c>
    </x:row>
    <x:row r="98" ht="24" customHeight="1">
      <x:c r="A98" s="9" t="str">
        <x:v>C08</x:v>
      </x:c>
      <x:c r="B98" s="9" t="str">
        <x:v>[TRON] - YouTube 04 -  VT 5 Seg - {Reg SC} - 07/10</x:v>
      </x:c>
      <x:c r="C98" s="9" t="str">
        <x:v>Freq. méd. impr. _ usuário (covisualizadas).csv</x:v>
      </x:c>
      <x:c r="D98" s="9" t="str">
        <x:v>9/7/2026</x:v>
      </x:c>
      <x:c r="E98" s="9" t="str">
        <x:v>Freq. méd. impr. / usuário (covisualizadas)</x:v>
      </x:c>
      <x:c r="F98" s="36"/>
      <x:c r="G98" s="9" t="str">
        <x:v>Período/filtro não informado no ZIP</x:v>
      </x:c>
      <x:c r="H98" s="9" t="str">
        <x:v>A confirmar</x:v>
      </x:c>
      <x:c r="I98" s="9" t="str">
        <x:v>F086</x:v>
      </x:c>
    </x:row>
    <x:row r="99" ht="24" customHeight="1">
      <x:c r="A99" s="9" t="str">
        <x:v>C08</x:v>
      </x:c>
      <x:c r="B99" s="9" t="str">
        <x:v>[TRON] - YouTube 04 -  VT 5 Seg - {Reg SC} - 07/10</x:v>
      </x:c>
      <x:c r="C99" s="9" t="str">
        <x:v>Freq. méd. impr. _ usuário (covisualizadas).csv</x:v>
      </x:c>
      <x:c r="D99" s="9" t="str">
        <x:v>9/14/2026</x:v>
      </x:c>
      <x:c r="E99" s="9" t="str">
        <x:v>Freq. méd. impr. / usuário (covisualizadas)</x:v>
      </x:c>
      <x:c r="F99" s="36"/>
      <x:c r="G99" s="9" t="str">
        <x:v>Período/filtro não informado no ZIP</x:v>
      </x:c>
      <x:c r="H99" s="9" t="str">
        <x:v>A confirmar</x:v>
      </x:c>
      <x:c r="I99" s="9" t="str">
        <x:v>F086</x:v>
      </x:c>
    </x:row>
    <x:row r="100" ht="24" customHeight="1">
      <x:c r="A100" s="9" t="str">
        <x:v>C08</x:v>
      </x:c>
      <x:c r="B100" s="9" t="str">
        <x:v>[TRON] - YouTube 04 -  VT 5 Seg - {Reg SC} - 07/10</x:v>
      </x:c>
      <x:c r="C100" s="9" t="str">
        <x:v>Freq. méd. impr. _ usuário (covisualizadas).csv</x:v>
      </x:c>
      <x:c r="D100" s="9" t="str">
        <x:v>9/21/2026</x:v>
      </x:c>
      <x:c r="E100" s="9" t="str">
        <x:v>Freq. méd. impr. / usuário (covisualizadas)</x:v>
      </x:c>
      <x:c r="F100" s="36"/>
      <x:c r="G100" s="9" t="str">
        <x:v>Período/filtro não informado no ZIP</x:v>
      </x:c>
      <x:c r="H100" s="9" t="str">
        <x:v>A confirmar</x:v>
      </x:c>
      <x:c r="I100" s="9" t="str">
        <x:v>F086</x:v>
      </x:c>
    </x:row>
    <x:row r="101" ht="24" customHeight="1">
      <x:c r="A101" s="9" t="str">
        <x:v>C08</x:v>
      </x:c>
      <x:c r="B101" s="9" t="str">
        <x:v>[TRON] - YouTube 04 -  VT 5 Seg - {Reg SC} - 07/10</x:v>
      </x:c>
      <x:c r="C101" s="9" t="str">
        <x:v>Freq. méd. impr. _ usuário (covisualizadas).csv</x:v>
      </x:c>
      <x:c r="D101" s="9" t="str">
        <x:v>9/28/2026</x:v>
      </x:c>
      <x:c r="E101" s="9" t="str">
        <x:v>Freq. méd. impr. / usuário (covisualizadas)</x:v>
      </x:c>
      <x:c r="F101" s="36"/>
      <x:c r="G101" s="9" t="str">
        <x:v>Período/filtro não informado no ZIP</x:v>
      </x:c>
      <x:c r="H101" s="9" t="str">
        <x:v>A confirmar</x:v>
      </x:c>
      <x:c r="I101" s="9" t="str">
        <x:v>F086</x:v>
      </x:c>
    </x:row>
    <x:row r="102" ht="24" customHeight="1">
      <x:c r="A102" s="9" t="str">
        <x:v>C08</x:v>
      </x:c>
      <x:c r="B102" s="9" t="str">
        <x:v>[TRON] - YouTube 04 -  VT 5 Seg - {Reg SC} - 07/10</x:v>
      </x:c>
      <x:c r="C102" s="9" t="str">
        <x:v>Freq. méd. impr. _ usuário (covisualizadas).csv</x:v>
      </x:c>
      <x:c r="D102" s="9" t="str">
        <x:v>10/5/2026</x:v>
      </x:c>
      <x:c r="E102" s="9" t="str">
        <x:v>Freq. méd. impr. / usuário (covisualizadas)</x:v>
      </x:c>
      <x:c r="F102" s="36" t="n">
        <x:v>1.3219951923076922</x:v>
      </x:c>
      <x:c r="G102" s="9" t="str">
        <x:v>Período/filtro não informado no ZIP</x:v>
      </x:c>
      <x:c r="H102" s="9" t="str">
        <x:v>A confirmar</x:v>
      </x:c>
      <x:c r="I102" s="9" t="str">
        <x:v>F086</x:v>
      </x:c>
    </x:row>
    <x:row r="103" ht="24" customHeight="1">
      <x:c r="A103" s="9" t="str">
        <x:v>C08</x:v>
      </x:c>
      <x:c r="B103" s="9" t="str">
        <x:v>[TRON] - YouTube 04 -  VT 5 Seg - {Reg SC} - 07/10</x:v>
      </x:c>
      <x:c r="C103" s="9" t="str">
        <x:v>Freq. méd. impr. _ usuário (covisualizadas).csv</x:v>
      </x:c>
      <x:c r="D103" s="9" t="str">
        <x:v>10/12/2026</x:v>
      </x:c>
      <x:c r="E103" s="9" t="str">
        <x:v>Freq. méd. impr. / usuário (covisualizadas)</x:v>
      </x:c>
      <x:c r="F103" s="36" t="n">
        <x:v>1.250561879214094</x:v>
      </x:c>
      <x:c r="G103" s="9" t="str">
        <x:v>Período/filtro não informado no ZIP</x:v>
      </x:c>
      <x:c r="H103" s="9" t="str">
        <x:v>A confirmar</x:v>
      </x:c>
      <x:c r="I103" s="9" t="str">
        <x:v>F086</x:v>
      </x:c>
    </x:row>
    <x:row r="104" ht="24" customHeight="1">
      <x:c r="A104" s="9" t="str">
        <x:v>C08</x:v>
      </x:c>
      <x:c r="B104" s="9" t="str">
        <x:v>[TRON] - YouTube 04 -  VT 5 Seg - {Reg SC} - 07/10</x:v>
      </x:c>
      <x:c r="C104" s="9" t="str">
        <x:v>Formatos de anúncio por tipo de campanha/Usuários únicos (covisualizados).csv</x:v>
      </x:c>
      <x:c r="D104" s="9" t="str">
        <x:v>Shorts</x:v>
      </x:c>
      <x:c r="E104" s="9" t="str">
        <x:v>Usuários únicos (covisualizados)</x:v>
      </x:c>
      <x:c r="F104" s="36" t="n">
        <x:v>1762</x:v>
      </x:c>
      <x:c r="G104" s="9" t="str">
        <x:v>Período/filtro não informado no ZIP</x:v>
      </x:c>
      <x:c r="H104" s="9" t="str">
        <x:v>Total: campanhas de vídeo</x:v>
      </x:c>
      <x:c r="I104" s="9" t="str">
        <x:v>F087</x:v>
      </x:c>
    </x:row>
    <x:row r="105" ht="24" customHeight="1">
      <x:c r="A105" s="9" t="str">
        <x:v>C08</x:v>
      </x:c>
      <x:c r="B105" s="9" t="str">
        <x:v>[TRON] - YouTube 04 -  VT 5 Seg - {Reg SC} - 07/10</x:v>
      </x:c>
      <x:c r="C105" s="9" t="str">
        <x:v>Formatos de anúncio por tipo de campanha/Usuários únicos (covisualizados).csv</x:v>
      </x:c>
      <x:c r="D105" s="9" t="str">
        <x:v>In-feed</x:v>
      </x:c>
      <x:c r="E105" s="9" t="str">
        <x:v>Usuários únicos (covisualizados)</x:v>
      </x:c>
      <x:c r="F105" s="36" t="n">
        <x:v>13876</x:v>
      </x:c>
      <x:c r="G105" s="9" t="str">
        <x:v>Período/filtro não informado no ZIP</x:v>
      </x:c>
      <x:c r="H105" s="9" t="str">
        <x:v>Total: campanhas de vídeo</x:v>
      </x:c>
      <x:c r="I105" s="9" t="str">
        <x:v>F087</x:v>
      </x:c>
    </x:row>
    <x:row r="106" ht="24" customHeight="1">
      <x:c r="A106" s="9" t="str">
        <x:v>C08</x:v>
      </x:c>
      <x:c r="B106" s="9" t="str">
        <x:v>[TRON] - YouTube 04 -  VT 5 Seg - {Reg SC} - 07/10</x:v>
      </x:c>
      <x:c r="C106" s="9" t="str">
        <x:v>Formatos de anúncio por tipo de campanha/Usuários únicos (covisualizados).csv</x:v>
      </x:c>
      <x:c r="D106" s="9" t="str">
        <x:v>Bumper</x:v>
      </x:c>
      <x:c r="E106" s="9" t="str">
        <x:v>Usuários únicos (covisualizados)</x:v>
      </x:c>
      <x:c r="F106" s="36" t="n">
        <x:v>22714</x:v>
      </x:c>
      <x:c r="G106" s="9" t="str">
        <x:v>Período/filtro não informado no ZIP</x:v>
      </x:c>
      <x:c r="H106" s="9" t="str">
        <x:v>Total: campanhas de vídeo</x:v>
      </x:c>
      <x:c r="I106" s="9" t="str">
        <x:v>F087</x:v>
      </x:c>
    </x:row>
    <x:row r="107" ht="24" customHeight="1">
      <x:c r="A107" s="9" t="str">
        <x:v>C08</x:v>
      </x:c>
      <x:c r="B107" s="9" t="str">
        <x:v>[TRON] - YouTube 04 -  VT 5 Seg - {Reg SC} - 07/10</x:v>
      </x:c>
      <x:c r="C107" s="9" t="str">
        <x:v>Formatos de anúncio por tipo de campanha/Freq. méd. impr. _ usuário (covisualizadas).csv</x:v>
      </x:c>
      <x:c r="D107" s="9" t="str">
        <x:v>Shorts</x:v>
      </x:c>
      <x:c r="E107" s="9" t="str">
        <x:v>Freq. méd. impr. / usuário (covisualizadas)</x:v>
      </x:c>
      <x:c r="F107" s="36" t="n">
        <x:v>1.7332576617480135</x:v>
      </x:c>
      <x:c r="G107" s="9" t="str">
        <x:v>Período/filtro não informado no ZIP</x:v>
      </x:c>
      <x:c r="H107" s="9" t="str">
        <x:v>A confirmar</x:v>
      </x:c>
      <x:c r="I107" s="9" t="str">
        <x:v>F088</x:v>
      </x:c>
    </x:row>
    <x:row r="108" ht="24" customHeight="1">
      <x:c r="A108" s="9" t="str">
        <x:v>C08</x:v>
      </x:c>
      <x:c r="B108" s="9" t="str">
        <x:v>[TRON] - YouTube 04 -  VT 5 Seg - {Reg SC} - 07/10</x:v>
      </x:c>
      <x:c r="C108" s="9" t="str">
        <x:v>Formatos de anúncio por tipo de campanha/Freq. méd. impr. _ usuário (covisualizadas).csv</x:v>
      </x:c>
      <x:c r="D108" s="9" t="str">
        <x:v>In-feed</x:v>
      </x:c>
      <x:c r="E108" s="9" t="str">
        <x:v>Freq. méd. impr. / usuário (covisualizadas)</x:v>
      </x:c>
      <x:c r="F108" s="36" t="n">
        <x:v>1.4276448544249063</x:v>
      </x:c>
      <x:c r="G108" s="9" t="str">
        <x:v>Período/filtro não informado no ZIP</x:v>
      </x:c>
      <x:c r="H108" s="9" t="str">
        <x:v>A confirmar</x:v>
      </x:c>
      <x:c r="I108" s="9" t="str">
        <x:v>F088</x:v>
      </x:c>
    </x:row>
    <x:row r="109" ht="24" customHeight="1">
      <x:c r="A109" s="9" t="str">
        <x:v>C08</x:v>
      </x:c>
      <x:c r="B109" s="9" t="str">
        <x:v>[TRON] - YouTube 04 -  VT 5 Seg - {Reg SC} - 07/10</x:v>
      </x:c>
      <x:c r="C109" s="9" t="str">
        <x:v>Formatos de anúncio por tipo de campanha/Freq. méd. impr. _ usuário (covisualizadas).csv</x:v>
      </x:c>
      <x:c r="D109" s="9" t="str">
        <x:v>Bumper</x:v>
      </x:c>
      <x:c r="E109" s="9" t="str">
        <x:v>Freq. méd. impr. / usuário (covisualizadas)</x:v>
      </x:c>
      <x:c r="F109" s="36" t="n">
        <x:v>1.205512019019107</x:v>
      </x:c>
      <x:c r="G109" s="9" t="str">
        <x:v>Período/filtro não informado no ZIP</x:v>
      </x:c>
      <x:c r="H109" s="9" t="str">
        <x:v>A confirmar</x:v>
      </x:c>
      <x:c r="I109" s="9" t="str">
        <x:v>F088</x:v>
      </x:c>
    </x:row>
    <x:row r="110" ht="24" customHeight="1">
      <x:c r="A110" s="9" t="str">
        <x:v>C08</x:v>
      </x:c>
      <x:c r="B110" s="9" t="str">
        <x:v>[TRON] - YouTube 04 -  VT 5 Seg - {Reg SC} - 07/10</x:v>
      </x:c>
      <x:c r="C110" s="9" t="str">
        <x:v>Dispositivos/Usuários únicos (covisualizados).csv</x:v>
      </x:c>
      <x:c r="D110" s="9" t="str">
        <x:v>Tablets</x:v>
      </x:c>
      <x:c r="E110" s="9" t="str">
        <x:v>Usuários únicos (covisualizados)</x:v>
      </x:c>
      <x:c r="F110" s="36" t="n">
        <x:v>762</x:v>
      </x:c>
      <x:c r="G110" s="9" t="str">
        <x:v>Período/filtro não informado no ZIP</x:v>
      </x:c>
      <x:c r="H110" s="9" t="str">
        <x:v>A confirmar</x:v>
      </x:c>
      <x:c r="I110" s="9" t="str">
        <x:v>F089</x:v>
      </x:c>
    </x:row>
    <x:row r="111" ht="24" customHeight="1">
      <x:c r="A111" s="9" t="str">
        <x:v>C08</x:v>
      </x:c>
      <x:c r="B111" s="9" t="str">
        <x:v>[TRON] - YouTube 04 -  VT 5 Seg - {Reg SC} - 07/10</x:v>
      </x:c>
      <x:c r="C111" s="9" t="str">
        <x:v>Dispositivos/Usuários únicos (covisualizados).csv</x:v>
      </x:c>
      <x:c r="D111" s="9" t="str">
        <x:v>Dispositivos móveis</x:v>
      </x:c>
      <x:c r="E111" s="9" t="str">
        <x:v>Usuários únicos (covisualizados)</x:v>
      </x:c>
      <x:c r="F111" s="36" t="n">
        <x:v>12648</x:v>
      </x:c>
      <x:c r="G111" s="9" t="str">
        <x:v>Período/filtro não informado no ZIP</x:v>
      </x:c>
      <x:c r="H111" s="9" t="str">
        <x:v>A confirmar</x:v>
      </x:c>
      <x:c r="I111" s="9" t="str">
        <x:v>F089</x:v>
      </x:c>
    </x:row>
    <x:row r="112" ht="24" customHeight="1">
      <x:c r="A112" s="9" t="str">
        <x:v>C08</x:v>
      </x:c>
      <x:c r="B112" s="9" t="str">
        <x:v>[TRON] - YouTube 04 -  VT 5 Seg - {Reg SC} - 07/10</x:v>
      </x:c>
      <x:c r="C112" s="9" t="str">
        <x:v>Dispositivos/Usuários únicos (covisualizados).csv</x:v>
      </x:c>
      <x:c r="D112" s="9" t="str">
        <x:v>Computadores</x:v>
      </x:c>
      <x:c r="E112" s="9" t="str">
        <x:v>Usuários únicos (covisualizados)</x:v>
      </x:c>
      <x:c r="F112" s="36" t="n">
        <x:v>2023</x:v>
      </x:c>
      <x:c r="G112" s="9" t="str">
        <x:v>Período/filtro não informado no ZIP</x:v>
      </x:c>
      <x:c r="H112" s="9" t="str">
        <x:v>A confirmar</x:v>
      </x:c>
      <x:c r="I112" s="9" t="str">
        <x:v>F089</x:v>
      </x:c>
    </x:row>
    <x:row r="113" ht="24" customHeight="1">
      <x:c r="A113" s="9" t="str">
        <x:v>C08</x:v>
      </x:c>
      <x:c r="B113" s="9" t="str">
        <x:v>[TRON] - YouTube 04 -  VT 5 Seg - {Reg SC} - 07/10</x:v>
      </x:c>
      <x:c r="C113" s="9" t="str">
        <x:v>Dispositivos/Usuários únicos (covisualizados).csv</x:v>
      </x:c>
      <x:c r="D113" s="9" t="str">
        <x:v>Telas de TV</x:v>
      </x:c>
      <x:c r="E113" s="9" t="str">
        <x:v>Usuários únicos (covisualizados)</x:v>
      </x:c>
      <x:c r="F113" s="36" t="n">
        <x:v>22753</x:v>
      </x:c>
      <x:c r="G113" s="9" t="str">
        <x:v>Período/filtro não informado no ZIP</x:v>
      </x:c>
      <x:c r="H113" s="9" t="str">
        <x:v>A confirmar</x:v>
      </x:c>
      <x:c r="I113" s="9" t="str">
        <x:v>F089</x:v>
      </x:c>
    </x:row>
    <x:row r="114" ht="24" customHeight="1">
      <x:c r="A114" s="9" t="str">
        <x:v>C08</x:v>
      </x:c>
      <x:c r="B114" s="9" t="str">
        <x:v>[TRON] - YouTube 04 -  VT 5 Seg - {Reg SC} - 07/10</x:v>
      </x:c>
      <x:c r="C114" s="9" t="str">
        <x:v>Dispositivos/Freq. méd. impr. _ usuário (covisualizadas).csv</x:v>
      </x:c>
      <x:c r="D114" s="9" t="str">
        <x:v>Tablets</x:v>
      </x:c>
      <x:c r="E114" s="9" t="str">
        <x:v>Freq. méd. impr. / usuário (covisualizadas)</x:v>
      </x:c>
      <x:c r="F114" s="36" t="n">
        <x:v>1.2493438320209973</x:v>
      </x:c>
      <x:c r="G114" s="9" t="str">
        <x:v>Período/filtro não informado no ZIP</x:v>
      </x:c>
      <x:c r="H114" s="9" t="str">
        <x:v>A confirmar</x:v>
      </x:c>
      <x:c r="I114" s="9" t="str">
        <x:v>F090</x:v>
      </x:c>
    </x:row>
    <x:row r="115" ht="24" customHeight="1">
      <x:c r="A115" s="9" t="str">
        <x:v>C08</x:v>
      </x:c>
      <x:c r="B115" s="9" t="str">
        <x:v>[TRON] - YouTube 04 -  VT 5 Seg - {Reg SC} - 07/10</x:v>
      </x:c>
      <x:c r="C115" s="9" t="str">
        <x:v>Dispositivos/Freq. méd. impr. _ usuário (covisualizadas).csv</x:v>
      </x:c>
      <x:c r="D115" s="9" t="str">
        <x:v>Dispositivos móveis</x:v>
      </x:c>
      <x:c r="E115" s="9" t="str">
        <x:v>Freq. méd. impr. / usuário (covisualizadas)</x:v>
      </x:c>
      <x:c r="F115" s="36" t="n">
        <x:v>1.6065781151170146</x:v>
      </x:c>
      <x:c r="G115" s="9" t="str">
        <x:v>Período/filtro não informado no ZIP</x:v>
      </x:c>
      <x:c r="H115" s="9" t="str">
        <x:v>A confirmar</x:v>
      </x:c>
      <x:c r="I115" s="9" t="str">
        <x:v>F090</x:v>
      </x:c>
    </x:row>
    <x:row r="116" ht="24" customHeight="1">
      <x:c r="A116" s="9" t="str">
        <x:v>C08</x:v>
      </x:c>
      <x:c r="B116" s="9" t="str">
        <x:v>[TRON] - YouTube 04 -  VT 5 Seg - {Reg SC} - 07/10</x:v>
      </x:c>
      <x:c r="C116" s="9" t="str">
        <x:v>Dispositivos/Freq. méd. impr. _ usuário (covisualizadas).csv</x:v>
      </x:c>
      <x:c r="D116" s="9" t="str">
        <x:v>Computadores</x:v>
      </x:c>
      <x:c r="E116" s="9" t="str">
        <x:v>Freq. méd. impr. / usuário (covisualizadas)</x:v>
      </x:c>
      <x:c r="F116" s="36" t="n">
        <x:v>1.1922886801779535</x:v>
      </x:c>
      <x:c r="G116" s="9" t="str">
        <x:v>Período/filtro não informado no ZIP</x:v>
      </x:c>
      <x:c r="H116" s="9" t="str">
        <x:v>A confirmar</x:v>
      </x:c>
      <x:c r="I116" s="9" t="str">
        <x:v>F090</x:v>
      </x:c>
    </x:row>
    <x:row r="117" ht="24" customHeight="1">
      <x:c r="A117" s="9" t="str">
        <x:v>C08</x:v>
      </x:c>
      <x:c r="B117" s="9" t="str">
        <x:v>[TRON] - YouTube 04 -  VT 5 Seg - {Reg SC} - 07/10</x:v>
      </x:c>
      <x:c r="C117" s="9" t="str">
        <x:v>Dispositivos/Freq. méd. impr. _ usuário (covisualizadas).csv</x:v>
      </x:c>
      <x:c r="D117" s="9" t="str">
        <x:v>Telas de TV</x:v>
      </x:c>
      <x:c r="E117" s="9" t="str">
        <x:v>Freq. méd. impr. / usuário (covisualizadas)</x:v>
      </x:c>
      <x:c r="F117" s="36" t="n">
        <x:v>1.1674064958467016</x:v>
      </x:c>
      <x:c r="G117" s="9" t="str">
        <x:v>Período/filtro não informado no ZIP</x:v>
      </x:c>
      <x:c r="H117" s="9" t="str">
        <x:v>A confirmar</x:v>
      </x:c>
      <x:c r="I117" s="9" t="str">
        <x:v>F090</x:v>
      </x:c>
    </x:row>
    <x:row r="118" ht="24" customHeight="1">
      <x:c r="A118" s="9" t="str">
        <x:v>C08</x:v>
      </x:c>
      <x:c r="B118" s="9" t="str">
        <x:v>[TRON] - YouTube 04 -  VT 5 Seg - {Reg SC} - 07/10</x:v>
      </x:c>
      <x:c r="C118" s="9" t="str">
        <x:v>Local.csv</x:v>
      </x:c>
      <x:c r="D118" s="9" t="str">
        <x:v>Brazil</x:v>
      </x:c>
      <x:c r="E118" s="9" t="str">
        <x:v>Usuários únicos (covisualizados)</x:v>
      </x:c>
      <x:c r="F118" s="36" t="n">
        <x:v>38079</x:v>
      </x:c>
      <x:c r="G118" s="9" t="str">
        <x:v>Período/filtro não informado no ZIP</x:v>
      </x:c>
      <x:c r="H118" s="9" t="str">
        <x:v>A confirmar</x:v>
      </x:c>
      <x:c r="I118" s="9" t="str">
        <x:v>F091</x:v>
      </x:c>
    </x:row>
    <x:row r="119" ht="24" customHeight="1">
      <x:c r="A119" s="9" t="str">
        <x:v>C08</x:v>
      </x:c>
      <x:c r="B119" s="9" t="str">
        <x:v>[TRON] - YouTube 04 -  VT 5 Seg - {Reg SC} - 07/10</x:v>
      </x:c>
      <x:c r="C119" s="9" t="str">
        <x:v>Local.csv</x:v>
      </x:c>
      <x:c r="D119" s="9" t="str">
        <x:v>Brazil</x:v>
      </x:c>
      <x:c r="E119" s="9" t="str">
        <x:v>Freq. méd. impr. / usuário (covisualizadas)</x:v>
      </x:c>
      <x:c r="F119" s="36" t="n">
        <x:v>1.3195199453767168</x:v>
      </x:c>
      <x:c r="G119" s="9" t="str">
        <x:v>Período/filtro não informado no ZIP</x:v>
      </x:c>
      <x:c r="H119" s="9" t="str">
        <x:v>A confirmar</x:v>
      </x:c>
      <x:c r="I119" s="9" t="str">
        <x:v>F091</x:v>
      </x:c>
    </x:row>
  </x:sheetData>
  <x:pageMargins left="0.7" right="0.7" top="0.75" bottom="0.75" header="0.3" footer="0.3"/>
  <x:tableParts count="1">
    <x:tablePart xmlns:r="http://schemas.openxmlformats.org/officeDocument/2006/relationships" r:id="R587608332da94d3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6" hidden="0" customWidth="1"/>
    <x:col min="3" max="3" width="60" hidden="0" customWidth="1"/>
    <x:col min="4" max="4" width="27" hidden="0" customWidth="1"/>
    <x:col min="5" max="5" width="24" hidden="0" customWidth="1"/>
    <x:col min="6" max="6" width="78" hidden="0" customWidth="1"/>
    <x:col min="7" max="7" width="44" hidden="0" customWidth="1"/>
    <x:col min="8" max="8" width="18" hidden="0" customWidth="1"/>
    <x:col min="9" max="9" width="27" hidden="0" customWidth="1"/>
    <x:col min="10" max="10" width="24" hidden="0" customWidth="1"/>
    <x:col min="11" max="11" width="20" hidden="0" customWidth="1"/>
    <x:col min="12" max="12" width="24" hidden="0" customWidth="1"/>
    <x:col min="13" max="13" width="19" hidden="0" customWidth="1"/>
    <x:col min="14" max="14" width="20" hidden="0" customWidth="1"/>
    <x:col min="15" max="15" width="54" hidden="0" customWidth="1"/>
    <x:col min="16" max="1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Ativos de local e lojas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Ativos exportados não comprovam segmentação. A coluna alcance do local mede impressões.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4" customHeight="1">
      <x:c r="A5" s="8" t="str">
        <x:v>ID</x:v>
      </x:c>
      <x:c r="B5" s="8" t="str">
        <x:v>Campanha</x:v>
      </x:c>
      <x:c r="C5" s="8" t="str">
        <x:v>Loja</x:v>
      </x:c>
      <x:c r="D5" s="8" t="str">
        <x:v>Cidade</x:v>
      </x:c>
      <x:c r="E5" s="8" t="str">
        <x:v>UF / estado</x:v>
      </x:c>
      <x:c r="F5" s="8" t="str">
        <x:v>Endereço 1</x:v>
      </x:c>
      <x:c r="G5" s="8" t="str">
        <x:v>Endereço 2</x:v>
      </x:c>
      <x:c r="H5" s="8" t="str">
        <x:v>CEP</x:v>
      </x:c>
      <x:c r="I5" s="8" t="str">
        <x:v>Telefone</x:v>
      </x:c>
      <x:c r="J5" s="8" t="str">
        <x:v>Impressões do local</x:v>
      </x:c>
      <x:c r="K5" s="8" t="str">
        <x:v>Visitas à loja</x:v>
      </x:c>
      <x:c r="L5" s="8" t="str">
        <x:v>Cliques de chamada</x:v>
      </x:c>
      <x:c r="M5" s="8" t="str">
        <x:v>Como chegar</x:v>
      </x:c>
      <x:c r="N5" s="8" t="str">
        <x:v>Visitas ao site</x:v>
      </x:c>
      <x:c r="O5" s="8" t="str">
        <x:v>Período original</x:v>
      </x:c>
      <x:c r="P5" s="8" t="str">
        <x:v>Fonte</x:v>
      </x:c>
    </x:row>
    <x:row r="6" ht="24" customHeight="1">
      <x:c r="A6" s="32" t="str">
        <x:v>C02</x:v>
      </x:c>
      <x:c r="B6" s="33" t="str">
        <x:v>YT - Arrozes especiais Bahia 02</x:v>
      </x:c>
      <x:c r="C6" s="33" t="str">
        <x:v>Supermercado Cooperja</x:v>
      </x:c>
      <x:c r="D6" s="32" t="str">
        <x:v>Jacinto Machado</x:v>
      </x:c>
      <x:c r="E6" s="32" t="str">
        <x:v>Santa Catarina</x:v>
      </x:c>
      <x:c r="F6" s="33" t="str">
        <x:v>Avenida Padre Herval Fontanella, 1369</x:v>
      </x:c>
      <x:c r="G6" s="33" t="str">
        <x:v> --</x:v>
      </x:c>
      <x:c r="H6" s="32" t="str">
        <x:v>88950-000</x:v>
      </x:c>
      <x:c r="I6" s="32" t="str">
        <x:v> +55 48 3535-6000</x:v>
      </x:c>
      <x:c r="J6" s="32" t="n">
        <x:v>0</x:v>
      </x:c>
      <x:c r="K6" s="32" t="n">
        <x:v>0</x:v>
      </x:c>
      <x:c r="L6" s="32" t="n">
        <x:v>0</x:v>
      </x:c>
      <x:c r="M6" s="32" t="n">
        <x:v>0</x:v>
      </x:c>
      <x:c r="N6" s="32" t="n">
        <x:v>0</x:v>
      </x:c>
      <x:c r="O6" s="32" t="str">
        <x:v>1 de julho de 2026 - 13 de outubro de 2026</x:v>
      </x:c>
      <x:c r="P6" s="32" t="str">
        <x:v>F016</x:v>
      </x:c>
    </x:row>
    <x:row r="7" ht="24" customHeight="1">
      <x:c r="A7" s="32" t="str">
        <x:v>C02</x:v>
      </x:c>
      <x:c r="B7" s="33" t="str">
        <x:v>YT - Arrozes especiais Bahia 02</x:v>
      </x:c>
      <x:c r="C7" s="33" t="str">
        <x:v>Centro de Distribuição Cooperja - Supermercados</x:v>
      </x:c>
      <x:c r="D7" s="32" t="str">
        <x:v>Jacinto Machado</x:v>
      </x:c>
      <x:c r="E7" s="32" t="str">
        <x:v>Santa Catarina</x:v>
      </x:c>
      <x:c r="F7" s="33" t="str">
        <x:v>Rua Dr. Nereu Ramos</x:v>
      </x:c>
      <x:c r="G7" s="33" t="str">
        <x:v>Rod. José Tiscoski, 1162</x:v>
      </x:c>
      <x:c r="H7" s="32" t="str">
        <x:v>88950-000</x:v>
      </x:c>
      <x:c r="I7" s="32" t="str">
        <x:v> +55 48 3535-1074</x:v>
      </x:c>
      <x:c r="J7" s="32" t="n">
        <x:v>0</x:v>
      </x:c>
      <x:c r="K7" s="32" t="n">
        <x:v>0</x:v>
      </x:c>
      <x:c r="L7" s="32" t="n">
        <x:v>0</x:v>
      </x:c>
      <x:c r="M7" s="32" t="n">
        <x:v>0</x:v>
      </x:c>
      <x:c r="N7" s="32" t="n">
        <x:v>0</x:v>
      </x:c>
      <x:c r="O7" s="32" t="str">
        <x:v>1 de julho de 2026 - 13 de outubro de 2026</x:v>
      </x:c>
      <x:c r="P7" s="32" t="str">
        <x:v>F016</x:v>
      </x:c>
    </x:row>
    <x:row r="8" ht="24" customHeight="1">
      <x:c r="A8" s="32" t="str">
        <x:v>C02</x:v>
      </x:c>
      <x:c r="B8" s="33" t="str">
        <x:v>YT - Arrozes especiais Bahia 02</x:v>
      </x:c>
      <x:c r="C8" s="33" t="str">
        <x:v>Supermercado Cooperja - Três Cachoeiras</x:v>
      </x:c>
      <x:c r="D8" s="32" t="str">
        <x:v>Três Cachoeiras</x:v>
      </x:c>
      <x:c r="E8" s="32" t="str">
        <x:v>Rio Grande do Sul</x:v>
      </x:c>
      <x:c r="F8" s="33" t="str">
        <x:v>Av. Inácio José Schaefer</x:v>
      </x:c>
      <x:c r="G8" s="33" t="str">
        <x:v> --</x:v>
      </x:c>
      <x:c r="H8" s="32" t="str">
        <x:v>95580-000</x:v>
      </x:c>
      <x:c r="I8" s="32" t="str">
        <x:v> +55 51 99676-4364</x:v>
      </x:c>
      <x:c r="J8" s="32" t="n">
        <x:v>0</x:v>
      </x:c>
      <x:c r="K8" s="32" t="n">
        <x:v>0</x:v>
      </x:c>
      <x:c r="L8" s="32" t="n">
        <x:v>0</x:v>
      </x:c>
      <x:c r="M8" s="32" t="n">
        <x:v>0</x:v>
      </x:c>
      <x:c r="N8" s="32" t="n">
        <x:v>0</x:v>
      </x:c>
      <x:c r="O8" s="32" t="str">
        <x:v>1 de julho de 2026 - 13 de outubro de 2026</x:v>
      </x:c>
      <x:c r="P8" s="32" t="str">
        <x:v>F016</x:v>
      </x:c>
    </x:row>
    <x:row r="9" ht="24" customHeight="1">
      <x:c r="A9" s="32" t="str">
        <x:v>C02</x:v>
      </x:c>
      <x:c r="B9" s="33" t="str">
        <x:v>YT - Arrozes especiais Bahia 02</x:v>
      </x:c>
      <x:c r="C9" s="33" t="str">
        <x:v>Supermercado Cooperja - Balneário Gaivota</x:v>
      </x:c>
      <x:c r="D9" s="32" t="str">
        <x:v>Balneário Gaivota</x:v>
      </x:c>
      <x:c r="E9" s="32" t="str">
        <x:v>Santa Catarina</x:v>
      </x:c>
      <x:c r="F9" s="33" t="str">
        <x:v>Av. Santa Catarina</x:v>
      </x:c>
      <x:c r="G9" s="33" t="str">
        <x:v> --</x:v>
      </x:c>
      <x:c r="H9" s="32" t="str">
        <x:v>88955-000</x:v>
      </x:c>
      <x:c r="I9" s="32" t="str">
        <x:v> +55 48 3583-0315</x:v>
      </x:c>
      <x:c r="J9" s="32" t="n">
        <x:v>0</x:v>
      </x:c>
      <x:c r="K9" s="32" t="n">
        <x:v>0</x:v>
      </x:c>
      <x:c r="L9" s="32" t="n">
        <x:v>0</x:v>
      </x:c>
      <x:c r="M9" s="32" t="n">
        <x:v>0</x:v>
      </x:c>
      <x:c r="N9" s="32" t="n">
        <x:v>0</x:v>
      </x:c>
      <x:c r="O9" s="32" t="str">
        <x:v>1 de julho de 2026 - 13 de outubro de 2026</x:v>
      </x:c>
      <x:c r="P9" s="32" t="str">
        <x:v>F016</x:v>
      </x:c>
    </x:row>
    <x:row r="10" ht="24" customHeight="1">
      <x:c r="A10" s="32" t="str">
        <x:v>C02</x:v>
      </x:c>
      <x:c r="B10" s="33" t="str">
        <x:v>YT - Arrozes especiais Bahia 02</x:v>
      </x:c>
      <x:c r="C10" s="33" t="str">
        <x:v>Supermercado Cooperja</x:v>
      </x:c>
      <x:c r="D10" s="32" t="str">
        <x:v>Praia Grande</x:v>
      </x:c>
      <x:c r="E10" s="32" t="str">
        <x:v>Santa Catarina</x:v>
      </x:c>
      <x:c r="F10" s="33" t="str">
        <x:v>R. Padre Humberto Oening, 471</x:v>
      </x:c>
      <x:c r="G10" s="33" t="str">
        <x:v> --</x:v>
      </x:c>
      <x:c r="H10" s="32" t="str">
        <x:v>88990-000</x:v>
      </x:c>
      <x:c r="I10" s="32" t="str">
        <x:v> +55 48 3532-6000</x:v>
      </x:c>
      <x:c r="J10" s="32" t="n">
        <x:v>0</x:v>
      </x:c>
      <x:c r="K10" s="32" t="n">
        <x:v>0</x:v>
      </x:c>
      <x:c r="L10" s="32" t="n">
        <x:v>0</x:v>
      </x:c>
      <x:c r="M10" s="32" t="n">
        <x:v>0</x:v>
      </x:c>
      <x:c r="N10" s="32" t="n">
        <x:v>0</x:v>
      </x:c>
      <x:c r="O10" s="32" t="str">
        <x:v>1 de julho de 2026 - 13 de outubro de 2026</x:v>
      </x:c>
      <x:c r="P10" s="32" t="str">
        <x:v>F016</x:v>
      </x:c>
    </x:row>
    <x:row r="11" ht="24" customHeight="1">
      <x:c r="A11" s="32" t="str">
        <x:v>C02</x:v>
      </x:c>
      <x:c r="B11" s="33" t="str">
        <x:v>YT - Arrozes especiais Bahia 02</x:v>
      </x:c>
      <x:c r="C11" s="33" t="str">
        <x:v>Supermercado Cooperja - Santa Rosa do Sul</x:v>
      </x:c>
      <x:c r="D11" s="32" t="str">
        <x:v>Santa Rosa do Sul</x:v>
      </x:c>
      <x:c r="E11" s="32" t="str">
        <x:v>Santa Catarina</x:v>
      </x:c>
      <x:c r="F11" s="33" t="str">
        <x:v>Rua Manoel Idalino Pereira, 505 - Quadra 70</x:v>
      </x:c>
      <x:c r="G11" s="33" t="str">
        <x:v> --</x:v>
      </x:c>
      <x:c r="H11" s="32" t="str">
        <x:v>88965-000</x:v>
      </x:c>
      <x:c r="I11" s="32" t="str">
        <x:v> +55 48 3534-1202</x:v>
      </x:c>
      <x:c r="J11" s="32" t="n">
        <x:v>0</x:v>
      </x:c>
      <x:c r="K11" s="32" t="n">
        <x:v>0</x:v>
      </x:c>
      <x:c r="L11" s="32" t="n">
        <x:v>0</x:v>
      </x:c>
      <x:c r="M11" s="32" t="n">
        <x:v>0</x:v>
      </x:c>
      <x:c r="N11" s="32" t="n">
        <x:v>0</x:v>
      </x:c>
      <x:c r="O11" s="32" t="str">
        <x:v>1 de julho de 2026 - 13 de outubro de 2026</x:v>
      </x:c>
      <x:c r="P11" s="32" t="str">
        <x:v>F016</x:v>
      </x:c>
    </x:row>
    <x:row r="12" ht="24" customHeight="1">
      <x:c r="A12" s="32" t="str">
        <x:v>C03</x:v>
      </x:c>
      <x:c r="B12" s="33" t="str">
        <x:v>YT - Arrozes especiais Bahia 03</x:v>
      </x:c>
      <x:c r="C12" s="33" t="str">
        <x:v>Supermercado Cooperja - Balneário Gaivota</x:v>
      </x:c>
      <x:c r="D12" s="32" t="str">
        <x:v>Balneário Gaivota</x:v>
      </x:c>
      <x:c r="E12" s="32" t="str">
        <x:v>Santa Catarina</x:v>
      </x:c>
      <x:c r="F12" s="33" t="str">
        <x:v>Av. Santa Catarina</x:v>
      </x:c>
      <x:c r="G12" s="33" t="str">
        <x:v> --</x:v>
      </x:c>
      <x:c r="H12" s="32" t="str">
        <x:v>88955-000</x:v>
      </x:c>
      <x:c r="I12" s="32" t="str">
        <x:v> +55 48 3583-0315</x:v>
      </x:c>
      <x:c r="J12" s="32" t="n">
        <x:v>0</x:v>
      </x:c>
      <x:c r="K12" s="32" t="n">
        <x:v>0</x:v>
      </x:c>
      <x:c r="L12" s="32" t="n">
        <x:v>0</x:v>
      </x:c>
      <x:c r="M12" s="32" t="n">
        <x:v>0</x:v>
      </x:c>
      <x:c r="N12" s="32" t="n">
        <x:v>0</x:v>
      </x:c>
      <x:c r="O12" s="32" t="str">
        <x:v>1 de julho de 2026 - 13 de outubro de 2026</x:v>
      </x:c>
      <x:c r="P12" s="32" t="str">
        <x:v>F025</x:v>
      </x:c>
    </x:row>
    <x:row r="13" ht="24" customHeight="1">
      <x:c r="A13" s="32" t="str">
        <x:v>C03</x:v>
      </x:c>
      <x:c r="B13" s="33" t="str">
        <x:v>YT - Arrozes especiais Bahia 03</x:v>
      </x:c>
      <x:c r="C13" s="33" t="str">
        <x:v>Supermercado Cooperja - Três Cachoeiras</x:v>
      </x:c>
      <x:c r="D13" s="32" t="str">
        <x:v>Três Cachoeiras</x:v>
      </x:c>
      <x:c r="E13" s="32" t="str">
        <x:v>Rio Grande do Sul</x:v>
      </x:c>
      <x:c r="F13" s="33" t="str">
        <x:v>Av. Inácio José Schaefer</x:v>
      </x:c>
      <x:c r="G13" s="33" t="str">
        <x:v> --</x:v>
      </x:c>
      <x:c r="H13" s="32" t="str">
        <x:v>95580-000</x:v>
      </x:c>
      <x:c r="I13" s="32" t="str">
        <x:v> +55 51 99676-4364</x:v>
      </x:c>
      <x:c r="J13" s="32" t="n">
        <x:v>0</x:v>
      </x:c>
      <x:c r="K13" s="32" t="n">
        <x:v>0</x:v>
      </x:c>
      <x:c r="L13" s="32" t="n">
        <x:v>0</x:v>
      </x:c>
      <x:c r="M13" s="32" t="n">
        <x:v>0</x:v>
      </x:c>
      <x:c r="N13" s="32" t="n">
        <x:v>0</x:v>
      </x:c>
      <x:c r="O13" s="32" t="str">
        <x:v>1 de julho de 2026 - 13 de outubro de 2026</x:v>
      </x:c>
      <x:c r="P13" s="32" t="str">
        <x:v>F025</x:v>
      </x:c>
    </x:row>
    <x:row r="14" ht="24" customHeight="1">
      <x:c r="A14" s="32" t="str">
        <x:v>C03</x:v>
      </x:c>
      <x:c r="B14" s="33" t="str">
        <x:v>YT - Arrozes especiais Bahia 03</x:v>
      </x:c>
      <x:c r="C14" s="33" t="str">
        <x:v>Supermercado Cooperja - Santa Rosa do Sul</x:v>
      </x:c>
      <x:c r="D14" s="32" t="str">
        <x:v>Santa Rosa do Sul</x:v>
      </x:c>
      <x:c r="E14" s="32" t="str">
        <x:v>Santa Catarina</x:v>
      </x:c>
      <x:c r="F14" s="33" t="str">
        <x:v>Rua Manoel Idalino Pereira, 505 - Quadra 70</x:v>
      </x:c>
      <x:c r="G14" s="33" t="str">
        <x:v> --</x:v>
      </x:c>
      <x:c r="H14" s="32" t="str">
        <x:v>88965-000</x:v>
      </x:c>
      <x:c r="I14" s="32" t="str">
        <x:v> +55 48 3534-1202</x:v>
      </x:c>
      <x:c r="J14" s="32" t="n">
        <x:v>0</x:v>
      </x:c>
      <x:c r="K14" s="32" t="n">
        <x:v>0</x:v>
      </x:c>
      <x:c r="L14" s="32" t="n">
        <x:v>0</x:v>
      </x:c>
      <x:c r="M14" s="32" t="n">
        <x:v>0</x:v>
      </x:c>
      <x:c r="N14" s="32" t="n">
        <x:v>0</x:v>
      </x:c>
      <x:c r="O14" s="32" t="str">
        <x:v>1 de julho de 2026 - 13 de outubro de 2026</x:v>
      </x:c>
      <x:c r="P14" s="32" t="str">
        <x:v>F025</x:v>
      </x:c>
    </x:row>
    <x:row r="15" ht="24" customHeight="1">
      <x:c r="A15" s="32" t="str">
        <x:v>C03</x:v>
      </x:c>
      <x:c r="B15" s="33" t="str">
        <x:v>YT - Arrozes especiais Bahia 03</x:v>
      </x:c>
      <x:c r="C15" s="33" t="str">
        <x:v>Centro de Distribuição Cooperja - Supermercados</x:v>
      </x:c>
      <x:c r="D15" s="32" t="str">
        <x:v>Jacinto Machado</x:v>
      </x:c>
      <x:c r="E15" s="32" t="str">
        <x:v>Santa Catarina</x:v>
      </x:c>
      <x:c r="F15" s="33" t="str">
        <x:v>Rua Dr. Nereu Ramos</x:v>
      </x:c>
      <x:c r="G15" s="33" t="str">
        <x:v>Rod. José Tiscoski, 1162</x:v>
      </x:c>
      <x:c r="H15" s="32" t="str">
        <x:v>88950-000</x:v>
      </x:c>
      <x:c r="I15" s="32" t="str">
        <x:v> +55 48 3535-1074</x:v>
      </x:c>
      <x:c r="J15" s="32" t="n">
        <x:v>1</x:v>
      </x:c>
      <x:c r="K15" s="32" t="n">
        <x:v>0</x:v>
      </x:c>
      <x:c r="L15" s="32" t="n">
        <x:v>0</x:v>
      </x:c>
      <x:c r="M15" s="32" t="n">
        <x:v>0</x:v>
      </x:c>
      <x:c r="N15" s="32" t="n">
        <x:v>0</x:v>
      </x:c>
      <x:c r="O15" s="32" t="str">
        <x:v>1 de julho de 2026 - 13 de outubro de 2026</x:v>
      </x:c>
      <x:c r="P15" s="32" t="str">
        <x:v>F025</x:v>
      </x:c>
    </x:row>
    <x:row r="16" ht="24" customHeight="1">
      <x:c r="A16" s="32" t="str">
        <x:v>C03</x:v>
      </x:c>
      <x:c r="B16" s="33" t="str">
        <x:v>YT - Arrozes especiais Bahia 03</x:v>
      </x:c>
      <x:c r="C16" s="33" t="str">
        <x:v>Supermercado Cooperja</x:v>
      </x:c>
      <x:c r="D16" s="32" t="str">
        <x:v>Praia Grande</x:v>
      </x:c>
      <x:c r="E16" s="32" t="str">
        <x:v>Santa Catarina</x:v>
      </x:c>
      <x:c r="F16" s="33" t="str">
        <x:v>R. Padre Humberto Oening, 471</x:v>
      </x:c>
      <x:c r="G16" s="33" t="str">
        <x:v> --</x:v>
      </x:c>
      <x:c r="H16" s="32" t="str">
        <x:v>88990-000</x:v>
      </x:c>
      <x:c r="I16" s="32" t="str">
        <x:v> +55 48 3532-6000</x:v>
      </x:c>
      <x:c r="J16" s="32" t="n">
        <x:v>0</x:v>
      </x:c>
      <x:c r="K16" s="32" t="n">
        <x:v>0</x:v>
      </x:c>
      <x:c r="L16" s="32" t="n">
        <x:v>0</x:v>
      </x:c>
      <x:c r="M16" s="32" t="n">
        <x:v>0</x:v>
      </x:c>
      <x:c r="N16" s="32" t="n">
        <x:v>0</x:v>
      </x:c>
      <x:c r="O16" s="32" t="str">
        <x:v>1 de julho de 2026 - 13 de outubro de 2026</x:v>
      </x:c>
      <x:c r="P16" s="32" t="str">
        <x:v>F025</x:v>
      </x:c>
    </x:row>
    <x:row r="17" ht="24" customHeight="1">
      <x:c r="A17" s="32" t="str">
        <x:v>C03</x:v>
      </x:c>
      <x:c r="B17" s="33" t="str">
        <x:v>YT - Arrozes especiais Bahia 03</x:v>
      </x:c>
      <x:c r="C17" s="33" t="str">
        <x:v>Supermercado Cooperja</x:v>
      </x:c>
      <x:c r="D17" s="32" t="str">
        <x:v>Jacinto Machado</x:v>
      </x:c>
      <x:c r="E17" s="32" t="str">
        <x:v>Santa Catarina</x:v>
      </x:c>
      <x:c r="F17" s="33" t="str">
        <x:v>Avenida Padre Herval Fontanella, 1369</x:v>
      </x:c>
      <x:c r="G17" s="33" t="str">
        <x:v> --</x:v>
      </x:c>
      <x:c r="H17" s="32" t="str">
        <x:v>88950-000</x:v>
      </x:c>
      <x:c r="I17" s="32" t="str">
        <x:v> +55 48 3535-6000</x:v>
      </x:c>
      <x:c r="J17" s="32" t="n">
        <x:v>0</x:v>
      </x:c>
      <x:c r="K17" s="32" t="n">
        <x:v>0</x:v>
      </x:c>
      <x:c r="L17" s="32" t="n">
        <x:v>0</x:v>
      </x:c>
      <x:c r="M17" s="32" t="n">
        <x:v>0</x:v>
      </x:c>
      <x:c r="N17" s="32" t="n">
        <x:v>0</x:v>
      </x:c>
      <x:c r="O17" s="32" t="str">
        <x:v>1 de julho de 2026 - 13 de outubro de 2026</x:v>
      </x:c>
      <x:c r="P17" s="32" t="str">
        <x:v>F025</x:v>
      </x:c>
    </x:row>
    <x:row r="18" ht="24" customHeight="1">
      <x:c r="A18" s="32" t="str">
        <x:v>C04</x:v>
      </x:c>
      <x:c r="B18" s="33" t="str">
        <x:v>Remarketing Caçarola</x:v>
      </x:c>
      <x:c r="C18" s="33" t="str">
        <x:v>Supermercado Cooperja - Balneário Gaivota</x:v>
      </x:c>
      <x:c r="D18" s="32" t="str">
        <x:v>Balneário Gaivota</x:v>
      </x:c>
      <x:c r="E18" s="32" t="str">
        <x:v>Santa Catarina</x:v>
      </x:c>
      <x:c r="F18" s="33" t="str">
        <x:v>Av. Santa Catarina</x:v>
      </x:c>
      <x:c r="G18" s="33" t="str">
        <x:v> --</x:v>
      </x:c>
      <x:c r="H18" s="32" t="str">
        <x:v>88955-000</x:v>
      </x:c>
      <x:c r="I18" s="32" t="str">
        <x:v> +55 48 3583-0315</x:v>
      </x:c>
      <x:c r="J18" s="32" t="n">
        <x:v>0</x:v>
      </x:c>
      <x:c r="K18" s="32" t="n">
        <x:v>0</x:v>
      </x:c>
      <x:c r="L18" s="32" t="n">
        <x:v>0</x:v>
      </x:c>
      <x:c r="M18" s="32" t="n">
        <x:v>0</x:v>
      </x:c>
      <x:c r="N18" s="32" t="n">
        <x:v>0</x:v>
      </x:c>
      <x:c r="O18" s="32" t="str">
        <x:v>27 de agosto de 2026 - 14 de outubro de 2026</x:v>
      </x:c>
      <x:c r="P18" s="32" t="str">
        <x:v>F040</x:v>
      </x:c>
    </x:row>
    <x:row r="19" ht="24" customHeight="1">
      <x:c r="A19" s="32" t="str">
        <x:v>C04</x:v>
      </x:c>
      <x:c r="B19" s="33" t="str">
        <x:v>Remarketing Caçarola</x:v>
      </x:c>
      <x:c r="C19" s="33" t="str">
        <x:v>Supermercado Cooperja - Três Cachoeiras</x:v>
      </x:c>
      <x:c r="D19" s="32" t="str">
        <x:v>Três Cachoeiras</x:v>
      </x:c>
      <x:c r="E19" s="32" t="str">
        <x:v>Rio Grande do Sul</x:v>
      </x:c>
      <x:c r="F19" s="33" t="str">
        <x:v>Av. Inácio José Schaefer</x:v>
      </x:c>
      <x:c r="G19" s="33" t="str">
        <x:v> --</x:v>
      </x:c>
      <x:c r="H19" s="32" t="str">
        <x:v>95580-000</x:v>
      </x:c>
      <x:c r="I19" s="32" t="str">
        <x:v> +55 51 99676-4364</x:v>
      </x:c>
      <x:c r="J19" s="32" t="n">
        <x:v>0</x:v>
      </x:c>
      <x:c r="K19" s="32" t="n">
        <x:v>0</x:v>
      </x:c>
      <x:c r="L19" s="32" t="n">
        <x:v>0</x:v>
      </x:c>
      <x:c r="M19" s="32" t="n">
        <x:v>0</x:v>
      </x:c>
      <x:c r="N19" s="32" t="n">
        <x:v>0</x:v>
      </x:c>
      <x:c r="O19" s="32" t="str">
        <x:v>27 de agosto de 2026 - 14 de outubro de 2026</x:v>
      </x:c>
      <x:c r="P19" s="32" t="str">
        <x:v>F040</x:v>
      </x:c>
    </x:row>
    <x:row r="20" ht="24" customHeight="1">
      <x:c r="A20" s="32" t="str">
        <x:v>C04</x:v>
      </x:c>
      <x:c r="B20" s="33" t="str">
        <x:v>Remarketing Caçarola</x:v>
      </x:c>
      <x:c r="C20" s="33" t="str">
        <x:v>Supermercado Cooperja</x:v>
      </x:c>
      <x:c r="D20" s="32" t="str">
        <x:v>Praia Grande</x:v>
      </x:c>
      <x:c r="E20" s="32" t="str">
        <x:v>Santa Catarina</x:v>
      </x:c>
      <x:c r="F20" s="33" t="str">
        <x:v>R. Padre Humberto Oening, 471</x:v>
      </x:c>
      <x:c r="G20" s="33" t="str">
        <x:v> --</x:v>
      </x:c>
      <x:c r="H20" s="32" t="str">
        <x:v>88990-000</x:v>
      </x:c>
      <x:c r="I20" s="32" t="str">
        <x:v> +55 48 3532-6000</x:v>
      </x:c>
      <x:c r="J20" s="32" t="n">
        <x:v>0</x:v>
      </x:c>
      <x:c r="K20" s="32" t="n">
        <x:v>0</x:v>
      </x:c>
      <x:c r="L20" s="32" t="n">
        <x:v>0</x:v>
      </x:c>
      <x:c r="M20" s="32" t="n">
        <x:v>0</x:v>
      </x:c>
      <x:c r="N20" s="32" t="n">
        <x:v>0</x:v>
      </x:c>
      <x:c r="O20" s="32" t="str">
        <x:v>27 de agosto de 2026 - 14 de outubro de 2026</x:v>
      </x:c>
      <x:c r="P20" s="32" t="str">
        <x:v>F040</x:v>
      </x:c>
    </x:row>
    <x:row r="21" ht="24" customHeight="1">
      <x:c r="A21" s="32" t="str">
        <x:v>C04</x:v>
      </x:c>
      <x:c r="B21" s="33" t="str">
        <x:v>Remarketing Caçarola</x:v>
      </x:c>
      <x:c r="C21" s="33" t="str">
        <x:v>Supermercado Cooperja - Santa Rosa do Sul</x:v>
      </x:c>
      <x:c r="D21" s="32" t="str">
        <x:v>Santa Rosa do Sul</x:v>
      </x:c>
      <x:c r="E21" s="32" t="str">
        <x:v>Santa Catarina</x:v>
      </x:c>
      <x:c r="F21" s="33" t="str">
        <x:v>Rua Manoel Idalino Pereira, 505 - Quadra 70</x:v>
      </x:c>
      <x:c r="G21" s="33" t="str">
        <x:v> --</x:v>
      </x:c>
      <x:c r="H21" s="32" t="str">
        <x:v>88965-000</x:v>
      </x:c>
      <x:c r="I21" s="32" t="str">
        <x:v> +55 48 3534-1202</x:v>
      </x:c>
      <x:c r="J21" s="32" t="n">
        <x:v>0</x:v>
      </x:c>
      <x:c r="K21" s="32" t="n">
        <x:v>0</x:v>
      </x:c>
      <x:c r="L21" s="32" t="n">
        <x:v>0</x:v>
      </x:c>
      <x:c r="M21" s="32" t="n">
        <x:v>0</x:v>
      </x:c>
      <x:c r="N21" s="32" t="n">
        <x:v>0</x:v>
      </x:c>
      <x:c r="O21" s="32" t="str">
        <x:v>27 de agosto de 2026 - 14 de outubro de 2026</x:v>
      </x:c>
      <x:c r="P21" s="32" t="str">
        <x:v>F040</x:v>
      </x:c>
    </x:row>
    <x:row r="22" ht="24" customHeight="1">
      <x:c r="A22" s="32" t="str">
        <x:v>C04</x:v>
      </x:c>
      <x:c r="B22" s="33" t="str">
        <x:v>Remarketing Caçarola</x:v>
      </x:c>
      <x:c r="C22" s="33" t="str">
        <x:v>Centro de Distribuição Cooperja - Supermercados</x:v>
      </x:c>
      <x:c r="D22" s="32" t="str">
        <x:v>Jacinto Machado</x:v>
      </x:c>
      <x:c r="E22" s="32" t="str">
        <x:v>Santa Catarina</x:v>
      </x:c>
      <x:c r="F22" s="33" t="str">
        <x:v>Rua Dr. Nereu Ramos</x:v>
      </x:c>
      <x:c r="G22" s="33" t="str">
        <x:v>Rod. José Tiscoski, 1162</x:v>
      </x:c>
      <x:c r="H22" s="32" t="str">
        <x:v>88950-000</x:v>
      </x:c>
      <x:c r="I22" s="32" t="str">
        <x:v> +55 48 3535-1074</x:v>
      </x:c>
      <x:c r="J22" s="32" t="n">
        <x:v>0</x:v>
      </x:c>
      <x:c r="K22" s="32" t="n">
        <x:v>0</x:v>
      </x:c>
      <x:c r="L22" s="32" t="n">
        <x:v>0</x:v>
      </x:c>
      <x:c r="M22" s="32" t="n">
        <x:v>0</x:v>
      </x:c>
      <x:c r="N22" s="32" t="n">
        <x:v>0</x:v>
      </x:c>
      <x:c r="O22" s="32" t="str">
        <x:v>27 de agosto de 2026 - 14 de outubro de 2026</x:v>
      </x:c>
      <x:c r="P22" s="32" t="str">
        <x:v>F040</x:v>
      </x:c>
    </x:row>
    <x:row r="23" ht="24" customHeight="1">
      <x:c r="A23" s="32" t="str">
        <x:v>C04</x:v>
      </x:c>
      <x:c r="B23" s="33" t="str">
        <x:v>Remarketing Caçarola</x:v>
      </x:c>
      <x:c r="C23" s="33" t="str">
        <x:v>Supermercado Cooperja</x:v>
      </x:c>
      <x:c r="D23" s="32" t="str">
        <x:v>Jacinto Machado</x:v>
      </x:c>
      <x:c r="E23" s="32" t="str">
        <x:v>Santa Catarina</x:v>
      </x:c>
      <x:c r="F23" s="33" t="str">
        <x:v>Avenida Padre Herval Fontanella, 1369</x:v>
      </x:c>
      <x:c r="G23" s="33" t="str">
        <x:v> --</x:v>
      </x:c>
      <x:c r="H23" s="32" t="str">
        <x:v>88950-000</x:v>
      </x:c>
      <x:c r="I23" s="32" t="str">
        <x:v> +55 48 3535-6000</x:v>
      </x:c>
      <x:c r="J23" s="32" t="n">
        <x:v>0</x:v>
      </x:c>
      <x:c r="K23" s="32" t="n">
        <x:v>0</x:v>
      </x:c>
      <x:c r="L23" s="32" t="n">
        <x:v>0</x:v>
      </x:c>
      <x:c r="M23" s="32" t="n">
        <x:v>0</x:v>
      </x:c>
      <x:c r="N23" s="32" t="n">
        <x:v>0</x:v>
      </x:c>
      <x:c r="O23" s="32" t="str">
        <x:v>27 de agosto de 2026 - 14 de outubro de 2026</x:v>
      </x:c>
      <x:c r="P23" s="32" t="str">
        <x:v>F040</x:v>
      </x:c>
    </x:row>
    <x:row r="24" ht="24" customHeight="1">
      <x:c r="A24" s="32" t="str">
        <x:v>C05</x:v>
      </x:c>
      <x:c r="B24" s="33" t="str">
        <x:v>[TRON] - YouTube 01 -  VT 5 Seg - {Reg SC} - 07/10</x:v>
      </x:c>
      <x:c r="C24" s="33" t="str">
        <x:v>Supermercado Cooperja - Três Cachoeiras</x:v>
      </x:c>
      <x:c r="D24" s="32" t="str">
        <x:v>Três Cachoeiras</x:v>
      </x:c>
      <x:c r="E24" s="32" t="str">
        <x:v>Rio Grande do Sul</x:v>
      </x:c>
      <x:c r="F24" s="33" t="str">
        <x:v>Av. Inácio José Schaefer</x:v>
      </x:c>
      <x:c r="G24" s="33" t="str">
        <x:v> --</x:v>
      </x:c>
      <x:c r="H24" s="32" t="str">
        <x:v>95580-000</x:v>
      </x:c>
      <x:c r="I24" s="32" t="str">
        <x:v> +55 51 99676-4364</x:v>
      </x:c>
      <x:c r="J24" s="32" t="n">
        <x:v>0</x:v>
      </x:c>
      <x:c r="K24" s="32" t="n">
        <x:v>0</x:v>
      </x:c>
      <x:c r="L24" s="32" t="n">
        <x:v>0</x:v>
      </x:c>
      <x:c r="M24" s="32" t="n">
        <x:v>0</x:v>
      </x:c>
      <x:c r="N24" s="32" t="n">
        <x:v>0</x:v>
      </x:c>
      <x:c r="O24" s="32" t="str">
        <x:v>1 de setembro de 2026 - 14 de outubro de 2026</x:v>
      </x:c>
      <x:c r="P24" s="32" t="str">
        <x:v>F055</x:v>
      </x:c>
    </x:row>
    <x:row r="25" ht="24" customHeight="1">
      <x:c r="A25" s="32" t="str">
        <x:v>C05</x:v>
      </x:c>
      <x:c r="B25" s="33" t="str">
        <x:v>[TRON] - YouTube 01 -  VT 5 Seg - {Reg SC} - 07/10</x:v>
      </x:c>
      <x:c r="C25" s="33" t="str">
        <x:v>Centro de Distribuição Cooperja - Supermercados</x:v>
      </x:c>
      <x:c r="D25" s="32" t="str">
        <x:v>Jacinto Machado</x:v>
      </x:c>
      <x:c r="E25" s="32" t="str">
        <x:v>Santa Catarina</x:v>
      </x:c>
      <x:c r="F25" s="33" t="str">
        <x:v>Rua Dr. Nereu Ramos</x:v>
      </x:c>
      <x:c r="G25" s="33" t="str">
        <x:v>Rod. José Tiscoski, 1162</x:v>
      </x:c>
      <x:c r="H25" s="32" t="str">
        <x:v>88950-000</x:v>
      </x:c>
      <x:c r="I25" s="32" t="str">
        <x:v> +55 48 3535-1074</x:v>
      </x:c>
      <x:c r="J25" s="32" t="n">
        <x:v>0</x:v>
      </x:c>
      <x:c r="K25" s="32" t="n">
        <x:v>0</x:v>
      </x:c>
      <x:c r="L25" s="32" t="n">
        <x:v>0</x:v>
      </x:c>
      <x:c r="M25" s="32" t="n">
        <x:v>0</x:v>
      </x:c>
      <x:c r="N25" s="32" t="n">
        <x:v>0</x:v>
      </x:c>
      <x:c r="O25" s="32" t="str">
        <x:v>1 de setembro de 2026 - 14 de outubro de 2026</x:v>
      </x:c>
      <x:c r="P25" s="32" t="str">
        <x:v>F055</x:v>
      </x:c>
    </x:row>
    <x:row r="26" ht="24" customHeight="1">
      <x:c r="A26" s="32" t="str">
        <x:v>C05</x:v>
      </x:c>
      <x:c r="B26" s="33" t="str">
        <x:v>[TRON] - YouTube 01 -  VT 5 Seg - {Reg SC} - 07/10</x:v>
      </x:c>
      <x:c r="C26" s="33" t="str">
        <x:v>Supermercado Cooperja - Santa Rosa do Sul</x:v>
      </x:c>
      <x:c r="D26" s="32" t="str">
        <x:v>Santa Rosa do Sul</x:v>
      </x:c>
      <x:c r="E26" s="32" t="str">
        <x:v>Santa Catarina</x:v>
      </x:c>
      <x:c r="F26" s="33" t="str">
        <x:v>Rua Manoel Idalino Pereira, 505 - Quadra 70</x:v>
      </x:c>
      <x:c r="G26" s="33" t="str">
        <x:v> --</x:v>
      </x:c>
      <x:c r="H26" s="32" t="str">
        <x:v>88965-000</x:v>
      </x:c>
      <x:c r="I26" s="32" t="str">
        <x:v> +55 48 3534-1202</x:v>
      </x:c>
      <x:c r="J26" s="32" t="n">
        <x:v>0</x:v>
      </x:c>
      <x:c r="K26" s="32" t="n">
        <x:v>0</x:v>
      </x:c>
      <x:c r="L26" s="32" t="n">
        <x:v>0</x:v>
      </x:c>
      <x:c r="M26" s="32" t="n">
        <x:v>0</x:v>
      </x:c>
      <x:c r="N26" s="32" t="n">
        <x:v>0</x:v>
      </x:c>
      <x:c r="O26" s="32" t="str">
        <x:v>1 de setembro de 2026 - 14 de outubro de 2026</x:v>
      </x:c>
      <x:c r="P26" s="32" t="str">
        <x:v>F055</x:v>
      </x:c>
    </x:row>
    <x:row r="27" ht="24" customHeight="1">
      <x:c r="A27" s="32" t="str">
        <x:v>C05</x:v>
      </x:c>
      <x:c r="B27" s="33" t="str">
        <x:v>[TRON] - YouTube 01 -  VT 5 Seg - {Reg SC} - 07/10</x:v>
      </x:c>
      <x:c r="C27" s="33" t="str">
        <x:v>Supermercado Cooperja - Balneário Gaivota</x:v>
      </x:c>
      <x:c r="D27" s="32" t="str">
        <x:v>Balneário Gaivota</x:v>
      </x:c>
      <x:c r="E27" s="32" t="str">
        <x:v>Santa Catarina</x:v>
      </x:c>
      <x:c r="F27" s="33" t="str">
        <x:v>Av. Santa Catarina</x:v>
      </x:c>
      <x:c r="G27" s="33" t="str">
        <x:v> --</x:v>
      </x:c>
      <x:c r="H27" s="32" t="str">
        <x:v>88955-000</x:v>
      </x:c>
      <x:c r="I27" s="32" t="str">
        <x:v> +55 48 3583-0315</x:v>
      </x:c>
      <x:c r="J27" s="32" t="n">
        <x:v>0</x:v>
      </x:c>
      <x:c r="K27" s="32" t="n">
        <x:v>0</x:v>
      </x:c>
      <x:c r="L27" s="32" t="n">
        <x:v>0</x:v>
      </x:c>
      <x:c r="M27" s="32" t="n">
        <x:v>0</x:v>
      </x:c>
      <x:c r="N27" s="32" t="n">
        <x:v>0</x:v>
      </x:c>
      <x:c r="O27" s="32" t="str">
        <x:v>1 de setembro de 2026 - 14 de outubro de 2026</x:v>
      </x:c>
      <x:c r="P27" s="32" t="str">
        <x:v>F055</x:v>
      </x:c>
    </x:row>
    <x:row r="28" ht="24" customHeight="1">
      <x:c r="A28" s="32" t="str">
        <x:v>C05</x:v>
      </x:c>
      <x:c r="B28" s="33" t="str">
        <x:v>[TRON] - YouTube 01 -  VT 5 Seg - {Reg SC} - 07/10</x:v>
      </x:c>
      <x:c r="C28" s="33" t="str">
        <x:v>Supermercado Cooperja</x:v>
      </x:c>
      <x:c r="D28" s="32" t="str">
        <x:v>Praia Grande</x:v>
      </x:c>
      <x:c r="E28" s="32" t="str">
        <x:v>Santa Catarina</x:v>
      </x:c>
      <x:c r="F28" s="33" t="str">
        <x:v>R. Padre Humberto Oening, 471</x:v>
      </x:c>
      <x:c r="G28" s="33" t="str">
        <x:v> --</x:v>
      </x:c>
      <x:c r="H28" s="32" t="str">
        <x:v>88990-000</x:v>
      </x:c>
      <x:c r="I28" s="32" t="str">
        <x:v> +55 48 3532-6000</x:v>
      </x:c>
      <x:c r="J28" s="32" t="n">
        <x:v>0</x:v>
      </x:c>
      <x:c r="K28" s="32" t="n">
        <x:v>0</x:v>
      </x:c>
      <x:c r="L28" s="32" t="n">
        <x:v>0</x:v>
      </x:c>
      <x:c r="M28" s="32" t="n">
        <x:v>0</x:v>
      </x:c>
      <x:c r="N28" s="32" t="n">
        <x:v>0</x:v>
      </x:c>
      <x:c r="O28" s="32" t="str">
        <x:v>1 de setembro de 2026 - 14 de outubro de 2026</x:v>
      </x:c>
      <x:c r="P28" s="32" t="str">
        <x:v>F055</x:v>
      </x:c>
    </x:row>
    <x:row r="29" ht="24" customHeight="1">
      <x:c r="A29" s="32" t="str">
        <x:v>C05</x:v>
      </x:c>
      <x:c r="B29" s="33" t="str">
        <x:v>[TRON] - YouTube 01 -  VT 5 Seg - {Reg SC} - 07/10</x:v>
      </x:c>
      <x:c r="C29" s="33" t="str">
        <x:v>Supermercado Cooperja</x:v>
      </x:c>
      <x:c r="D29" s="32" t="str">
        <x:v>Jacinto Machado</x:v>
      </x:c>
      <x:c r="E29" s="32" t="str">
        <x:v>Santa Catarina</x:v>
      </x:c>
      <x:c r="F29" s="33" t="str">
        <x:v>Avenida Padre Herval Fontanella, 1369</x:v>
      </x:c>
      <x:c r="G29" s="33" t="str">
        <x:v> --</x:v>
      </x:c>
      <x:c r="H29" s="32" t="str">
        <x:v>88950-000</x:v>
      </x:c>
      <x:c r="I29" s="32" t="str">
        <x:v> +55 48 3535-6000</x:v>
      </x:c>
      <x:c r="J29" s="32" t="n">
        <x:v>0</x:v>
      </x:c>
      <x:c r="K29" s="32" t="n">
        <x:v>0</x:v>
      </x:c>
      <x:c r="L29" s="32" t="n">
        <x:v>0</x:v>
      </x:c>
      <x:c r="M29" s="32" t="n">
        <x:v>0</x:v>
      </x:c>
      <x:c r="N29" s="32" t="n">
        <x:v>0</x:v>
      </x:c>
      <x:c r="O29" s="32" t="str">
        <x:v>1 de setembro de 2026 - 14 de outubro de 2026</x:v>
      </x:c>
      <x:c r="P29" s="32" t="str">
        <x:v>F055</x:v>
      </x:c>
    </x:row>
    <x:row r="30" ht="24" customHeight="1">
      <x:c r="A30" s="32" t="str">
        <x:v>C06</x:v>
      </x:c>
      <x:c r="B30" s="33" t="str">
        <x:v>[TRON] - YouTube 02 -  VT 5 Seg - {Reg SC} - 07/10</x:v>
      </x:c>
      <x:c r="C30" s="33" t="str">
        <x:v>Supermercado Cooperja</x:v>
      </x:c>
      <x:c r="D30" s="32" t="str">
        <x:v>Jacinto Machado</x:v>
      </x:c>
      <x:c r="E30" s="32" t="str">
        <x:v>Santa Catarina</x:v>
      </x:c>
      <x:c r="F30" s="33" t="str">
        <x:v>Avenida Padre Herval Fontanella, 1369</x:v>
      </x:c>
      <x:c r="G30" s="33" t="str">
        <x:v> --</x:v>
      </x:c>
      <x:c r="H30" s="32" t="str">
        <x:v>88950-000</x:v>
      </x:c>
      <x:c r="I30" s="32" t="str">
        <x:v> +55 48 3535-6000</x:v>
      </x:c>
      <x:c r="J30" s="32" t="n">
        <x:v>0</x:v>
      </x:c>
      <x:c r="K30" s="32" t="n">
        <x:v>0</x:v>
      </x:c>
      <x:c r="L30" s="32" t="n">
        <x:v>0</x:v>
      </x:c>
      <x:c r="M30" s="32" t="n">
        <x:v>0</x:v>
      </x:c>
      <x:c r="N30" s="32" t="n">
        <x:v>0</x:v>
      </x:c>
      <x:c r="O30" s="32" t="str">
        <x:v>1 de setembro de 2026 - 14 de outubro de 2026</x:v>
      </x:c>
      <x:c r="P30" s="32" t="str">
        <x:v>F070</x:v>
      </x:c>
    </x:row>
    <x:row r="31" ht="24" customHeight="1">
      <x:c r="A31" s="32" t="str">
        <x:v>C06</x:v>
      </x:c>
      <x:c r="B31" s="33" t="str">
        <x:v>[TRON] - YouTube 02 -  VT 5 Seg - {Reg SC} - 07/10</x:v>
      </x:c>
      <x:c r="C31" s="33" t="str">
        <x:v>Supermercado Cooperja - Balneário Gaivota</x:v>
      </x:c>
      <x:c r="D31" s="32" t="str">
        <x:v>Balneário Gaivota</x:v>
      </x:c>
      <x:c r="E31" s="32" t="str">
        <x:v>Santa Catarina</x:v>
      </x:c>
      <x:c r="F31" s="33" t="str">
        <x:v>Av. Santa Catarina</x:v>
      </x:c>
      <x:c r="G31" s="33" t="str">
        <x:v> --</x:v>
      </x:c>
      <x:c r="H31" s="32" t="str">
        <x:v>88955-000</x:v>
      </x:c>
      <x:c r="I31" s="32" t="str">
        <x:v> +55 48 3583-0315</x:v>
      </x:c>
      <x:c r="J31" s="32" t="n">
        <x:v>0</x:v>
      </x:c>
      <x:c r="K31" s="32" t="n">
        <x:v>0</x:v>
      </x:c>
      <x:c r="L31" s="32" t="n">
        <x:v>0</x:v>
      </x:c>
      <x:c r="M31" s="32" t="n">
        <x:v>0</x:v>
      </x:c>
      <x:c r="N31" s="32" t="n">
        <x:v>0</x:v>
      </x:c>
      <x:c r="O31" s="32" t="str">
        <x:v>1 de setembro de 2026 - 14 de outubro de 2026</x:v>
      </x:c>
      <x:c r="P31" s="32" t="str">
        <x:v>F070</x:v>
      </x:c>
    </x:row>
    <x:row r="32" ht="24" customHeight="1">
      <x:c r="A32" s="32" t="str">
        <x:v>C06</x:v>
      </x:c>
      <x:c r="B32" s="33" t="str">
        <x:v>[TRON] - YouTube 02 -  VT 5 Seg - {Reg SC} - 07/10</x:v>
      </x:c>
      <x:c r="C32" s="33" t="str">
        <x:v>Supermercado Cooperja</x:v>
      </x:c>
      <x:c r="D32" s="32" t="str">
        <x:v>Praia Grande</x:v>
      </x:c>
      <x:c r="E32" s="32" t="str">
        <x:v>Santa Catarina</x:v>
      </x:c>
      <x:c r="F32" s="33" t="str">
        <x:v>R. Padre Humberto Oening, 471</x:v>
      </x:c>
      <x:c r="G32" s="33" t="str">
        <x:v> --</x:v>
      </x:c>
      <x:c r="H32" s="32" t="str">
        <x:v>88990-000</x:v>
      </x:c>
      <x:c r="I32" s="32" t="str">
        <x:v> +55 48 3532-6000</x:v>
      </x:c>
      <x:c r="J32" s="32" t="n">
        <x:v>0</x:v>
      </x:c>
      <x:c r="K32" s="32" t="n">
        <x:v>0</x:v>
      </x:c>
      <x:c r="L32" s="32" t="n">
        <x:v>0</x:v>
      </x:c>
      <x:c r="M32" s="32" t="n">
        <x:v>0</x:v>
      </x:c>
      <x:c r="N32" s="32" t="n">
        <x:v>0</x:v>
      </x:c>
      <x:c r="O32" s="32" t="str">
        <x:v>1 de setembro de 2026 - 14 de outubro de 2026</x:v>
      </x:c>
      <x:c r="P32" s="32" t="str">
        <x:v>F070</x:v>
      </x:c>
    </x:row>
    <x:row r="33" ht="24" customHeight="1">
      <x:c r="A33" s="32" t="str">
        <x:v>C06</x:v>
      </x:c>
      <x:c r="B33" s="33" t="str">
        <x:v>[TRON] - YouTube 02 -  VT 5 Seg - {Reg SC} - 07/10</x:v>
      </x:c>
      <x:c r="C33" s="33" t="str">
        <x:v>Supermercado Cooperja - Santa Rosa do Sul</x:v>
      </x:c>
      <x:c r="D33" s="32" t="str">
        <x:v>Santa Rosa do Sul</x:v>
      </x:c>
      <x:c r="E33" s="32" t="str">
        <x:v>Santa Catarina</x:v>
      </x:c>
      <x:c r="F33" s="33" t="str">
        <x:v>Rua Manoel Idalino Pereira, 505 - Quadra 70</x:v>
      </x:c>
      <x:c r="G33" s="33" t="str">
        <x:v> --</x:v>
      </x:c>
      <x:c r="H33" s="32" t="str">
        <x:v>88965-000</x:v>
      </x:c>
      <x:c r="I33" s="32" t="str">
        <x:v> +55 48 3534-1202</x:v>
      </x:c>
      <x:c r="J33" s="32" t="n">
        <x:v>1</x:v>
      </x:c>
      <x:c r="K33" s="32" t="n">
        <x:v>0</x:v>
      </x:c>
      <x:c r="L33" s="32" t="n">
        <x:v>0</x:v>
      </x:c>
      <x:c r="M33" s="32" t="n">
        <x:v>0</x:v>
      </x:c>
      <x:c r="N33" s="32" t="n">
        <x:v>0</x:v>
      </x:c>
      <x:c r="O33" s="32" t="str">
        <x:v>1 de setembro de 2026 - 14 de outubro de 2026</x:v>
      </x:c>
      <x:c r="P33" s="32" t="str">
        <x:v>F070</x:v>
      </x:c>
    </x:row>
    <x:row r="34" ht="24" customHeight="1">
      <x:c r="A34" s="32" t="str">
        <x:v>C06</x:v>
      </x:c>
      <x:c r="B34" s="33" t="str">
        <x:v>[TRON] - YouTube 02 -  VT 5 Seg - {Reg SC} - 07/10</x:v>
      </x:c>
      <x:c r="C34" s="33" t="str">
        <x:v>Centro de Distribuição Cooperja - Supermercados</x:v>
      </x:c>
      <x:c r="D34" s="32" t="str">
        <x:v>Jacinto Machado</x:v>
      </x:c>
      <x:c r="E34" s="32" t="str">
        <x:v>Santa Catarina</x:v>
      </x:c>
      <x:c r="F34" s="33" t="str">
        <x:v>Rua Dr. Nereu Ramos</x:v>
      </x:c>
      <x:c r="G34" s="33" t="str">
        <x:v>Rod. José Tiscoski, 1162</x:v>
      </x:c>
      <x:c r="H34" s="32" t="str">
        <x:v>88950-000</x:v>
      </x:c>
      <x:c r="I34" s="32" t="str">
        <x:v> +55 48 3535-1074</x:v>
      </x:c>
      <x:c r="J34" s="32" t="n">
        <x:v>13</x:v>
      </x:c>
      <x:c r="K34" s="32" t="n">
        <x:v>0</x:v>
      </x:c>
      <x:c r="L34" s="32" t="n">
        <x:v>0</x:v>
      </x:c>
      <x:c r="M34" s="32" t="n">
        <x:v>0</x:v>
      </x:c>
      <x:c r="N34" s="32" t="n">
        <x:v>0</x:v>
      </x:c>
      <x:c r="O34" s="32" t="str">
        <x:v>1 de setembro de 2026 - 14 de outubro de 2026</x:v>
      </x:c>
      <x:c r="P34" s="32" t="str">
        <x:v>F070</x:v>
      </x:c>
    </x:row>
    <x:row r="35" ht="24" customHeight="1">
      <x:c r="A35" s="32" t="str">
        <x:v>C06</x:v>
      </x:c>
      <x:c r="B35" s="33" t="str">
        <x:v>[TRON] - YouTube 02 -  VT 5 Seg - {Reg SC} - 07/10</x:v>
      </x:c>
      <x:c r="C35" s="33" t="str">
        <x:v>Supermercado Cooperja - Três Cachoeiras</x:v>
      </x:c>
      <x:c r="D35" s="32" t="str">
        <x:v>Três Cachoeiras</x:v>
      </x:c>
      <x:c r="E35" s="32" t="str">
        <x:v>Rio Grande do Sul</x:v>
      </x:c>
      <x:c r="F35" s="33" t="str">
        <x:v>Av. Inácio José Schaefer</x:v>
      </x:c>
      <x:c r="G35" s="33" t="str">
        <x:v> --</x:v>
      </x:c>
      <x:c r="H35" s="32" t="str">
        <x:v>95580-000</x:v>
      </x:c>
      <x:c r="I35" s="32" t="str">
        <x:v> +55 51 99676-4364</x:v>
      </x:c>
      <x:c r="J35" s="32" t="n">
        <x:v>0</x:v>
      </x:c>
      <x:c r="K35" s="32" t="n">
        <x:v>0</x:v>
      </x:c>
      <x:c r="L35" s="32" t="n">
        <x:v>0</x:v>
      </x:c>
      <x:c r="M35" s="32" t="n">
        <x:v>0</x:v>
      </x:c>
      <x:c r="N35" s="32" t="n">
        <x:v>0</x:v>
      </x:c>
      <x:c r="O35" s="32" t="str">
        <x:v>1 de setembro de 2026 - 14 de outubro de 2026</x:v>
      </x:c>
      <x:c r="P35" s="32" t="str">
        <x:v>F070</x:v>
      </x:c>
    </x:row>
    <x:row r="36" ht="24" customHeight="1">
      <x:c r="A36" s="32" t="str">
        <x:v>C07</x:v>
      </x:c>
      <x:c r="B36" s="33" t="str">
        <x:v>[TRON] - YouTube 03 -  VT 5 Seg - {Reg SC} - 07/10</x:v>
      </x:c>
      <x:c r="C36" s="33" t="str">
        <x:v>Centro de Distribuição Cooperja - Supermercados</x:v>
      </x:c>
      <x:c r="D36" s="32" t="str">
        <x:v>Jacinto Machado</x:v>
      </x:c>
      <x:c r="E36" s="32" t="str">
        <x:v>Santa Catarina</x:v>
      </x:c>
      <x:c r="F36" s="33" t="str">
        <x:v>Rua Dr. Nereu Ramos</x:v>
      </x:c>
      <x:c r="G36" s="33" t="str">
        <x:v>Rod. José Tiscoski, 1162</x:v>
      </x:c>
      <x:c r="H36" s="32" t="str">
        <x:v>88950-000</x:v>
      </x:c>
      <x:c r="I36" s="32" t="str">
        <x:v> +55 48 3535-1074</x:v>
      </x:c>
      <x:c r="J36" s="32" t="n">
        <x:v>9</x:v>
      </x:c>
      <x:c r="K36" s="32" t="n">
        <x:v>0</x:v>
      </x:c>
      <x:c r="L36" s="32" t="n">
        <x:v>0</x:v>
      </x:c>
      <x:c r="M36" s="32" t="n">
        <x:v>0</x:v>
      </x:c>
      <x:c r="N36" s="32" t="n">
        <x:v>0</x:v>
      </x:c>
      <x:c r="O36" s="32" t="str">
        <x:v>1 de setembro de 2026 - 14 de outubro de 2026</x:v>
      </x:c>
      <x:c r="P36" s="32" t="str">
        <x:v>F085</x:v>
      </x:c>
    </x:row>
    <x:row r="37" ht="24" customHeight="1">
      <x:c r="A37" s="32" t="str">
        <x:v>C07</x:v>
      </x:c>
      <x:c r="B37" s="33" t="str">
        <x:v>[TRON] - YouTube 03 -  VT 5 Seg - {Reg SC} - 07/10</x:v>
      </x:c>
      <x:c r="C37" s="33" t="str">
        <x:v>Supermercado Cooperja - Santa Rosa do Sul</x:v>
      </x:c>
      <x:c r="D37" s="32" t="str">
        <x:v>Santa Rosa do Sul</x:v>
      </x:c>
      <x:c r="E37" s="32" t="str">
        <x:v>Santa Catarina</x:v>
      </x:c>
      <x:c r="F37" s="33" t="str">
        <x:v>Rua Manoel Idalino Pereira, 505 - Quadra 70</x:v>
      </x:c>
      <x:c r="G37" s="33" t="str">
        <x:v> --</x:v>
      </x:c>
      <x:c r="H37" s="32" t="str">
        <x:v>88965-000</x:v>
      </x:c>
      <x:c r="I37" s="32" t="str">
        <x:v> +55 48 3534-1202</x:v>
      </x:c>
      <x:c r="J37" s="32" t="n">
        <x:v>0</x:v>
      </x:c>
      <x:c r="K37" s="32" t="n">
        <x:v>0</x:v>
      </x:c>
      <x:c r="L37" s="32" t="n">
        <x:v>0</x:v>
      </x:c>
      <x:c r="M37" s="32" t="n">
        <x:v>0</x:v>
      </x:c>
      <x:c r="N37" s="32" t="n">
        <x:v>0</x:v>
      </x:c>
      <x:c r="O37" s="32" t="str">
        <x:v>1 de setembro de 2026 - 14 de outubro de 2026</x:v>
      </x:c>
      <x:c r="P37" s="32" t="str">
        <x:v>F085</x:v>
      </x:c>
    </x:row>
    <x:row r="38" ht="24" customHeight="1">
      <x:c r="A38" s="32" t="str">
        <x:v>C07</x:v>
      </x:c>
      <x:c r="B38" s="33" t="str">
        <x:v>[TRON] - YouTube 03 -  VT 5 Seg - {Reg SC} - 07/10</x:v>
      </x:c>
      <x:c r="C38" s="33" t="str">
        <x:v>Supermercado Cooperja</x:v>
      </x:c>
      <x:c r="D38" s="32" t="str">
        <x:v>Jacinto Machado</x:v>
      </x:c>
      <x:c r="E38" s="32" t="str">
        <x:v>Santa Catarina</x:v>
      </x:c>
      <x:c r="F38" s="33" t="str">
        <x:v>Avenida Padre Herval Fontanella, 1369</x:v>
      </x:c>
      <x:c r="G38" s="33" t="str">
        <x:v> --</x:v>
      </x:c>
      <x:c r="H38" s="32" t="str">
        <x:v>88950-000</x:v>
      </x:c>
      <x:c r="I38" s="32" t="str">
        <x:v> +55 48 3535-6000</x:v>
      </x:c>
      <x:c r="J38" s="32" t="n">
        <x:v>0</x:v>
      </x:c>
      <x:c r="K38" s="32" t="n">
        <x:v>0</x:v>
      </x:c>
      <x:c r="L38" s="32" t="n">
        <x:v>0</x:v>
      </x:c>
      <x:c r="M38" s="32" t="n">
        <x:v>0</x:v>
      </x:c>
      <x:c r="N38" s="32" t="n">
        <x:v>0</x:v>
      </x:c>
      <x:c r="O38" s="32" t="str">
        <x:v>1 de setembro de 2026 - 14 de outubro de 2026</x:v>
      </x:c>
      <x:c r="P38" s="32" t="str">
        <x:v>F085</x:v>
      </x:c>
    </x:row>
    <x:row r="39" ht="24" customHeight="1">
      <x:c r="A39" s="32" t="str">
        <x:v>C07</x:v>
      </x:c>
      <x:c r="B39" s="33" t="str">
        <x:v>[TRON] - YouTube 03 -  VT 5 Seg - {Reg SC} - 07/10</x:v>
      </x:c>
      <x:c r="C39" s="33" t="str">
        <x:v>Supermercado Cooperja - Balneário Gaivota</x:v>
      </x:c>
      <x:c r="D39" s="32" t="str">
        <x:v>Balneário Gaivota</x:v>
      </x:c>
      <x:c r="E39" s="32" t="str">
        <x:v>Santa Catarina</x:v>
      </x:c>
      <x:c r="F39" s="33" t="str">
        <x:v>Av. Santa Catarina</x:v>
      </x:c>
      <x:c r="G39" s="33" t="str">
        <x:v> --</x:v>
      </x:c>
      <x:c r="H39" s="32" t="str">
        <x:v>88955-000</x:v>
      </x:c>
      <x:c r="I39" s="32" t="str">
        <x:v> +55 48 3583-0315</x:v>
      </x:c>
      <x:c r="J39" s="32" t="n">
        <x:v>0</x:v>
      </x:c>
      <x:c r="K39" s="32" t="n">
        <x:v>0</x:v>
      </x:c>
      <x:c r="L39" s="32" t="n">
        <x:v>0</x:v>
      </x:c>
      <x:c r="M39" s="32" t="n">
        <x:v>0</x:v>
      </x:c>
      <x:c r="N39" s="32" t="n">
        <x:v>0</x:v>
      </x:c>
      <x:c r="O39" s="32" t="str">
        <x:v>1 de setembro de 2026 - 14 de outubro de 2026</x:v>
      </x:c>
      <x:c r="P39" s="32" t="str">
        <x:v>F085</x:v>
      </x:c>
    </x:row>
    <x:row r="40" ht="24" customHeight="1">
      <x:c r="A40" s="32" t="str">
        <x:v>C07</x:v>
      </x:c>
      <x:c r="B40" s="33" t="str">
        <x:v>[TRON] - YouTube 03 -  VT 5 Seg - {Reg SC} - 07/10</x:v>
      </x:c>
      <x:c r="C40" s="33" t="str">
        <x:v>Supermercado Cooperja - Três Cachoeiras</x:v>
      </x:c>
      <x:c r="D40" s="32" t="str">
        <x:v>Três Cachoeiras</x:v>
      </x:c>
      <x:c r="E40" s="32" t="str">
        <x:v>Rio Grande do Sul</x:v>
      </x:c>
      <x:c r="F40" s="33" t="str">
        <x:v>Av. Inácio José Schaefer</x:v>
      </x:c>
      <x:c r="G40" s="33" t="str">
        <x:v> --</x:v>
      </x:c>
      <x:c r="H40" s="32" t="str">
        <x:v>95580-000</x:v>
      </x:c>
      <x:c r="I40" s="32" t="str">
        <x:v> +55 51 99676-4364</x:v>
      </x:c>
      <x:c r="J40" s="32" t="n">
        <x:v>0</x:v>
      </x:c>
      <x:c r="K40" s="32" t="n">
        <x:v>0</x:v>
      </x:c>
      <x:c r="L40" s="32" t="n">
        <x:v>0</x:v>
      </x:c>
      <x:c r="M40" s="32" t="n">
        <x:v>0</x:v>
      </x:c>
      <x:c r="N40" s="32" t="n">
        <x:v>0</x:v>
      </x:c>
      <x:c r="O40" s="32" t="str">
        <x:v>1 de setembro de 2026 - 14 de outubro de 2026</x:v>
      </x:c>
      <x:c r="P40" s="32" t="str">
        <x:v>F085</x:v>
      </x:c>
    </x:row>
    <x:row r="41" ht="24" customHeight="1">
      <x:c r="A41" s="32" t="str">
        <x:v>C07</x:v>
      </x:c>
      <x:c r="B41" s="33" t="str">
        <x:v>[TRON] - YouTube 03 -  VT 5 Seg - {Reg SC} - 07/10</x:v>
      </x:c>
      <x:c r="C41" s="33" t="str">
        <x:v>Supermercado Cooperja</x:v>
      </x:c>
      <x:c r="D41" s="32" t="str">
        <x:v>Praia Grande</x:v>
      </x:c>
      <x:c r="E41" s="32" t="str">
        <x:v>Santa Catarina</x:v>
      </x:c>
      <x:c r="F41" s="33" t="str">
        <x:v>R. Padre Humberto Oening, 471</x:v>
      </x:c>
      <x:c r="G41" s="33" t="str">
        <x:v> --</x:v>
      </x:c>
      <x:c r="H41" s="32" t="str">
        <x:v>88990-000</x:v>
      </x:c>
      <x:c r="I41" s="32" t="str">
        <x:v> +55 48 3532-6000</x:v>
      </x:c>
      <x:c r="J41" s="32" t="n">
        <x:v>0</x:v>
      </x:c>
      <x:c r="K41" s="32" t="n">
        <x:v>0</x:v>
      </x:c>
      <x:c r="L41" s="32" t="n">
        <x:v>0</x:v>
      </x:c>
      <x:c r="M41" s="32" t="n">
        <x:v>0</x:v>
      </x:c>
      <x:c r="N41" s="32" t="n">
        <x:v>0</x:v>
      </x:c>
      <x:c r="O41" s="32" t="str">
        <x:v>1 de setembro de 2026 - 14 de outubro de 2026</x:v>
      </x:c>
      <x:c r="P41" s="32" t="str">
        <x:v>F085</x:v>
      </x:c>
    </x:row>
    <x:row r="42" ht="24" customHeight="1">
      <x:c r="A42" s="32" t="str">
        <x:v>C08</x:v>
      </x:c>
      <x:c r="B42" s="33" t="str">
        <x:v>[TRON] - YouTube 04 -  VT 5 Seg - {Reg SC} - 07/10</x:v>
      </x:c>
      <x:c r="C42" s="33" t="str">
        <x:v>Supermercado Cooperja - Balneário Gaivota</x:v>
      </x:c>
      <x:c r="D42" s="32" t="str">
        <x:v>Balneário Gaivota</x:v>
      </x:c>
      <x:c r="E42" s="32" t="str">
        <x:v>Santa Catarina</x:v>
      </x:c>
      <x:c r="F42" s="33" t="str">
        <x:v>Av. Santa Catarina</x:v>
      </x:c>
      <x:c r="G42" s="33" t="str">
        <x:v> --</x:v>
      </x:c>
      <x:c r="H42" s="32" t="str">
        <x:v>88955-000</x:v>
      </x:c>
      <x:c r="I42" s="32" t="str">
        <x:v> +55 48 3583-0315</x:v>
      </x:c>
      <x:c r="J42" s="32" t="n">
        <x:v>0</x:v>
      </x:c>
      <x:c r="K42" s="32" t="n">
        <x:v>0</x:v>
      </x:c>
      <x:c r="L42" s="32" t="n">
        <x:v>0</x:v>
      </x:c>
      <x:c r="M42" s="32" t="n">
        <x:v>0</x:v>
      </x:c>
      <x:c r="N42" s="32" t="n">
        <x:v>0</x:v>
      </x:c>
      <x:c r="O42" s="32" t="str">
        <x:v>1 de setembro de 2026 - 14 de outubro de 2026</x:v>
      </x:c>
      <x:c r="P42" s="32" t="str">
        <x:v>F099</x:v>
      </x:c>
    </x:row>
    <x:row r="43" ht="24" customHeight="1">
      <x:c r="A43" s="32" t="str">
        <x:v>C08</x:v>
      </x:c>
      <x:c r="B43" s="33" t="str">
        <x:v>[TRON] - YouTube 04 -  VT 5 Seg - {Reg SC} - 07/10</x:v>
      </x:c>
      <x:c r="C43" s="33" t="str">
        <x:v>Supermercado Cooperja - Santa Rosa do Sul</x:v>
      </x:c>
      <x:c r="D43" s="32" t="str">
        <x:v>Santa Rosa do Sul</x:v>
      </x:c>
      <x:c r="E43" s="32" t="str">
        <x:v>Santa Catarina</x:v>
      </x:c>
      <x:c r="F43" s="33" t="str">
        <x:v>Rua Manoel Idalino Pereira, 505 - Quadra 70</x:v>
      </x:c>
      <x:c r="G43" s="33" t="str">
        <x:v> --</x:v>
      </x:c>
      <x:c r="H43" s="32" t="str">
        <x:v>88965-000</x:v>
      </x:c>
      <x:c r="I43" s="32" t="str">
        <x:v> +55 48 3534-1202</x:v>
      </x:c>
      <x:c r="J43" s="32" t="n">
        <x:v>0</x:v>
      </x:c>
      <x:c r="K43" s="32" t="n">
        <x:v>0</x:v>
      </x:c>
      <x:c r="L43" s="32" t="n">
        <x:v>0</x:v>
      </x:c>
      <x:c r="M43" s="32" t="n">
        <x:v>0</x:v>
      </x:c>
      <x:c r="N43" s="32" t="n">
        <x:v>0</x:v>
      </x:c>
      <x:c r="O43" s="32" t="str">
        <x:v>1 de setembro de 2026 - 14 de outubro de 2026</x:v>
      </x:c>
      <x:c r="P43" s="32" t="str">
        <x:v>F099</x:v>
      </x:c>
    </x:row>
    <x:row r="44" ht="24" customHeight="1">
      <x:c r="A44" s="32" t="str">
        <x:v>C08</x:v>
      </x:c>
      <x:c r="B44" s="33" t="str">
        <x:v>[TRON] - YouTube 04 -  VT 5 Seg - {Reg SC} - 07/10</x:v>
      </x:c>
      <x:c r="C44" s="33" t="str">
        <x:v>Centro de Distribuição Cooperja - Supermercados</x:v>
      </x:c>
      <x:c r="D44" s="32" t="str">
        <x:v>Jacinto Machado</x:v>
      </x:c>
      <x:c r="E44" s="32" t="str">
        <x:v>Santa Catarina</x:v>
      </x:c>
      <x:c r="F44" s="33" t="str">
        <x:v>Rua Dr. Nereu Ramos</x:v>
      </x:c>
      <x:c r="G44" s="33" t="str">
        <x:v>Rod. José Tiscoski, 1162</x:v>
      </x:c>
      <x:c r="H44" s="32" t="str">
        <x:v>88950-000</x:v>
      </x:c>
      <x:c r="I44" s="32" t="str">
        <x:v> +55 48 3535-1074</x:v>
      </x:c>
      <x:c r="J44" s="32" t="n">
        <x:v>8</x:v>
      </x:c>
      <x:c r="K44" s="32" t="n">
        <x:v>0</x:v>
      </x:c>
      <x:c r="L44" s="32" t="n">
        <x:v>0</x:v>
      </x:c>
      <x:c r="M44" s="32" t="n">
        <x:v>0</x:v>
      </x:c>
      <x:c r="N44" s="32" t="n">
        <x:v>0</x:v>
      </x:c>
      <x:c r="O44" s="32" t="str">
        <x:v>1 de setembro de 2026 - 14 de outubro de 2026</x:v>
      </x:c>
      <x:c r="P44" s="32" t="str">
        <x:v>F099</x:v>
      </x:c>
    </x:row>
    <x:row r="45" ht="24" customHeight="1">
      <x:c r="A45" s="32" t="str">
        <x:v>C08</x:v>
      </x:c>
      <x:c r="B45" s="33" t="str">
        <x:v>[TRON] - YouTube 04 -  VT 5 Seg - {Reg SC} - 07/10</x:v>
      </x:c>
      <x:c r="C45" s="33" t="str">
        <x:v>Supermercado Cooperja - Três Cachoeiras</x:v>
      </x:c>
      <x:c r="D45" s="32" t="str">
        <x:v>Três Cachoeiras</x:v>
      </x:c>
      <x:c r="E45" s="32" t="str">
        <x:v>Rio Grande do Sul</x:v>
      </x:c>
      <x:c r="F45" s="33" t="str">
        <x:v>Av. Inácio José Schaefer</x:v>
      </x:c>
      <x:c r="G45" s="33" t="str">
        <x:v> --</x:v>
      </x:c>
      <x:c r="H45" s="32" t="str">
        <x:v>95580-000</x:v>
      </x:c>
      <x:c r="I45" s="32" t="str">
        <x:v> +55 51 99676-4364</x:v>
      </x:c>
      <x:c r="J45" s="32" t="n">
        <x:v>0</x:v>
      </x:c>
      <x:c r="K45" s="32" t="n">
        <x:v>0</x:v>
      </x:c>
      <x:c r="L45" s="32" t="n">
        <x:v>0</x:v>
      </x:c>
      <x:c r="M45" s="32" t="n">
        <x:v>0</x:v>
      </x:c>
      <x:c r="N45" s="32" t="n">
        <x:v>0</x:v>
      </x:c>
      <x:c r="O45" s="32" t="str">
        <x:v>1 de setembro de 2026 - 14 de outubro de 2026</x:v>
      </x:c>
      <x:c r="P45" s="32" t="str">
        <x:v>F099</x:v>
      </x:c>
    </x:row>
    <x:row r="46" ht="24" customHeight="1">
      <x:c r="A46" s="32" t="str">
        <x:v>C08</x:v>
      </x:c>
      <x:c r="B46" s="33" t="str">
        <x:v>[TRON] - YouTube 04 -  VT 5 Seg - {Reg SC} - 07/10</x:v>
      </x:c>
      <x:c r="C46" s="33" t="str">
        <x:v>Supermercado Cooperja</x:v>
      </x:c>
      <x:c r="D46" s="32" t="str">
        <x:v>Jacinto Machado</x:v>
      </x:c>
      <x:c r="E46" s="32" t="str">
        <x:v>Santa Catarina</x:v>
      </x:c>
      <x:c r="F46" s="33" t="str">
        <x:v>Avenida Padre Herval Fontanella, 1369</x:v>
      </x:c>
      <x:c r="G46" s="33" t="str">
        <x:v> --</x:v>
      </x:c>
      <x:c r="H46" s="32" t="str">
        <x:v>88950-000</x:v>
      </x:c>
      <x:c r="I46" s="32" t="str">
        <x:v> +55 48 3535-6000</x:v>
      </x:c>
      <x:c r="J46" s="32" t="n">
        <x:v>0</x:v>
      </x:c>
      <x:c r="K46" s="32" t="n">
        <x:v>0</x:v>
      </x:c>
      <x:c r="L46" s="32" t="n">
        <x:v>0</x:v>
      </x:c>
      <x:c r="M46" s="32" t="n">
        <x:v>0</x:v>
      </x:c>
      <x:c r="N46" s="32" t="n">
        <x:v>0</x:v>
      </x:c>
      <x:c r="O46" s="32" t="str">
        <x:v>1 de setembro de 2026 - 14 de outubro de 2026</x:v>
      </x:c>
      <x:c r="P46" s="32" t="str">
        <x:v>F099</x:v>
      </x:c>
    </x:row>
    <x:row r="47" ht="24" customHeight="1">
      <x:c r="A47" s="32" t="str">
        <x:v>C08</x:v>
      </x:c>
      <x:c r="B47" s="33" t="str">
        <x:v>[TRON] - YouTube 04 -  VT 5 Seg - {Reg SC} - 07/10</x:v>
      </x:c>
      <x:c r="C47" s="33" t="str">
        <x:v>Supermercado Cooperja</x:v>
      </x:c>
      <x:c r="D47" s="32" t="str">
        <x:v>Praia Grande</x:v>
      </x:c>
      <x:c r="E47" s="32" t="str">
        <x:v>Santa Catarina</x:v>
      </x:c>
      <x:c r="F47" s="33" t="str">
        <x:v>R. Padre Humberto Oening, 471</x:v>
      </x:c>
      <x:c r="G47" s="33" t="str">
        <x:v> --</x:v>
      </x:c>
      <x:c r="H47" s="32" t="str">
        <x:v>88990-000</x:v>
      </x:c>
      <x:c r="I47" s="32" t="str">
        <x:v> +55 48 3532-6000</x:v>
      </x:c>
      <x:c r="J47" s="32" t="n">
        <x:v>0</x:v>
      </x:c>
      <x:c r="K47" s="32" t="n">
        <x:v>0</x:v>
      </x:c>
      <x:c r="L47" s="32" t="n">
        <x:v>0</x:v>
      </x:c>
      <x:c r="M47" s="32" t="n">
        <x:v>0</x:v>
      </x:c>
      <x:c r="N47" s="32" t="n">
        <x:v>0</x:v>
      </x:c>
      <x:c r="O47" s="32" t="str">
        <x:v>1 de setembro de 2026 - 14 de outubro de 2026</x:v>
      </x:c>
      <x:c r="P47" s="32" t="str">
        <x:v>F099</x:v>
      </x:c>
    </x:row>
  </x:sheetData>
  <x:pageMargins left="0.7" right="0.7" top="0.75" bottom="0.75" header="0.3" footer="0.3"/>
  <x:tableParts count="1">
    <x:tablePart xmlns:r="http://schemas.openxmlformats.org/officeDocument/2006/relationships" r:id="R95cc3579267a410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6" hidden="0" customWidth="1"/>
    <x:col min="3" max="3" width="15" hidden="0" customWidth="1"/>
    <x:col min="4" max="4" width="18" hidden="0" customWidth="1"/>
    <x:col min="5" max="5" width="24" hidden="0" customWidth="1"/>
    <x:col min="6" max="6" width="20" hidden="0" customWidth="1"/>
    <x:col min="7" max="7" width="19" hidden="0" customWidth="1"/>
    <x:col min="8" max="8" width="15" hidden="0" customWidth="1"/>
    <x:col min="9" max="9" width="22" hidden="0" customWidth="1"/>
    <x:col min="10" max="10" width="22" hidden="0" customWidth="1"/>
    <x:col min="11" max="11" width="20" hidden="0" customWidth="1"/>
    <x:col min="12" max="12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Resultados diários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01/07 a 13/10/2026. Dias sem exportação permanecem vazios. Shorts contém percentual, não contagem.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8" t="str">
        <x:v>ID</x:v>
      </x:c>
      <x:c r="B5" s="8" t="str">
        <x:v>Campanha</x:v>
      </x:c>
      <x:c r="C5" s="8" t="str">
        <x:v>Data</x:v>
      </x:c>
      <x:c r="D5" s="8" t="str">
        <x:v>Impressões</x:v>
      </x:c>
      <x:c r="E5" s="8" t="str">
        <x:v>Vis. públicas YouTube</x:v>
      </x:c>
      <x:c r="F5" s="8" t="str">
        <x:v>TrueView diário</x:v>
      </x:c>
      <x:c r="G5" s="8" t="str">
        <x:v>Custo BRL</x:v>
      </x:c>
      <x:c r="H5" s="8" t="str">
        <x:v>Cliques</x:v>
      </x:c>
      <x:c r="I5" s="8" t="str">
        <x:v>Conversões diárias</x:v>
      </x:c>
      <x:c r="J5" s="8" t="str">
        <x:v>Shorts (percentual)</x:v>
      </x:c>
      <x:c r="K5" s="8" t="str">
        <x:v>Cobertura</x:v>
      </x:c>
      <x:c r="L5" s="8" t="str">
        <x:v>Fontes</x:v>
      </x:c>
    </x:row>
    <x:row r="6" ht="24" customHeight="1">
      <x:c r="A6" s="9" t="str">
        <x:v>C01</x:v>
      </x:c>
      <x:c r="B6" s="9" t="str">
        <x:v>YT - Arrozes especiais Bahia 01</x:v>
      </x:c>
      <x:c r="C6" s="10" t="d">
        <x:v>2026-07-01T12:00:00.000Z</x:v>
      </x:c>
      <x:c r="D6" s="11" t="n">
        <x:v>0</x:v>
      </x:c>
      <x:c r="E6" s="11" t="n">
        <x:v>0</x:v>
      </x:c>
      <x:c r="F6" s="11"/>
      <x:c r="G6" s="12" t="n">
        <x:v>0</x:v>
      </x:c>
      <x:c r="H6" s="9" t="n">
        <x:v>0</x:v>
      </x:c>
      <x:c r="I6" s="9"/>
      <x:c r="J6" s="13"/>
      <x:c r="K6" s="9" t="str">
        <x:v>Exportado</x:v>
      </x:c>
      <x:c r="L6" s="9" t="str">
        <x:v>F001, F002, F003</x:v>
      </x:c>
    </x:row>
    <x:row r="7" ht="24" customHeight="1">
      <x:c r="A7" s="9" t="str">
        <x:v>C01</x:v>
      </x:c>
      <x:c r="B7" s="9" t="str">
        <x:v>YT - Arrozes especiais Bahia 01</x:v>
      </x:c>
      <x:c r="C7" s="10" t="d">
        <x:v>2026-07-02T12:00:00.000Z</x:v>
      </x:c>
      <x:c r="D7" s="11" t="n">
        <x:v>0</x:v>
      </x:c>
      <x:c r="E7" s="11" t="n">
        <x:v>0</x:v>
      </x:c>
      <x:c r="F7" s="11"/>
      <x:c r="G7" s="12" t="n">
        <x:v>0</x:v>
      </x:c>
      <x:c r="H7" s="9" t="n">
        <x:v>0</x:v>
      </x:c>
      <x:c r="I7" s="9"/>
      <x:c r="J7" s="13"/>
      <x:c r="K7" s="9" t="str">
        <x:v>Exportado</x:v>
      </x:c>
      <x:c r="L7" s="9" t="str">
        <x:v>F001, F002, F003</x:v>
      </x:c>
    </x:row>
    <x:row r="8" ht="24" customHeight="1">
      <x:c r="A8" s="9" t="str">
        <x:v>C01</x:v>
      </x:c>
      <x:c r="B8" s="9" t="str">
        <x:v>YT - Arrozes especiais Bahia 01</x:v>
      </x:c>
      <x:c r="C8" s="10" t="d">
        <x:v>2026-07-03T12:00:00.000Z</x:v>
      </x:c>
      <x:c r="D8" s="11" t="n">
        <x:v>0</x:v>
      </x:c>
      <x:c r="E8" s="11" t="n">
        <x:v>0</x:v>
      </x:c>
      <x:c r="F8" s="11"/>
      <x:c r="G8" s="12" t="n">
        <x:v>0</x:v>
      </x:c>
      <x:c r="H8" s="9" t="n">
        <x:v>0</x:v>
      </x:c>
      <x:c r="I8" s="9"/>
      <x:c r="J8" s="13"/>
      <x:c r="K8" s="9" t="str">
        <x:v>Exportado</x:v>
      </x:c>
      <x:c r="L8" s="9" t="str">
        <x:v>F001, F002, F003</x:v>
      </x:c>
    </x:row>
    <x:row r="9" ht="24" customHeight="1">
      <x:c r="A9" s="9" t="str">
        <x:v>C01</x:v>
      </x:c>
      <x:c r="B9" s="9" t="str">
        <x:v>YT - Arrozes especiais Bahia 01</x:v>
      </x:c>
      <x:c r="C9" s="10" t="d">
        <x:v>2026-07-04T12:00:00.000Z</x:v>
      </x:c>
      <x:c r="D9" s="11" t="n">
        <x:v>0</x:v>
      </x:c>
      <x:c r="E9" s="11" t="n">
        <x:v>0</x:v>
      </x:c>
      <x:c r="F9" s="11"/>
      <x:c r="G9" s="12" t="n">
        <x:v>0</x:v>
      </x:c>
      <x:c r="H9" s="9" t="n">
        <x:v>0</x:v>
      </x:c>
      <x:c r="I9" s="9"/>
      <x:c r="J9" s="13"/>
      <x:c r="K9" s="9" t="str">
        <x:v>Exportado</x:v>
      </x:c>
      <x:c r="L9" s="9" t="str">
        <x:v>F001, F002, F003</x:v>
      </x:c>
    </x:row>
    <x:row r="10" ht="24" customHeight="1">
      <x:c r="A10" s="9" t="str">
        <x:v>C01</x:v>
      </x:c>
      <x:c r="B10" s="9" t="str">
        <x:v>YT - Arrozes especiais Bahia 01</x:v>
      </x:c>
      <x:c r="C10" s="10" t="d">
        <x:v>2026-07-05T12:00:00.000Z</x:v>
      </x:c>
      <x:c r="D10" s="11" t="n">
        <x:v>0</x:v>
      </x:c>
      <x:c r="E10" s="11" t="n">
        <x:v>0</x:v>
      </x:c>
      <x:c r="F10" s="11"/>
      <x:c r="G10" s="12" t="n">
        <x:v>0</x:v>
      </x:c>
      <x:c r="H10" s="9" t="n">
        <x:v>0</x:v>
      </x:c>
      <x:c r="I10" s="9"/>
      <x:c r="J10" s="13"/>
      <x:c r="K10" s="9" t="str">
        <x:v>Exportado</x:v>
      </x:c>
      <x:c r="L10" s="9" t="str">
        <x:v>F001, F002, F003</x:v>
      </x:c>
    </x:row>
    <x:row r="11" ht="24" customHeight="1">
      <x:c r="A11" s="9" t="str">
        <x:v>C01</x:v>
      </x:c>
      <x:c r="B11" s="9" t="str">
        <x:v>YT - Arrozes especiais Bahia 01</x:v>
      </x:c>
      <x:c r="C11" s="10" t="d">
        <x:v>2026-07-06T12:00:00.000Z</x:v>
      </x:c>
      <x:c r="D11" s="11" t="n">
        <x:v>0</x:v>
      </x:c>
      <x:c r="E11" s="11" t="n">
        <x:v>0</x:v>
      </x:c>
      <x:c r="F11" s="11"/>
      <x:c r="G11" s="12" t="n">
        <x:v>0</x:v>
      </x:c>
      <x:c r="H11" s="9" t="n">
        <x:v>0</x:v>
      </x:c>
      <x:c r="I11" s="9"/>
      <x:c r="J11" s="13"/>
      <x:c r="K11" s="9" t="str">
        <x:v>Exportado</x:v>
      </x:c>
      <x:c r="L11" s="9" t="str">
        <x:v>F001, F002, F003</x:v>
      </x:c>
    </x:row>
    <x:row r="12" ht="24" customHeight="1">
      <x:c r="A12" s="9" t="str">
        <x:v>C01</x:v>
      </x:c>
      <x:c r="B12" s="9" t="str">
        <x:v>YT - Arrozes especiais Bahia 01</x:v>
      </x:c>
      <x:c r="C12" s="10" t="d">
        <x:v>2026-07-07T12:00:00.000Z</x:v>
      </x:c>
      <x:c r="D12" s="11" t="n">
        <x:v>0</x:v>
      </x:c>
      <x:c r="E12" s="11" t="n">
        <x:v>0</x:v>
      </x:c>
      <x:c r="F12" s="11"/>
      <x:c r="G12" s="12" t="n">
        <x:v>0</x:v>
      </x:c>
      <x:c r="H12" s="9" t="n">
        <x:v>0</x:v>
      </x:c>
      <x:c r="I12" s="9"/>
      <x:c r="J12" s="13"/>
      <x:c r="K12" s="9" t="str">
        <x:v>Exportado</x:v>
      </x:c>
      <x:c r="L12" s="9" t="str">
        <x:v>F001, F002, F003</x:v>
      </x:c>
    </x:row>
    <x:row r="13" ht="24" customHeight="1">
      <x:c r="A13" s="9" t="str">
        <x:v>C01</x:v>
      </x:c>
      <x:c r="B13" s="9" t="str">
        <x:v>YT - Arrozes especiais Bahia 01</x:v>
      </x:c>
      <x:c r="C13" s="10" t="d">
        <x:v>2026-07-08T12:00:00.000Z</x:v>
      </x:c>
      <x:c r="D13" s="11" t="n">
        <x:v>0</x:v>
      </x:c>
      <x:c r="E13" s="11" t="n">
        <x:v>0</x:v>
      </x:c>
      <x:c r="F13" s="11"/>
      <x:c r="G13" s="12" t="n">
        <x:v>0</x:v>
      </x:c>
      <x:c r="H13" s="9" t="n">
        <x:v>0</x:v>
      </x:c>
      <x:c r="I13" s="9"/>
      <x:c r="J13" s="13"/>
      <x:c r="K13" s="9" t="str">
        <x:v>Exportado</x:v>
      </x:c>
      <x:c r="L13" s="9" t="str">
        <x:v>F001, F002, F003</x:v>
      </x:c>
    </x:row>
    <x:row r="14" ht="24" customHeight="1">
      <x:c r="A14" s="9" t="str">
        <x:v>C01</x:v>
      </x:c>
      <x:c r="B14" s="9" t="str">
        <x:v>YT - Arrozes especiais Bahia 01</x:v>
      </x:c>
      <x:c r="C14" s="10" t="d">
        <x:v>2026-07-09T12:00:00.000Z</x:v>
      </x:c>
      <x:c r="D14" s="11" t="n">
        <x:v>0</x:v>
      </x:c>
      <x:c r="E14" s="11" t="n">
        <x:v>0</x:v>
      </x:c>
      <x:c r="F14" s="11"/>
      <x:c r="G14" s="12" t="n">
        <x:v>0</x:v>
      </x:c>
      <x:c r="H14" s="9" t="n">
        <x:v>0</x:v>
      </x:c>
      <x:c r="I14" s="9"/>
      <x:c r="J14" s="13"/>
      <x:c r="K14" s="9" t="str">
        <x:v>Exportado</x:v>
      </x:c>
      <x:c r="L14" s="9" t="str">
        <x:v>F001, F002, F003</x:v>
      </x:c>
    </x:row>
    <x:row r="15" ht="24" customHeight="1">
      <x:c r="A15" s="9" t="str">
        <x:v>C01</x:v>
      </x:c>
      <x:c r="B15" s="9" t="str">
        <x:v>YT - Arrozes especiais Bahia 01</x:v>
      </x:c>
      <x:c r="C15" s="10" t="d">
        <x:v>2026-07-10T12:00:00.000Z</x:v>
      </x:c>
      <x:c r="D15" s="11" t="n">
        <x:v>0</x:v>
      </x:c>
      <x:c r="E15" s="11" t="n">
        <x:v>0</x:v>
      </x:c>
      <x:c r="F15" s="11"/>
      <x:c r="G15" s="12" t="n">
        <x:v>0</x:v>
      </x:c>
      <x:c r="H15" s="9" t="n">
        <x:v>0</x:v>
      </x:c>
      <x:c r="I15" s="9"/>
      <x:c r="J15" s="13"/>
      <x:c r="K15" s="9" t="str">
        <x:v>Exportado</x:v>
      </x:c>
      <x:c r="L15" s="9" t="str">
        <x:v>F001, F002, F003</x:v>
      </x:c>
    </x:row>
    <x:row r="16" ht="24" customHeight="1">
      <x:c r="A16" s="9" t="str">
        <x:v>C01</x:v>
      </x:c>
      <x:c r="B16" s="9" t="str">
        <x:v>YT - Arrozes especiais Bahia 01</x:v>
      </x:c>
      <x:c r="C16" s="10" t="d">
        <x:v>2026-07-11T12:00:00.000Z</x:v>
      </x:c>
      <x:c r="D16" s="11" t="n">
        <x:v>0</x:v>
      </x:c>
      <x:c r="E16" s="11" t="n">
        <x:v>0</x:v>
      </x:c>
      <x:c r="F16" s="11"/>
      <x:c r="G16" s="12" t="n">
        <x:v>0</x:v>
      </x:c>
      <x:c r="H16" s="9" t="n">
        <x:v>0</x:v>
      </x:c>
      <x:c r="I16" s="9"/>
      <x:c r="J16" s="13"/>
      <x:c r="K16" s="9" t="str">
        <x:v>Exportado</x:v>
      </x:c>
      <x:c r="L16" s="9" t="str">
        <x:v>F001, F002, F003</x:v>
      </x:c>
    </x:row>
    <x:row r="17" ht="24" customHeight="1">
      <x:c r="A17" s="9" t="str">
        <x:v>C01</x:v>
      </x:c>
      <x:c r="B17" s="9" t="str">
        <x:v>YT - Arrozes especiais Bahia 01</x:v>
      </x:c>
      <x:c r="C17" s="10" t="d">
        <x:v>2026-07-12T12:00:00.000Z</x:v>
      </x:c>
      <x:c r="D17" s="11" t="n">
        <x:v>0</x:v>
      </x:c>
      <x:c r="E17" s="11" t="n">
        <x:v>0</x:v>
      </x:c>
      <x:c r="F17" s="11"/>
      <x:c r="G17" s="12" t="n">
        <x:v>0</x:v>
      </x:c>
      <x:c r="H17" s="9" t="n">
        <x:v>0</x:v>
      </x:c>
      <x:c r="I17" s="9"/>
      <x:c r="J17" s="13"/>
      <x:c r="K17" s="9" t="str">
        <x:v>Exportado</x:v>
      </x:c>
      <x:c r="L17" s="9" t="str">
        <x:v>F001, F002, F003</x:v>
      </x:c>
    </x:row>
    <x:row r="18" ht="24" customHeight="1">
      <x:c r="A18" s="9" t="str">
        <x:v>C01</x:v>
      </x:c>
      <x:c r="B18" s="9" t="str">
        <x:v>YT - Arrozes especiais Bahia 01</x:v>
      </x:c>
      <x:c r="C18" s="10" t="d">
        <x:v>2026-07-13T12:00:00.000Z</x:v>
      </x:c>
      <x:c r="D18" s="11" t="n">
        <x:v>0</x:v>
      </x:c>
      <x:c r="E18" s="11" t="n">
        <x:v>0</x:v>
      </x:c>
      <x:c r="F18" s="11"/>
      <x:c r="G18" s="12" t="n">
        <x:v>0</x:v>
      </x:c>
      <x:c r="H18" s="9" t="n">
        <x:v>0</x:v>
      </x:c>
      <x:c r="I18" s="9"/>
      <x:c r="J18" s="13"/>
      <x:c r="K18" s="9" t="str">
        <x:v>Exportado</x:v>
      </x:c>
      <x:c r="L18" s="9" t="str">
        <x:v>F001, F002, F003</x:v>
      </x:c>
    </x:row>
    <x:row r="19" ht="24" customHeight="1">
      <x:c r="A19" s="9" t="str">
        <x:v>C01</x:v>
      </x:c>
      <x:c r="B19" s="9" t="str">
        <x:v>YT - Arrozes especiais Bahia 01</x:v>
      </x:c>
      <x:c r="C19" s="10" t="d">
        <x:v>2026-07-14T12:00:00.000Z</x:v>
      </x:c>
      <x:c r="D19" s="11" t="n">
        <x:v>0</x:v>
      </x:c>
      <x:c r="E19" s="11" t="n">
        <x:v>0</x:v>
      </x:c>
      <x:c r="F19" s="11"/>
      <x:c r="G19" s="12" t="n">
        <x:v>0</x:v>
      </x:c>
      <x:c r="H19" s="9" t="n">
        <x:v>0</x:v>
      </x:c>
      <x:c r="I19" s="9"/>
      <x:c r="J19" s="13"/>
      <x:c r="K19" s="9" t="str">
        <x:v>Exportado</x:v>
      </x:c>
      <x:c r="L19" s="9" t="str">
        <x:v>F001, F002, F003</x:v>
      </x:c>
    </x:row>
    <x:row r="20" ht="24" customHeight="1">
      <x:c r="A20" s="9" t="str">
        <x:v>C01</x:v>
      </x:c>
      <x:c r="B20" s="9" t="str">
        <x:v>YT - Arrozes especiais Bahia 01</x:v>
      </x:c>
      <x:c r="C20" s="10" t="d">
        <x:v>2026-07-15T12:00:00.000Z</x:v>
      </x:c>
      <x:c r="D20" s="11" t="n">
        <x:v>0</x:v>
      </x:c>
      <x:c r="E20" s="11" t="n">
        <x:v>0</x:v>
      </x:c>
      <x:c r="F20" s="11"/>
      <x:c r="G20" s="12" t="n">
        <x:v>0</x:v>
      </x:c>
      <x:c r="H20" s="9" t="n">
        <x:v>0</x:v>
      </x:c>
      <x:c r="I20" s="9"/>
      <x:c r="J20" s="13"/>
      <x:c r="K20" s="9" t="str">
        <x:v>Exportado</x:v>
      </x:c>
      <x:c r="L20" s="9" t="str">
        <x:v>F001, F002, F003</x:v>
      </x:c>
    </x:row>
    <x:row r="21" ht="24" customHeight="1">
      <x:c r="A21" s="9" t="str">
        <x:v>C01</x:v>
      </x:c>
      <x:c r="B21" s="9" t="str">
        <x:v>YT - Arrozes especiais Bahia 01</x:v>
      </x:c>
      <x:c r="C21" s="10" t="d">
        <x:v>2026-07-16T12:00:00.000Z</x:v>
      </x:c>
      <x:c r="D21" s="11" t="n">
        <x:v>0</x:v>
      </x:c>
      <x:c r="E21" s="11" t="n">
        <x:v>0</x:v>
      </x:c>
      <x:c r="F21" s="11"/>
      <x:c r="G21" s="12" t="n">
        <x:v>0</x:v>
      </x:c>
      <x:c r="H21" s="9" t="n">
        <x:v>0</x:v>
      </x:c>
      <x:c r="I21" s="9"/>
      <x:c r="J21" s="13"/>
      <x:c r="K21" s="9" t="str">
        <x:v>Exportado</x:v>
      </x:c>
      <x:c r="L21" s="9" t="str">
        <x:v>F001, F002, F003</x:v>
      </x:c>
    </x:row>
    <x:row r="22" ht="24" customHeight="1">
      <x:c r="A22" s="9" t="str">
        <x:v>C01</x:v>
      </x:c>
      <x:c r="B22" s="9" t="str">
        <x:v>YT - Arrozes especiais Bahia 01</x:v>
      </x:c>
      <x:c r="C22" s="10" t="d">
        <x:v>2026-07-17T12:00:00.000Z</x:v>
      </x:c>
      <x:c r="D22" s="11" t="n">
        <x:v>0</x:v>
      </x:c>
      <x:c r="E22" s="11" t="n">
        <x:v>0</x:v>
      </x:c>
      <x:c r="F22" s="11"/>
      <x:c r="G22" s="12" t="n">
        <x:v>0</x:v>
      </x:c>
      <x:c r="H22" s="9" t="n">
        <x:v>0</x:v>
      </x:c>
      <x:c r="I22" s="9"/>
      <x:c r="J22" s="13"/>
      <x:c r="K22" s="9" t="str">
        <x:v>Exportado</x:v>
      </x:c>
      <x:c r="L22" s="9" t="str">
        <x:v>F001, F002, F003</x:v>
      </x:c>
    </x:row>
    <x:row r="23" ht="24" customHeight="1">
      <x:c r="A23" s="9" t="str">
        <x:v>C01</x:v>
      </x:c>
      <x:c r="B23" s="9" t="str">
        <x:v>YT - Arrozes especiais Bahia 01</x:v>
      </x:c>
      <x:c r="C23" s="10" t="d">
        <x:v>2026-07-18T12:00:00.000Z</x:v>
      </x:c>
      <x:c r="D23" s="11" t="n">
        <x:v>0</x:v>
      </x:c>
      <x:c r="E23" s="11" t="n">
        <x:v>0</x:v>
      </x:c>
      <x:c r="F23" s="11"/>
      <x:c r="G23" s="12" t="n">
        <x:v>0</x:v>
      </x:c>
      <x:c r="H23" s="9" t="n">
        <x:v>0</x:v>
      </x:c>
      <x:c r="I23" s="9"/>
      <x:c r="J23" s="13"/>
      <x:c r="K23" s="9" t="str">
        <x:v>Exportado</x:v>
      </x:c>
      <x:c r="L23" s="9" t="str">
        <x:v>F001, F002, F003</x:v>
      </x:c>
    </x:row>
    <x:row r="24" ht="24" customHeight="1">
      <x:c r="A24" s="9" t="str">
        <x:v>C01</x:v>
      </x:c>
      <x:c r="B24" s="9" t="str">
        <x:v>YT - Arrozes especiais Bahia 01</x:v>
      </x:c>
      <x:c r="C24" s="10" t="d">
        <x:v>2026-07-19T12:00:00.000Z</x:v>
      </x:c>
      <x:c r="D24" s="11" t="n">
        <x:v>0</x:v>
      </x:c>
      <x:c r="E24" s="11" t="n">
        <x:v>0</x:v>
      </x:c>
      <x:c r="F24" s="11"/>
      <x:c r="G24" s="12" t="n">
        <x:v>0</x:v>
      </x:c>
      <x:c r="H24" s="9" t="n">
        <x:v>0</x:v>
      </x:c>
      <x:c r="I24" s="9"/>
      <x:c r="J24" s="13"/>
      <x:c r="K24" s="9" t="str">
        <x:v>Exportado</x:v>
      </x:c>
      <x:c r="L24" s="9" t="str">
        <x:v>F001, F002, F003</x:v>
      </x:c>
    </x:row>
    <x:row r="25" ht="24" customHeight="1">
      <x:c r="A25" s="9" t="str">
        <x:v>C01</x:v>
      </x:c>
      <x:c r="B25" s="9" t="str">
        <x:v>YT - Arrozes especiais Bahia 01</x:v>
      </x:c>
      <x:c r="C25" s="10" t="d">
        <x:v>2026-07-20T12:00:00.000Z</x:v>
      </x:c>
      <x:c r="D25" s="11" t="n">
        <x:v>0</x:v>
      </x:c>
      <x:c r="E25" s="11" t="n">
        <x:v>0</x:v>
      </x:c>
      <x:c r="F25" s="11"/>
      <x:c r="G25" s="12" t="n">
        <x:v>0</x:v>
      </x:c>
      <x:c r="H25" s="9" t="n">
        <x:v>0</x:v>
      </x:c>
      <x:c r="I25" s="9"/>
      <x:c r="J25" s="13"/>
      <x:c r="K25" s="9" t="str">
        <x:v>Exportado</x:v>
      </x:c>
      <x:c r="L25" s="9" t="str">
        <x:v>F001, F002, F003</x:v>
      </x:c>
    </x:row>
    <x:row r="26" ht="24" customHeight="1">
      <x:c r="A26" s="9" t="str">
        <x:v>C01</x:v>
      </x:c>
      <x:c r="B26" s="9" t="str">
        <x:v>YT - Arrozes especiais Bahia 01</x:v>
      </x:c>
      <x:c r="C26" s="10" t="d">
        <x:v>2026-07-21T12:00:00.000Z</x:v>
      </x:c>
      <x:c r="D26" s="11" t="n">
        <x:v>0</x:v>
      </x:c>
      <x:c r="E26" s="11" t="n">
        <x:v>0</x:v>
      </x:c>
      <x:c r="F26" s="11"/>
      <x:c r="G26" s="12" t="n">
        <x:v>0</x:v>
      </x:c>
      <x:c r="H26" s="9" t="n">
        <x:v>0</x:v>
      </x:c>
      <x:c r="I26" s="9"/>
      <x:c r="J26" s="13"/>
      <x:c r="K26" s="9" t="str">
        <x:v>Exportado</x:v>
      </x:c>
      <x:c r="L26" s="9" t="str">
        <x:v>F001, F002, F003</x:v>
      </x:c>
    </x:row>
    <x:row r="27" ht="24" customHeight="1">
      <x:c r="A27" s="9" t="str">
        <x:v>C01</x:v>
      </x:c>
      <x:c r="B27" s="9" t="str">
        <x:v>YT - Arrozes especiais Bahia 01</x:v>
      </x:c>
      <x:c r="C27" s="10" t="d">
        <x:v>2026-07-22T12:00:00.000Z</x:v>
      </x:c>
      <x:c r="D27" s="11" t="n">
        <x:v>0</x:v>
      </x:c>
      <x:c r="E27" s="11" t="n">
        <x:v>0</x:v>
      </x:c>
      <x:c r="F27" s="11"/>
      <x:c r="G27" s="12" t="n">
        <x:v>0</x:v>
      </x:c>
      <x:c r="H27" s="9" t="n">
        <x:v>0</x:v>
      </x:c>
      <x:c r="I27" s="9"/>
      <x:c r="J27" s="13"/>
      <x:c r="K27" s="9" t="str">
        <x:v>Exportado</x:v>
      </x:c>
      <x:c r="L27" s="9" t="str">
        <x:v>F001, F002, F003</x:v>
      </x:c>
    </x:row>
    <x:row r="28" ht="24" customHeight="1">
      <x:c r="A28" s="9" t="str">
        <x:v>C01</x:v>
      </x:c>
      <x:c r="B28" s="9" t="str">
        <x:v>YT - Arrozes especiais Bahia 01</x:v>
      </x:c>
      <x:c r="C28" s="10" t="d">
        <x:v>2026-07-23T12:00:00.000Z</x:v>
      </x:c>
      <x:c r="D28" s="11" t="n">
        <x:v>1638</x:v>
      </x:c>
      <x:c r="E28" s="11" t="n">
        <x:v>1624</x:v>
      </x:c>
      <x:c r="F28" s="11"/>
      <x:c r="G28" s="12" t="n">
        <x:v>19.98</x:v>
      </x:c>
      <x:c r="H28" s="9" t="n">
        <x:v>0</x:v>
      </x:c>
      <x:c r="I28" s="9"/>
      <x:c r="J28" s="13"/>
      <x:c r="K28" s="9" t="str">
        <x:v>Exportado</x:v>
      </x:c>
      <x:c r="L28" s="9" t="str">
        <x:v>F001, F002, F003</x:v>
      </x:c>
    </x:row>
    <x:row r="29" ht="24" customHeight="1">
      <x:c r="A29" s="9" t="str">
        <x:v>C01</x:v>
      </x:c>
      <x:c r="B29" s="9" t="str">
        <x:v>YT - Arrozes especiais Bahia 01</x:v>
      </x:c>
      <x:c r="C29" s="10" t="d">
        <x:v>2026-07-24T12:00:00.000Z</x:v>
      </x:c>
      <x:c r="D29" s="11" t="n">
        <x:v>2089</x:v>
      </x:c>
      <x:c r="E29" s="11" t="n">
        <x:v>2059</x:v>
      </x:c>
      <x:c r="F29" s="11"/>
      <x:c r="G29" s="12" t="n">
        <x:v>10.83</x:v>
      </x:c>
      <x:c r="H29" s="9" t="n">
        <x:v>0</x:v>
      </x:c>
      <x:c r="I29" s="9"/>
      <x:c r="J29" s="13"/>
      <x:c r="K29" s="9" t="str">
        <x:v>Exportado</x:v>
      </x:c>
      <x:c r="L29" s="9" t="str">
        <x:v>F001, F002, F003</x:v>
      </x:c>
    </x:row>
    <x:row r="30" ht="24" customHeight="1">
      <x:c r="A30" s="9" t="str">
        <x:v>C01</x:v>
      </x:c>
      <x:c r="B30" s="9" t="str">
        <x:v>YT - Arrozes especiais Bahia 01</x:v>
      </x:c>
      <x:c r="C30" s="10" t="d">
        <x:v>2026-07-25T12:00:00.000Z</x:v>
      </x:c>
      <x:c r="D30" s="11" t="n">
        <x:v>2169</x:v>
      </x:c>
      <x:c r="E30" s="11" t="n">
        <x:v>2142</x:v>
      </x:c>
      <x:c r="F30" s="11"/>
      <x:c r="G30" s="12" t="n">
        <x:v>10.26</x:v>
      </x:c>
      <x:c r="H30" s="9" t="n">
        <x:v>0</x:v>
      </x:c>
      <x:c r="I30" s="9"/>
      <x:c r="J30" s="13"/>
      <x:c r="K30" s="9" t="str">
        <x:v>Exportado</x:v>
      </x:c>
      <x:c r="L30" s="9" t="str">
        <x:v>F001, F002, F003</x:v>
      </x:c>
    </x:row>
    <x:row r="31" ht="24" customHeight="1">
      <x:c r="A31" s="9" t="str">
        <x:v>C01</x:v>
      </x:c>
      <x:c r="B31" s="9" t="str">
        <x:v>YT - Arrozes especiais Bahia 01</x:v>
      </x:c>
      <x:c r="C31" s="10" t="d">
        <x:v>2026-07-26T12:00:00.000Z</x:v>
      </x:c>
      <x:c r="D31" s="11" t="n">
        <x:v>2204</x:v>
      </x:c>
      <x:c r="E31" s="11" t="n">
        <x:v>2176</x:v>
      </x:c>
      <x:c r="F31" s="11"/>
      <x:c r="G31" s="12" t="n">
        <x:v>10.31</x:v>
      </x:c>
      <x:c r="H31" s="9" t="n">
        <x:v>0</x:v>
      </x:c>
      <x:c r="I31" s="9"/>
      <x:c r="J31" s="13"/>
      <x:c r="K31" s="9" t="str">
        <x:v>Exportado</x:v>
      </x:c>
      <x:c r="L31" s="9" t="str">
        <x:v>F001, F002, F003</x:v>
      </x:c>
    </x:row>
    <x:row r="32" ht="24" customHeight="1">
      <x:c r="A32" s="9" t="str">
        <x:v>C01</x:v>
      </x:c>
      <x:c r="B32" s="9" t="str">
        <x:v>YT - Arrozes especiais Bahia 01</x:v>
      </x:c>
      <x:c r="C32" s="10" t="d">
        <x:v>2026-07-27T12:00:00.000Z</x:v>
      </x:c>
      <x:c r="D32" s="11" t="n">
        <x:v>2134</x:v>
      </x:c>
      <x:c r="E32" s="11" t="n">
        <x:v>2099</x:v>
      </x:c>
      <x:c r="F32" s="11"/>
      <x:c r="G32" s="12" t="n">
        <x:v>10.1</x:v>
      </x:c>
      <x:c r="H32" s="9" t="n">
        <x:v>0</x:v>
      </x:c>
      <x:c r="I32" s="9"/>
      <x:c r="J32" s="13"/>
      <x:c r="K32" s="9" t="str">
        <x:v>Exportado</x:v>
      </x:c>
      <x:c r="L32" s="9" t="str">
        <x:v>F001, F002, F003</x:v>
      </x:c>
    </x:row>
    <x:row r="33" ht="24" customHeight="1">
      <x:c r="A33" s="9" t="str">
        <x:v>C01</x:v>
      </x:c>
      <x:c r="B33" s="9" t="str">
        <x:v>YT - Arrozes especiais Bahia 01</x:v>
      </x:c>
      <x:c r="C33" s="10" t="d">
        <x:v>2026-07-28T12:00:00.000Z</x:v>
      </x:c>
      <x:c r="D33" s="11" t="n">
        <x:v>2085</x:v>
      </x:c>
      <x:c r="E33" s="11" t="n">
        <x:v>2056</x:v>
      </x:c>
      <x:c r="F33" s="11"/>
      <x:c r="G33" s="12" t="n">
        <x:v>10.02</x:v>
      </x:c>
      <x:c r="H33" s="9" t="n">
        <x:v>1</x:v>
      </x:c>
      <x:c r="I33" s="9"/>
      <x:c r="J33" s="13"/>
      <x:c r="K33" s="9" t="str">
        <x:v>Exportado</x:v>
      </x:c>
      <x:c r="L33" s="9" t="str">
        <x:v>F001, F002, F003</x:v>
      </x:c>
    </x:row>
    <x:row r="34" ht="24" customHeight="1">
      <x:c r="A34" s="9" t="str">
        <x:v>C01</x:v>
      </x:c>
      <x:c r="B34" s="9" t="str">
        <x:v>YT - Arrozes especiais Bahia 01</x:v>
      </x:c>
      <x:c r="C34" s="10" t="d">
        <x:v>2026-07-29T12:00:00.000Z</x:v>
      </x:c>
      <x:c r="D34" s="11" t="n">
        <x:v>1697</x:v>
      </x:c>
      <x:c r="E34" s="11" t="n">
        <x:v>1669</x:v>
      </x:c>
      <x:c r="F34" s="11"/>
      <x:c r="G34" s="12" t="n">
        <x:v>9.84</x:v>
      </x:c>
      <x:c r="H34" s="9" t="n">
        <x:v>0</x:v>
      </x:c>
      <x:c r="I34" s="9"/>
      <x:c r="J34" s="13"/>
      <x:c r="K34" s="9" t="str">
        <x:v>Exportado</x:v>
      </x:c>
      <x:c r="L34" s="9" t="str">
        <x:v>F001, F002, F003</x:v>
      </x:c>
    </x:row>
    <x:row r="35" ht="24" customHeight="1">
      <x:c r="A35" s="9" t="str">
        <x:v>C01</x:v>
      </x:c>
      <x:c r="B35" s="9" t="str">
        <x:v>YT - Arrozes especiais Bahia 01</x:v>
      </x:c>
      <x:c r="C35" s="10" t="d">
        <x:v>2026-07-30T12:00:00.000Z</x:v>
      </x:c>
      <x:c r="D35" s="11" t="n">
        <x:v>1702</x:v>
      </x:c>
      <x:c r="E35" s="11" t="n">
        <x:v>1673</x:v>
      </x:c>
      <x:c r="F35" s="11"/>
      <x:c r="G35" s="12" t="n">
        <x:v>9.6</x:v>
      </x:c>
      <x:c r="H35" s="9" t="n">
        <x:v>0</x:v>
      </x:c>
      <x:c r="I35" s="9"/>
      <x:c r="J35" s="13"/>
      <x:c r="K35" s="9" t="str">
        <x:v>Exportado</x:v>
      </x:c>
      <x:c r="L35" s="9" t="str">
        <x:v>F001, F002, F003</x:v>
      </x:c>
    </x:row>
    <x:row r="36" ht="24" customHeight="1">
      <x:c r="A36" s="9" t="str">
        <x:v>C01</x:v>
      </x:c>
      <x:c r="B36" s="9" t="str">
        <x:v>YT - Arrozes especiais Bahia 01</x:v>
      </x:c>
      <x:c r="C36" s="10" t="d">
        <x:v>2026-07-31T12:00:00.000Z</x:v>
      </x:c>
      <x:c r="D36" s="11" t="n">
        <x:v>1676</x:v>
      </x:c>
      <x:c r="E36" s="11" t="n">
        <x:v>1662</x:v>
      </x:c>
      <x:c r="F36" s="11"/>
      <x:c r="G36" s="12" t="n">
        <x:v>9.11</x:v>
      </x:c>
      <x:c r="H36" s="9" t="n">
        <x:v>0</x:v>
      </x:c>
      <x:c r="I36" s="9"/>
      <x:c r="J36" s="13"/>
      <x:c r="K36" s="9" t="str">
        <x:v>Exportado</x:v>
      </x:c>
      <x:c r="L36" s="9" t="str">
        <x:v>F001, F002, F003</x:v>
      </x:c>
    </x:row>
    <x:row r="37" ht="24" customHeight="1">
      <x:c r="A37" s="9" t="str">
        <x:v>C01</x:v>
      </x:c>
      <x:c r="B37" s="9" t="str">
        <x:v>YT - Arrozes especiais Bahia 01</x:v>
      </x:c>
      <x:c r="C37" s="10" t="d">
        <x:v>2026-08-01T12:00:00.000Z</x:v>
      </x:c>
      <x:c r="D37" s="11" t="n">
        <x:v>1903</x:v>
      </x:c>
      <x:c r="E37" s="11" t="n">
        <x:v>1878</x:v>
      </x:c>
      <x:c r="F37" s="11"/>
      <x:c r="G37" s="12" t="n">
        <x:v>9.77</x:v>
      </x:c>
      <x:c r="H37" s="9" t="n">
        <x:v>0</x:v>
      </x:c>
      <x:c r="I37" s="9"/>
      <x:c r="J37" s="13"/>
      <x:c r="K37" s="9" t="str">
        <x:v>Exportado</x:v>
      </x:c>
      <x:c r="L37" s="9" t="str">
        <x:v>F001, F002, F003</x:v>
      </x:c>
    </x:row>
    <x:row r="38" ht="24" customHeight="1">
      <x:c r="A38" s="9" t="str">
        <x:v>C01</x:v>
      </x:c>
      <x:c r="B38" s="9" t="str">
        <x:v>YT - Arrozes especiais Bahia 01</x:v>
      </x:c>
      <x:c r="C38" s="10" t="d">
        <x:v>2026-08-02T12:00:00.000Z</x:v>
      </x:c>
      <x:c r="D38" s="11" t="n">
        <x:v>2017</x:v>
      </x:c>
      <x:c r="E38" s="11" t="n">
        <x:v>1985</x:v>
      </x:c>
      <x:c r="F38" s="11"/>
      <x:c r="G38" s="12" t="n">
        <x:v>10.31</x:v>
      </x:c>
      <x:c r="H38" s="9" t="n">
        <x:v>0</x:v>
      </x:c>
      <x:c r="I38" s="9"/>
      <x:c r="J38" s="13"/>
      <x:c r="K38" s="9" t="str">
        <x:v>Exportado</x:v>
      </x:c>
      <x:c r="L38" s="9" t="str">
        <x:v>F001, F002, F003</x:v>
      </x:c>
    </x:row>
    <x:row r="39" ht="24" customHeight="1">
      <x:c r="A39" s="9" t="str">
        <x:v>C01</x:v>
      </x:c>
      <x:c r="B39" s="9" t="str">
        <x:v>YT - Arrozes especiais Bahia 01</x:v>
      </x:c>
      <x:c r="C39" s="10" t="d">
        <x:v>2026-08-03T12:00:00.000Z</x:v>
      </x:c>
      <x:c r="D39" s="11" t="n">
        <x:v>2355</x:v>
      </x:c>
      <x:c r="E39" s="11" t="n">
        <x:v>2329</x:v>
      </x:c>
      <x:c r="F39" s="11"/>
      <x:c r="G39" s="12" t="n">
        <x:v>10.28</x:v>
      </x:c>
      <x:c r="H39" s="9" t="n">
        <x:v>0</x:v>
      </x:c>
      <x:c r="I39" s="9"/>
      <x:c r="J39" s="13"/>
      <x:c r="K39" s="9" t="str">
        <x:v>Exportado</x:v>
      </x:c>
      <x:c r="L39" s="9" t="str">
        <x:v>F001, F002, F003</x:v>
      </x:c>
    </x:row>
    <x:row r="40" ht="24" customHeight="1">
      <x:c r="A40" s="9" t="str">
        <x:v>C01</x:v>
      </x:c>
      <x:c r="B40" s="9" t="str">
        <x:v>YT - Arrozes especiais Bahia 01</x:v>
      </x:c>
      <x:c r="C40" s="10" t="d">
        <x:v>2026-08-04T12:00:00.000Z</x:v>
      </x:c>
      <x:c r="D40" s="11" t="n">
        <x:v>2037</x:v>
      </x:c>
      <x:c r="E40" s="11" t="n">
        <x:v>2007</x:v>
      </x:c>
      <x:c r="F40" s="11"/>
      <x:c r="G40" s="12" t="n">
        <x:v>10.22</x:v>
      </x:c>
      <x:c r="H40" s="9" t="n">
        <x:v>0</x:v>
      </x:c>
      <x:c r="I40" s="9"/>
      <x:c r="J40" s="13"/>
      <x:c r="K40" s="9" t="str">
        <x:v>Exportado</x:v>
      </x:c>
      <x:c r="L40" s="9" t="str">
        <x:v>F001, F002, F003</x:v>
      </x:c>
    </x:row>
    <x:row r="41" ht="24" customHeight="1">
      <x:c r="A41" s="9" t="str">
        <x:v>C01</x:v>
      </x:c>
      <x:c r="B41" s="9" t="str">
        <x:v>YT - Arrozes especiais Bahia 01</x:v>
      </x:c>
      <x:c r="C41" s="10" t="d">
        <x:v>2026-08-05T12:00:00.000Z</x:v>
      </x:c>
      <x:c r="D41" s="11" t="n">
        <x:v>1874</x:v>
      </x:c>
      <x:c r="E41" s="11" t="n">
        <x:v>1849</x:v>
      </x:c>
      <x:c r="F41" s="11"/>
      <x:c r="G41" s="12" t="n">
        <x:v>10.25</x:v>
      </x:c>
      <x:c r="H41" s="9" t="n">
        <x:v>0</x:v>
      </x:c>
      <x:c r="I41" s="9"/>
      <x:c r="J41" s="13"/>
      <x:c r="K41" s="9" t="str">
        <x:v>Exportado</x:v>
      </x:c>
      <x:c r="L41" s="9" t="str">
        <x:v>F001, F002, F003</x:v>
      </x:c>
    </x:row>
    <x:row r="42" ht="24" customHeight="1">
      <x:c r="A42" s="9" t="str">
        <x:v>C01</x:v>
      </x:c>
      <x:c r="B42" s="9" t="str">
        <x:v>YT - Arrozes especiais Bahia 01</x:v>
      </x:c>
      <x:c r="C42" s="10" t="d">
        <x:v>2026-08-06T12:00:00.000Z</x:v>
      </x:c>
      <x:c r="D42" s="11" t="n">
        <x:v>1831</x:v>
      </x:c>
      <x:c r="E42" s="11" t="n">
        <x:v>1809</x:v>
      </x:c>
      <x:c r="F42" s="11"/>
      <x:c r="G42" s="12" t="n">
        <x:v>10.2</x:v>
      </x:c>
      <x:c r="H42" s="9" t="n">
        <x:v>1</x:v>
      </x:c>
      <x:c r="I42" s="9"/>
      <x:c r="J42" s="13"/>
      <x:c r="K42" s="9" t="str">
        <x:v>Exportado</x:v>
      </x:c>
      <x:c r="L42" s="9" t="str">
        <x:v>F001, F002, F003</x:v>
      </x:c>
    </x:row>
    <x:row r="43" ht="24" customHeight="1">
      <x:c r="A43" s="9" t="str">
        <x:v>C01</x:v>
      </x:c>
      <x:c r="B43" s="9" t="str">
        <x:v>YT - Arrozes especiais Bahia 01</x:v>
      </x:c>
      <x:c r="C43" s="10" t="d">
        <x:v>2026-08-07T12:00:00.000Z</x:v>
      </x:c>
      <x:c r="D43" s="11" t="n">
        <x:v>1824</x:v>
      </x:c>
      <x:c r="E43" s="11" t="n">
        <x:v>1802</x:v>
      </x:c>
      <x:c r="F43" s="11"/>
      <x:c r="G43" s="12" t="n">
        <x:v>10.18</x:v>
      </x:c>
      <x:c r="H43" s="9" t="n">
        <x:v>0</x:v>
      </x:c>
      <x:c r="I43" s="9"/>
      <x:c r="J43" s="13"/>
      <x:c r="K43" s="9" t="str">
        <x:v>Exportado</x:v>
      </x:c>
      <x:c r="L43" s="9" t="str">
        <x:v>F001, F002, F003</x:v>
      </x:c>
    </x:row>
    <x:row r="44" ht="24" customHeight="1">
      <x:c r="A44" s="9" t="str">
        <x:v>C01</x:v>
      </x:c>
      <x:c r="B44" s="9" t="str">
        <x:v>YT - Arrozes especiais Bahia 01</x:v>
      </x:c>
      <x:c r="C44" s="10" t="d">
        <x:v>2026-08-08T12:00:00.000Z</x:v>
      </x:c>
      <x:c r="D44" s="11" t="n">
        <x:v>1915</x:v>
      </x:c>
      <x:c r="E44" s="11" t="n">
        <x:v>1893</x:v>
      </x:c>
      <x:c r="F44" s="11"/>
      <x:c r="G44" s="12" t="n">
        <x:v>10.21</x:v>
      </x:c>
      <x:c r="H44" s="9" t="n">
        <x:v>0</x:v>
      </x:c>
      <x:c r="I44" s="9"/>
      <x:c r="J44" s="13"/>
      <x:c r="K44" s="9" t="str">
        <x:v>Exportado</x:v>
      </x:c>
      <x:c r="L44" s="9" t="str">
        <x:v>F001, F002, F003</x:v>
      </x:c>
    </x:row>
    <x:row r="45" ht="24" customHeight="1">
      <x:c r="A45" s="9" t="str">
        <x:v>C01</x:v>
      </x:c>
      <x:c r="B45" s="9" t="str">
        <x:v>YT - Arrozes especiais Bahia 01</x:v>
      </x:c>
      <x:c r="C45" s="10" t="d">
        <x:v>2026-08-09T12:00:00.000Z</x:v>
      </x:c>
      <x:c r="D45" s="11" t="n">
        <x:v>1684</x:v>
      </x:c>
      <x:c r="E45" s="11" t="n">
        <x:v>1659</x:v>
      </x:c>
      <x:c r="F45" s="11"/>
      <x:c r="G45" s="12" t="n">
        <x:v>10.2</x:v>
      </x:c>
      <x:c r="H45" s="9" t="n">
        <x:v>0</x:v>
      </x:c>
      <x:c r="I45" s="9"/>
      <x:c r="J45" s="13"/>
      <x:c r="K45" s="9" t="str">
        <x:v>Exportado</x:v>
      </x:c>
      <x:c r="L45" s="9" t="str">
        <x:v>F001, F002, F003</x:v>
      </x:c>
    </x:row>
    <x:row r="46" ht="24" customHeight="1">
      <x:c r="A46" s="9" t="str">
        <x:v>C01</x:v>
      </x:c>
      <x:c r="B46" s="9" t="str">
        <x:v>YT - Arrozes especiais Bahia 01</x:v>
      </x:c>
      <x:c r="C46" s="10" t="d">
        <x:v>2026-08-10T12:00:00.000Z</x:v>
      </x:c>
      <x:c r="D46" s="11" t="n">
        <x:v>1996</x:v>
      </x:c>
      <x:c r="E46" s="11" t="n">
        <x:v>1951</x:v>
      </x:c>
      <x:c r="F46" s="11"/>
      <x:c r="G46" s="12" t="n">
        <x:v>10.08</x:v>
      </x:c>
      <x:c r="H46" s="9" t="n">
        <x:v>0</x:v>
      </x:c>
      <x:c r="I46" s="9"/>
      <x:c r="J46" s="13"/>
      <x:c r="K46" s="9" t="str">
        <x:v>Exportado</x:v>
      </x:c>
      <x:c r="L46" s="9" t="str">
        <x:v>F001, F002, F003</x:v>
      </x:c>
    </x:row>
    <x:row r="47" ht="24" customHeight="1">
      <x:c r="A47" s="9" t="str">
        <x:v>C01</x:v>
      </x:c>
      <x:c r="B47" s="9" t="str">
        <x:v>YT - Arrozes especiais Bahia 01</x:v>
      </x:c>
      <x:c r="C47" s="10" t="d">
        <x:v>2026-08-11T12:00:00.000Z</x:v>
      </x:c>
      <x:c r="D47" s="11" t="n">
        <x:v>1952</x:v>
      </x:c>
      <x:c r="E47" s="11" t="n">
        <x:v>1929</x:v>
      </x:c>
      <x:c r="F47" s="11"/>
      <x:c r="G47" s="12" t="n">
        <x:v>10.11</x:v>
      </x:c>
      <x:c r="H47" s="9" t="n">
        <x:v>0</x:v>
      </x:c>
      <x:c r="I47" s="9"/>
      <x:c r="J47" s="13"/>
      <x:c r="K47" s="9" t="str">
        <x:v>Exportado</x:v>
      </x:c>
      <x:c r="L47" s="9" t="str">
        <x:v>F001, F002, F003</x:v>
      </x:c>
    </x:row>
    <x:row r="48" ht="24" customHeight="1">
      <x:c r="A48" s="9" t="str">
        <x:v>C01</x:v>
      </x:c>
      <x:c r="B48" s="9" t="str">
        <x:v>YT - Arrozes especiais Bahia 01</x:v>
      </x:c>
      <x:c r="C48" s="10" t="d">
        <x:v>2026-08-12T12:00:00.000Z</x:v>
      </x:c>
      <x:c r="D48" s="11" t="n">
        <x:v>1916</x:v>
      </x:c>
      <x:c r="E48" s="11" t="n">
        <x:v>1868</x:v>
      </x:c>
      <x:c r="F48" s="11"/>
      <x:c r="G48" s="12" t="n">
        <x:v>10.13</x:v>
      </x:c>
      <x:c r="H48" s="9" t="n">
        <x:v>0</x:v>
      </x:c>
      <x:c r="I48" s="9"/>
      <x:c r="J48" s="13"/>
      <x:c r="K48" s="9" t="str">
        <x:v>Exportado</x:v>
      </x:c>
      <x:c r="L48" s="9" t="str">
        <x:v>F001, F002, F003</x:v>
      </x:c>
    </x:row>
    <x:row r="49" ht="24" customHeight="1">
      <x:c r="A49" s="9" t="str">
        <x:v>C01</x:v>
      </x:c>
      <x:c r="B49" s="9" t="str">
        <x:v>YT - Arrozes especiais Bahia 01</x:v>
      </x:c>
      <x:c r="C49" s="10" t="d">
        <x:v>2026-08-13T12:00:00.000Z</x:v>
      </x:c>
      <x:c r="D49" s="11" t="n">
        <x:v>1953</x:v>
      </x:c>
      <x:c r="E49" s="11" t="n">
        <x:v>1932</x:v>
      </x:c>
      <x:c r="F49" s="11"/>
      <x:c r="G49" s="12" t="n">
        <x:v>10.06</x:v>
      </x:c>
      <x:c r="H49" s="9" t="n">
        <x:v>0</x:v>
      </x:c>
      <x:c r="I49" s="9"/>
      <x:c r="J49" s="13"/>
      <x:c r="K49" s="9" t="str">
        <x:v>Exportado</x:v>
      </x:c>
      <x:c r="L49" s="9" t="str">
        <x:v>F001, F002, F003</x:v>
      </x:c>
    </x:row>
    <x:row r="50" ht="24" customHeight="1">
      <x:c r="A50" s="9" t="str">
        <x:v>C01</x:v>
      </x:c>
      <x:c r="B50" s="9" t="str">
        <x:v>YT - Arrozes especiais Bahia 01</x:v>
      </x:c>
      <x:c r="C50" s="10" t="d">
        <x:v>2026-08-14T12:00:00.000Z</x:v>
      </x:c>
      <x:c r="D50" s="11" t="n">
        <x:v>1957</x:v>
      </x:c>
      <x:c r="E50" s="11" t="n">
        <x:v>1940</x:v>
      </x:c>
      <x:c r="F50" s="11"/>
      <x:c r="G50" s="12" t="n">
        <x:v>9.99</x:v>
      </x:c>
      <x:c r="H50" s="9" t="n">
        <x:v>0</x:v>
      </x:c>
      <x:c r="I50" s="9"/>
      <x:c r="J50" s="13"/>
      <x:c r="K50" s="9" t="str">
        <x:v>Exportado</x:v>
      </x:c>
      <x:c r="L50" s="9" t="str">
        <x:v>F001, F002, F003</x:v>
      </x:c>
    </x:row>
    <x:row r="51" ht="24" customHeight="1">
      <x:c r="A51" s="9" t="str">
        <x:v>C01</x:v>
      </x:c>
      <x:c r="B51" s="9" t="str">
        <x:v>YT - Arrozes especiais Bahia 01</x:v>
      </x:c>
      <x:c r="C51" s="10" t="d">
        <x:v>2026-08-15T12:00:00.000Z</x:v>
      </x:c>
      <x:c r="D51" s="11" t="n">
        <x:v>2232</x:v>
      </x:c>
      <x:c r="E51" s="11" t="n">
        <x:v>2207</x:v>
      </x:c>
      <x:c r="F51" s="11"/>
      <x:c r="G51" s="12" t="n">
        <x:v>10.03</x:v>
      </x:c>
      <x:c r="H51" s="9" t="n">
        <x:v>0</x:v>
      </x:c>
      <x:c r="I51" s="9"/>
      <x:c r="J51" s="13"/>
      <x:c r="K51" s="9" t="str">
        <x:v>Exportado</x:v>
      </x:c>
      <x:c r="L51" s="9" t="str">
        <x:v>F001, F002, F003</x:v>
      </x:c>
    </x:row>
    <x:row r="52" ht="24" customHeight="1">
      <x:c r="A52" s="9" t="str">
        <x:v>C01</x:v>
      </x:c>
      <x:c r="B52" s="9" t="str">
        <x:v>YT - Arrozes especiais Bahia 01</x:v>
      </x:c>
      <x:c r="C52" s="10" t="d">
        <x:v>2026-08-16T12:00:00.000Z</x:v>
      </x:c>
      <x:c r="D52" s="11" t="n">
        <x:v>2051</x:v>
      </x:c>
      <x:c r="E52" s="11" t="n">
        <x:v>2019</x:v>
      </x:c>
      <x:c r="F52" s="11"/>
      <x:c r="G52" s="12" t="n">
        <x:v>10.01</x:v>
      </x:c>
      <x:c r="H52" s="9" t="n">
        <x:v>0</x:v>
      </x:c>
      <x:c r="I52" s="9"/>
      <x:c r="J52" s="13"/>
      <x:c r="K52" s="9" t="str">
        <x:v>Exportado</x:v>
      </x:c>
      <x:c r="L52" s="9" t="str">
        <x:v>F001, F002, F003</x:v>
      </x:c>
    </x:row>
    <x:row r="53" ht="24" customHeight="1">
      <x:c r="A53" s="9" t="str">
        <x:v>C01</x:v>
      </x:c>
      <x:c r="B53" s="9" t="str">
        <x:v>YT - Arrozes especiais Bahia 01</x:v>
      </x:c>
      <x:c r="C53" s="10" t="d">
        <x:v>2026-08-17T12:00:00.000Z</x:v>
      </x:c>
      <x:c r="D53" s="11" t="n">
        <x:v>1848</x:v>
      </x:c>
      <x:c r="E53" s="11" t="n">
        <x:v>1816</x:v>
      </x:c>
      <x:c r="F53" s="11"/>
      <x:c r="G53" s="12" t="n">
        <x:v>9.86</x:v>
      </x:c>
      <x:c r="H53" s="9" t="n">
        <x:v>2</x:v>
      </x:c>
      <x:c r="I53" s="9"/>
      <x:c r="J53" s="13"/>
      <x:c r="K53" s="9" t="str">
        <x:v>Exportado</x:v>
      </x:c>
      <x:c r="L53" s="9" t="str">
        <x:v>F001, F002, F003</x:v>
      </x:c>
    </x:row>
    <x:row r="54" ht="24" customHeight="1">
      <x:c r="A54" s="9" t="str">
        <x:v>C01</x:v>
      </x:c>
      <x:c r="B54" s="9" t="str">
        <x:v>YT - Arrozes especiais Bahia 01</x:v>
      </x:c>
      <x:c r="C54" s="10" t="d">
        <x:v>2026-08-18T12:00:00.000Z</x:v>
      </x:c>
      <x:c r="D54" s="11" t="n">
        <x:v>1731</x:v>
      </x:c>
      <x:c r="E54" s="11" t="n">
        <x:v>1695</x:v>
      </x:c>
      <x:c r="F54" s="11"/>
      <x:c r="G54" s="12" t="n">
        <x:v>9.98</x:v>
      </x:c>
      <x:c r="H54" s="9" t="n">
        <x:v>0</x:v>
      </x:c>
      <x:c r="I54" s="9"/>
      <x:c r="J54" s="13"/>
      <x:c r="K54" s="9" t="str">
        <x:v>Exportado</x:v>
      </x:c>
      <x:c r="L54" s="9" t="str">
        <x:v>F001, F002, F003</x:v>
      </x:c>
    </x:row>
    <x:row r="55" ht="24" customHeight="1">
      <x:c r="A55" s="9" t="str">
        <x:v>C01</x:v>
      </x:c>
      <x:c r="B55" s="9" t="str">
        <x:v>YT - Arrozes especiais Bahia 01</x:v>
      </x:c>
      <x:c r="C55" s="10" t="d">
        <x:v>2026-08-19T12:00:00.000Z</x:v>
      </x:c>
      <x:c r="D55" s="11" t="n">
        <x:v>1965</x:v>
      </x:c>
      <x:c r="E55" s="11" t="n">
        <x:v>1932</x:v>
      </x:c>
      <x:c r="F55" s="11"/>
      <x:c r="G55" s="12" t="n">
        <x:v>9.86</x:v>
      </x:c>
      <x:c r="H55" s="9" t="n">
        <x:v>2</x:v>
      </x:c>
      <x:c r="I55" s="9"/>
      <x:c r="J55" s="13"/>
      <x:c r="K55" s="9" t="str">
        <x:v>Exportado</x:v>
      </x:c>
      <x:c r="L55" s="9" t="str">
        <x:v>F001, F002, F003</x:v>
      </x:c>
    </x:row>
    <x:row r="56" ht="24" customHeight="1">
      <x:c r="A56" s="9" t="str">
        <x:v>C01</x:v>
      </x:c>
      <x:c r="B56" s="9" t="str">
        <x:v>YT - Arrozes especiais Bahia 01</x:v>
      </x:c>
      <x:c r="C56" s="10" t="d">
        <x:v>2026-08-20T12:00:00.000Z</x:v>
      </x:c>
      <x:c r="D56" s="11" t="n">
        <x:v>1730</x:v>
      </x:c>
      <x:c r="E56" s="11" t="n">
        <x:v>1697</x:v>
      </x:c>
      <x:c r="F56" s="11"/>
      <x:c r="G56" s="12" t="n">
        <x:v>9.86</x:v>
      </x:c>
      <x:c r="H56" s="9" t="n">
        <x:v>0</x:v>
      </x:c>
      <x:c r="I56" s="9"/>
      <x:c r="J56" s="13"/>
      <x:c r="K56" s="9" t="str">
        <x:v>Exportado</x:v>
      </x:c>
      <x:c r="L56" s="9" t="str">
        <x:v>F001, F002, F003</x:v>
      </x:c>
    </x:row>
    <x:row r="57" ht="24" customHeight="1">
      <x:c r="A57" s="9" t="str">
        <x:v>C01</x:v>
      </x:c>
      <x:c r="B57" s="9" t="str">
        <x:v>YT - Arrozes especiais Bahia 01</x:v>
      </x:c>
      <x:c r="C57" s="10" t="d">
        <x:v>2026-08-21T12:00:00.000Z</x:v>
      </x:c>
      <x:c r="D57" s="11" t="n">
        <x:v>1850</x:v>
      </x:c>
      <x:c r="E57" s="11" t="n">
        <x:v>1813</x:v>
      </x:c>
      <x:c r="F57" s="11"/>
      <x:c r="G57" s="12" t="n">
        <x:v>9.79</x:v>
      </x:c>
      <x:c r="H57" s="9" t="n">
        <x:v>0</x:v>
      </x:c>
      <x:c r="I57" s="9"/>
      <x:c r="J57" s="13"/>
      <x:c r="K57" s="9" t="str">
        <x:v>Exportado</x:v>
      </x:c>
      <x:c r="L57" s="9" t="str">
        <x:v>F001, F002, F003</x:v>
      </x:c>
    </x:row>
    <x:row r="58" ht="24" customHeight="1">
      <x:c r="A58" s="9" t="str">
        <x:v>C01</x:v>
      </x:c>
      <x:c r="B58" s="9" t="str">
        <x:v>YT - Arrozes especiais Bahia 01</x:v>
      </x:c>
      <x:c r="C58" s="10" t="d">
        <x:v>2026-08-22T12:00:00.000Z</x:v>
      </x:c>
      <x:c r="D58" s="11" t="n">
        <x:v>1762</x:v>
      </x:c>
      <x:c r="E58" s="11" t="n">
        <x:v>1742</x:v>
      </x:c>
      <x:c r="F58" s="11"/>
      <x:c r="G58" s="12" t="n">
        <x:v>9.65</x:v>
      </x:c>
      <x:c r="H58" s="9" t="n">
        <x:v>0</x:v>
      </x:c>
      <x:c r="I58" s="9"/>
      <x:c r="J58" s="13"/>
      <x:c r="K58" s="9" t="str">
        <x:v>Exportado</x:v>
      </x:c>
      <x:c r="L58" s="9" t="str">
        <x:v>F001, F002, F003</x:v>
      </x:c>
    </x:row>
    <x:row r="59" ht="24" customHeight="1">
      <x:c r="A59" s="9" t="str">
        <x:v>C01</x:v>
      </x:c>
      <x:c r="B59" s="9" t="str">
        <x:v>YT - Arrozes especiais Bahia 01</x:v>
      </x:c>
      <x:c r="C59" s="10" t="d">
        <x:v>2026-08-23T12:00:00.000Z</x:v>
      </x:c>
      <x:c r="D59" s="11" t="n">
        <x:v>1811</x:v>
      </x:c>
      <x:c r="E59" s="11" t="n">
        <x:v>1785</x:v>
      </x:c>
      <x:c r="F59" s="11"/>
      <x:c r="G59" s="12" t="n">
        <x:v>9.69</x:v>
      </x:c>
      <x:c r="H59" s="9" t="n">
        <x:v>0</x:v>
      </x:c>
      <x:c r="I59" s="9"/>
      <x:c r="J59" s="13"/>
      <x:c r="K59" s="9" t="str">
        <x:v>Exportado</x:v>
      </x:c>
      <x:c r="L59" s="9" t="str">
        <x:v>F001, F002, F003</x:v>
      </x:c>
    </x:row>
    <x:row r="60" ht="24" customHeight="1">
      <x:c r="A60" s="9" t="str">
        <x:v>C01</x:v>
      </x:c>
      <x:c r="B60" s="9" t="str">
        <x:v>YT - Arrozes especiais Bahia 01</x:v>
      </x:c>
      <x:c r="C60" s="10" t="d">
        <x:v>2026-08-24T12:00:00.000Z</x:v>
      </x:c>
      <x:c r="D60" s="11" t="n">
        <x:v>1953</x:v>
      </x:c>
      <x:c r="E60" s="11" t="n">
        <x:v>1927</x:v>
      </x:c>
      <x:c r="F60" s="11"/>
      <x:c r="G60" s="12" t="n">
        <x:v>9.55</x:v>
      </x:c>
      <x:c r="H60" s="9" t="n">
        <x:v>0</x:v>
      </x:c>
      <x:c r="I60" s="9"/>
      <x:c r="J60" s="13"/>
      <x:c r="K60" s="9" t="str">
        <x:v>Exportado</x:v>
      </x:c>
      <x:c r="L60" s="9" t="str">
        <x:v>F001, F002, F003</x:v>
      </x:c>
    </x:row>
    <x:row r="61" ht="24" customHeight="1">
      <x:c r="A61" s="9" t="str">
        <x:v>C01</x:v>
      </x:c>
      <x:c r="B61" s="9" t="str">
        <x:v>YT - Arrozes especiais Bahia 01</x:v>
      </x:c>
      <x:c r="C61" s="10" t="d">
        <x:v>2026-08-25T12:00:00.000Z</x:v>
      </x:c>
      <x:c r="D61" s="11" t="n">
        <x:v>1699</x:v>
      </x:c>
      <x:c r="E61" s="11" t="n">
        <x:v>1667</x:v>
      </x:c>
      <x:c r="F61" s="11"/>
      <x:c r="G61" s="12" t="n">
        <x:v>9.53</x:v>
      </x:c>
      <x:c r="H61" s="9" t="n">
        <x:v>0</x:v>
      </x:c>
      <x:c r="I61" s="9"/>
      <x:c r="J61" s="13"/>
      <x:c r="K61" s="9" t="str">
        <x:v>Exportado</x:v>
      </x:c>
      <x:c r="L61" s="9" t="str">
        <x:v>F001, F002, F003</x:v>
      </x:c>
    </x:row>
    <x:row r="62" ht="24" customHeight="1">
      <x:c r="A62" s="9" t="str">
        <x:v>C01</x:v>
      </x:c>
      <x:c r="B62" s="9" t="str">
        <x:v>YT - Arrozes especiais Bahia 01</x:v>
      </x:c>
      <x:c r="C62" s="10" t="d">
        <x:v>2026-08-26T12:00:00.000Z</x:v>
      </x:c>
      <x:c r="D62" s="11" t="n">
        <x:v>1247</x:v>
      </x:c>
      <x:c r="E62" s="11" t="n">
        <x:v>1235</x:v>
      </x:c>
      <x:c r="F62" s="11"/>
      <x:c r="G62" s="12" t="n">
        <x:v>6.53</x:v>
      </x:c>
      <x:c r="H62" s="9" t="n">
        <x:v>0</x:v>
      </x:c>
      <x:c r="I62" s="9"/>
      <x:c r="J62" s="13"/>
      <x:c r="K62" s="9" t="str">
        <x:v>Exportado</x:v>
      </x:c>
      <x:c r="L62" s="9" t="str">
        <x:v>F001, F002, F003</x:v>
      </x:c>
    </x:row>
    <x:row r="63" ht="24" customHeight="1">
      <x:c r="A63" s="9" t="str">
        <x:v>C01</x:v>
      </x:c>
      <x:c r="B63" s="9" t="str">
        <x:v>YT - Arrozes especiais Bahia 01</x:v>
      </x:c>
      <x:c r="C63" s="10" t="d">
        <x:v>2026-08-27T12:00:00.000Z</x:v>
      </x:c>
      <x:c r="D63" s="11" t="n">
        <x:v>2024</x:v>
      </x:c>
      <x:c r="E63" s="11" t="n">
        <x:v>1938</x:v>
      </x:c>
      <x:c r="F63" s="11"/>
      <x:c r="G63" s="12" t="n">
        <x:v>12.32</x:v>
      </x:c>
      <x:c r="H63" s="9" t="n">
        <x:v>0</x:v>
      </x:c>
      <x:c r="I63" s="9"/>
      <x:c r="J63" s="13"/>
      <x:c r="K63" s="9" t="str">
        <x:v>Exportado</x:v>
      </x:c>
      <x:c r="L63" s="9" t="str">
        <x:v>F001, F002, F003</x:v>
      </x:c>
    </x:row>
    <x:row r="64" ht="24" customHeight="1">
      <x:c r="A64" s="9" t="str">
        <x:v>C01</x:v>
      </x:c>
      <x:c r="B64" s="9" t="str">
        <x:v>YT - Arrozes especiais Bahia 01</x:v>
      </x:c>
      <x:c r="C64" s="10" t="d">
        <x:v>2026-08-28T12:00:00.000Z</x:v>
      </x:c>
      <x:c r="D64" s="11" t="n">
        <x:v>1582</x:v>
      </x:c>
      <x:c r="E64" s="11" t="n">
        <x:v>1494</x:v>
      </x:c>
      <x:c r="F64" s="11"/>
      <x:c r="G64" s="12" t="n">
        <x:v>9.3</x:v>
      </x:c>
      <x:c r="H64" s="9" t="n">
        <x:v>0</x:v>
      </x:c>
      <x:c r="I64" s="9"/>
      <x:c r="J64" s="13"/>
      <x:c r="K64" s="9" t="str">
        <x:v>Exportado</x:v>
      </x:c>
      <x:c r="L64" s="9" t="str">
        <x:v>F001, F002, F003</x:v>
      </x:c>
    </x:row>
    <x:row r="65" ht="24" customHeight="1">
      <x:c r="A65" s="9" t="str">
        <x:v>C01</x:v>
      </x:c>
      <x:c r="B65" s="9" t="str">
        <x:v>YT - Arrozes especiais Bahia 01</x:v>
      </x:c>
      <x:c r="C65" s="10" t="d">
        <x:v>2026-08-29T12:00:00.000Z</x:v>
      </x:c>
      <x:c r="D65" s="11" t="n">
        <x:v>1597</x:v>
      </x:c>
      <x:c r="E65" s="11" t="n">
        <x:v>1577</x:v>
      </x:c>
      <x:c r="F65" s="11"/>
      <x:c r="G65" s="12" t="n">
        <x:v>9.22</x:v>
      </x:c>
      <x:c r="H65" s="9" t="n">
        <x:v>0</x:v>
      </x:c>
      <x:c r="I65" s="9"/>
      <x:c r="J65" s="13"/>
      <x:c r="K65" s="9" t="str">
        <x:v>Exportado</x:v>
      </x:c>
      <x:c r="L65" s="9" t="str">
        <x:v>F001, F002, F003</x:v>
      </x:c>
    </x:row>
    <x:row r="66" ht="24" customHeight="1">
      <x:c r="A66" s="9" t="str">
        <x:v>C01</x:v>
      </x:c>
      <x:c r="B66" s="9" t="str">
        <x:v>YT - Arrozes especiais Bahia 01</x:v>
      </x:c>
      <x:c r="C66" s="10" t="d">
        <x:v>2026-08-30T12:00:00.000Z</x:v>
      </x:c>
      <x:c r="D66" s="11" t="n">
        <x:v>1582</x:v>
      </x:c>
      <x:c r="E66" s="11" t="n">
        <x:v>1489</x:v>
      </x:c>
      <x:c r="F66" s="11"/>
      <x:c r="G66" s="12" t="n">
        <x:v>9.01</x:v>
      </x:c>
      <x:c r="H66" s="9" t="n">
        <x:v>0</x:v>
      </x:c>
      <x:c r="I66" s="9"/>
      <x:c r="J66" s="13"/>
      <x:c r="K66" s="9" t="str">
        <x:v>Exportado</x:v>
      </x:c>
      <x:c r="L66" s="9" t="str">
        <x:v>F001, F002, F003</x:v>
      </x:c>
    </x:row>
    <x:row r="67" ht="24" customHeight="1">
      <x:c r="A67" s="9" t="str">
        <x:v>C01</x:v>
      </x:c>
      <x:c r="B67" s="9" t="str">
        <x:v>YT - Arrozes especiais Bahia 01</x:v>
      </x:c>
      <x:c r="C67" s="10" t="d">
        <x:v>2026-08-31T12:00:00.000Z</x:v>
      </x:c>
      <x:c r="D67" s="11" t="n">
        <x:v>1351</x:v>
      </x:c>
      <x:c r="E67" s="11" t="n">
        <x:v>1309</x:v>
      </x:c>
      <x:c r="F67" s="11"/>
      <x:c r="G67" s="12" t="n">
        <x:v>8.2</x:v>
      </x:c>
      <x:c r="H67" s="9" t="n">
        <x:v>0</x:v>
      </x:c>
      <x:c r="I67" s="9"/>
      <x:c r="J67" s="13"/>
      <x:c r="K67" s="9" t="str">
        <x:v>Exportado</x:v>
      </x:c>
      <x:c r="L67" s="9" t="str">
        <x:v>F001, F002, F003</x:v>
      </x:c>
    </x:row>
    <x:row r="68" ht="24" customHeight="1">
      <x:c r="A68" s="9" t="str">
        <x:v>C01</x:v>
      </x:c>
      <x:c r="B68" s="9" t="str">
        <x:v>YT - Arrozes especiais Bahia 01</x:v>
      </x:c>
      <x:c r="C68" s="10" t="d">
        <x:v>2026-09-01T12:00:00.000Z</x:v>
      </x:c>
      <x:c r="D68" s="11" t="n">
        <x:v>2145</x:v>
      </x:c>
      <x:c r="E68" s="11" t="n">
        <x:v>2127</x:v>
      </x:c>
      <x:c r="F68" s="11"/>
      <x:c r="G68" s="12" t="n">
        <x:v>10.48</x:v>
      </x:c>
      <x:c r="H68" s="9" t="n">
        <x:v>0</x:v>
      </x:c>
      <x:c r="I68" s="9"/>
      <x:c r="J68" s="13"/>
      <x:c r="K68" s="9" t="str">
        <x:v>Exportado</x:v>
      </x:c>
      <x:c r="L68" s="9" t="str">
        <x:v>F001, F002, F003</x:v>
      </x:c>
    </x:row>
    <x:row r="69" ht="24" customHeight="1">
      <x:c r="A69" s="9" t="str">
        <x:v>C01</x:v>
      </x:c>
      <x:c r="B69" s="9" t="str">
        <x:v>YT - Arrozes especiais Bahia 01</x:v>
      </x:c>
      <x:c r="C69" s="10" t="d">
        <x:v>2026-09-02T12:00:00.000Z</x:v>
      </x:c>
      <x:c r="D69" s="11" t="n">
        <x:v>1901</x:v>
      </x:c>
      <x:c r="E69" s="11" t="n">
        <x:v>1729</x:v>
      </x:c>
      <x:c r="F69" s="11"/>
      <x:c r="G69" s="12" t="n">
        <x:v>10.53</x:v>
      </x:c>
      <x:c r="H69" s="9" t="n">
        <x:v>1</x:v>
      </x:c>
      <x:c r="I69" s="9"/>
      <x:c r="J69" s="13"/>
      <x:c r="K69" s="9" t="str">
        <x:v>Exportado</x:v>
      </x:c>
      <x:c r="L69" s="9" t="str">
        <x:v>F001, F002, F003</x:v>
      </x:c>
    </x:row>
    <x:row r="70" ht="24" customHeight="1">
      <x:c r="A70" s="9" t="str">
        <x:v>C01</x:v>
      </x:c>
      <x:c r="B70" s="9" t="str">
        <x:v>YT - Arrozes especiais Bahia 01</x:v>
      </x:c>
      <x:c r="C70" s="10" t="d">
        <x:v>2026-09-03T12:00:00.000Z</x:v>
      </x:c>
      <x:c r="D70" s="11" t="n">
        <x:v>2009</x:v>
      </x:c>
      <x:c r="E70" s="11" t="n">
        <x:v>1965</x:v>
      </x:c>
      <x:c r="F70" s="11"/>
      <x:c r="G70" s="12" t="n">
        <x:v>10.58</x:v>
      </x:c>
      <x:c r="H70" s="9" t="n">
        <x:v>0</x:v>
      </x:c>
      <x:c r="I70" s="9"/>
      <x:c r="J70" s="13"/>
      <x:c r="K70" s="9" t="str">
        <x:v>Exportado</x:v>
      </x:c>
      <x:c r="L70" s="9" t="str">
        <x:v>F001, F002, F003</x:v>
      </x:c>
    </x:row>
    <x:row r="71" ht="24" customHeight="1">
      <x:c r="A71" s="9" t="str">
        <x:v>C01</x:v>
      </x:c>
      <x:c r="B71" s="9" t="str">
        <x:v>YT - Arrozes especiais Bahia 01</x:v>
      </x:c>
      <x:c r="C71" s="10" t="d">
        <x:v>2026-09-04T12:00:00.000Z</x:v>
      </x:c>
      <x:c r="D71" s="11" t="n">
        <x:v>2197</x:v>
      </x:c>
      <x:c r="E71" s="11" t="n">
        <x:v>2131</x:v>
      </x:c>
      <x:c r="F71" s="11"/>
      <x:c r="G71" s="12" t="n">
        <x:v>10.39</x:v>
      </x:c>
      <x:c r="H71" s="9" t="n">
        <x:v>0</x:v>
      </x:c>
      <x:c r="I71" s="9"/>
      <x:c r="J71" s="13"/>
      <x:c r="K71" s="9" t="str">
        <x:v>Exportado</x:v>
      </x:c>
      <x:c r="L71" s="9" t="str">
        <x:v>F001, F002, F003</x:v>
      </x:c>
    </x:row>
    <x:row r="72" ht="24" customHeight="1">
      <x:c r="A72" s="9" t="str">
        <x:v>C01</x:v>
      </x:c>
      <x:c r="B72" s="9" t="str">
        <x:v>YT - Arrozes especiais Bahia 01</x:v>
      </x:c>
      <x:c r="C72" s="10" t="d">
        <x:v>2026-09-05T12:00:00.000Z</x:v>
      </x:c>
      <x:c r="D72" s="11" t="n">
        <x:v>2157</x:v>
      </x:c>
      <x:c r="E72" s="11" t="n">
        <x:v>2137</x:v>
      </x:c>
      <x:c r="F72" s="11"/>
      <x:c r="G72" s="12" t="n">
        <x:v>10.52</x:v>
      </x:c>
      <x:c r="H72" s="9" t="n">
        <x:v>0</x:v>
      </x:c>
      <x:c r="I72" s="9"/>
      <x:c r="J72" s="13"/>
      <x:c r="K72" s="9" t="str">
        <x:v>Exportado</x:v>
      </x:c>
      <x:c r="L72" s="9" t="str">
        <x:v>F001, F002, F003</x:v>
      </x:c>
    </x:row>
    <x:row r="73" ht="24" customHeight="1">
      <x:c r="A73" s="9" t="str">
        <x:v>C01</x:v>
      </x:c>
      <x:c r="B73" s="9" t="str">
        <x:v>YT - Arrozes especiais Bahia 01</x:v>
      </x:c>
      <x:c r="C73" s="10" t="d">
        <x:v>2026-09-06T12:00:00.000Z</x:v>
      </x:c>
      <x:c r="D73" s="11" t="n">
        <x:v>2313</x:v>
      </x:c>
      <x:c r="E73" s="11" t="n">
        <x:v>2201</x:v>
      </x:c>
      <x:c r="F73" s="11"/>
      <x:c r="G73" s="12" t="n">
        <x:v>10.55</x:v>
      </x:c>
      <x:c r="H73" s="9" t="n">
        <x:v>1</x:v>
      </x:c>
      <x:c r="I73" s="9"/>
      <x:c r="J73" s="13"/>
      <x:c r="K73" s="9" t="str">
        <x:v>Exportado</x:v>
      </x:c>
      <x:c r="L73" s="9" t="str">
        <x:v>F001, F002, F003</x:v>
      </x:c>
    </x:row>
    <x:row r="74" ht="24" customHeight="1">
      <x:c r="A74" s="9" t="str">
        <x:v>C01</x:v>
      </x:c>
      <x:c r="B74" s="9" t="str">
        <x:v>YT - Arrozes especiais Bahia 01</x:v>
      </x:c>
      <x:c r="C74" s="10" t="d">
        <x:v>2026-09-07T12:00:00.000Z</x:v>
      </x:c>
      <x:c r="D74" s="11" t="n">
        <x:v>2202</x:v>
      </x:c>
      <x:c r="E74" s="11" t="n">
        <x:v>2158</x:v>
      </x:c>
      <x:c r="F74" s="11"/>
      <x:c r="G74" s="12" t="n">
        <x:v>10.59</x:v>
      </x:c>
      <x:c r="H74" s="9" t="n">
        <x:v>2</x:v>
      </x:c>
      <x:c r="I74" s="9"/>
      <x:c r="J74" s="13"/>
      <x:c r="K74" s="9" t="str">
        <x:v>Exportado</x:v>
      </x:c>
      <x:c r="L74" s="9" t="str">
        <x:v>F001, F002, F003</x:v>
      </x:c>
    </x:row>
    <x:row r="75" ht="24" customHeight="1">
      <x:c r="A75" s="9" t="str">
        <x:v>C01</x:v>
      </x:c>
      <x:c r="B75" s="9" t="str">
        <x:v>YT - Arrozes especiais Bahia 01</x:v>
      </x:c>
      <x:c r="C75" s="10" t="d">
        <x:v>2026-09-08T12:00:00.000Z</x:v>
      </x:c>
      <x:c r="D75" s="11" t="n">
        <x:v>1999</x:v>
      </x:c>
      <x:c r="E75" s="11" t="n">
        <x:v>1844</x:v>
      </x:c>
      <x:c r="F75" s="11"/>
      <x:c r="G75" s="12" t="n">
        <x:v>10.57</x:v>
      </x:c>
      <x:c r="H75" s="9" t="n">
        <x:v>2</x:v>
      </x:c>
      <x:c r="I75" s="9"/>
      <x:c r="J75" s="13"/>
      <x:c r="K75" s="9" t="str">
        <x:v>Exportado</x:v>
      </x:c>
      <x:c r="L75" s="9" t="str">
        <x:v>F001, F002, F003</x:v>
      </x:c>
    </x:row>
    <x:row r="76" ht="24" customHeight="1">
      <x:c r="A76" s="9" t="str">
        <x:v>C01</x:v>
      </x:c>
      <x:c r="B76" s="9" t="str">
        <x:v>YT - Arrozes especiais Bahia 01</x:v>
      </x:c>
      <x:c r="C76" s="10" t="d">
        <x:v>2026-09-09T12:00:00.000Z</x:v>
      </x:c>
      <x:c r="D76" s="11" t="n">
        <x:v>2358</x:v>
      </x:c>
      <x:c r="E76" s="11" t="n">
        <x:v>2237</x:v>
      </x:c>
      <x:c r="F76" s="11"/>
      <x:c r="G76" s="12" t="n">
        <x:v>10.47</x:v>
      </x:c>
      <x:c r="H76" s="9" t="n">
        <x:v>0</x:v>
      </x:c>
      <x:c r="I76" s="9"/>
      <x:c r="J76" s="13"/>
      <x:c r="K76" s="9" t="str">
        <x:v>Exportado</x:v>
      </x:c>
      <x:c r="L76" s="9" t="str">
        <x:v>F001, F002, F003</x:v>
      </x:c>
    </x:row>
    <x:row r="77" ht="24" customHeight="1">
      <x:c r="A77" s="9" t="str">
        <x:v>C01</x:v>
      </x:c>
      <x:c r="B77" s="9" t="str">
        <x:v>YT - Arrozes especiais Bahia 01</x:v>
      </x:c>
      <x:c r="C77" s="10" t="d">
        <x:v>2026-09-10T12:00:00.000Z</x:v>
      </x:c>
      <x:c r="D77" s="11" t="n">
        <x:v>2149</x:v>
      </x:c>
      <x:c r="E77" s="11" t="n">
        <x:v>1943</x:v>
      </x:c>
      <x:c r="F77" s="11"/>
      <x:c r="G77" s="12" t="n">
        <x:v>10.54</x:v>
      </x:c>
      <x:c r="H77" s="9" t="n">
        <x:v>4</x:v>
      </x:c>
      <x:c r="I77" s="9"/>
      <x:c r="J77" s="13"/>
      <x:c r="K77" s="9" t="str">
        <x:v>Exportado</x:v>
      </x:c>
      <x:c r="L77" s="9" t="str">
        <x:v>F001, F002, F003</x:v>
      </x:c>
    </x:row>
    <x:row r="78" ht="24" customHeight="1">
      <x:c r="A78" s="9" t="str">
        <x:v>C01</x:v>
      </x:c>
      <x:c r="B78" s="9" t="str">
        <x:v>YT - Arrozes especiais Bahia 01</x:v>
      </x:c>
      <x:c r="C78" s="10" t="d">
        <x:v>2026-09-11T12:00:00.000Z</x:v>
      </x:c>
      <x:c r="D78" s="11" t="n">
        <x:v>2113</x:v>
      </x:c>
      <x:c r="E78" s="11" t="n">
        <x:v>2108</x:v>
      </x:c>
      <x:c r="F78" s="11"/>
      <x:c r="G78" s="12" t="n">
        <x:v>10.44</x:v>
      </x:c>
      <x:c r="H78" s="9" t="n">
        <x:v>0</x:v>
      </x:c>
      <x:c r="I78" s="9"/>
      <x:c r="J78" s="13"/>
      <x:c r="K78" s="9" t="str">
        <x:v>Exportado</x:v>
      </x:c>
      <x:c r="L78" s="9" t="str">
        <x:v>F001, F002, F003</x:v>
      </x:c>
    </x:row>
    <x:row r="79" ht="24" customHeight="1">
      <x:c r="A79" s="9" t="str">
        <x:v>C01</x:v>
      </x:c>
      <x:c r="B79" s="9" t="str">
        <x:v>YT - Arrozes especiais Bahia 01</x:v>
      </x:c>
      <x:c r="C79" s="10" t="d">
        <x:v>2026-09-12T12:00:00.000Z</x:v>
      </x:c>
      <x:c r="D79" s="11" t="n">
        <x:v>2126</x:v>
      </x:c>
      <x:c r="E79" s="11" t="n">
        <x:v>2120</x:v>
      </x:c>
      <x:c r="F79" s="11"/>
      <x:c r="G79" s="12" t="n">
        <x:v>10.41</x:v>
      </x:c>
      <x:c r="H79" s="9" t="n">
        <x:v>0</x:v>
      </x:c>
      <x:c r="I79" s="9"/>
      <x:c r="J79" s="13"/>
      <x:c r="K79" s="9" t="str">
        <x:v>Exportado</x:v>
      </x:c>
      <x:c r="L79" s="9" t="str">
        <x:v>F001, F002, F003</x:v>
      </x:c>
    </x:row>
    <x:row r="80" ht="24" customHeight="1">
      <x:c r="A80" s="9" t="str">
        <x:v>C01</x:v>
      </x:c>
      <x:c r="B80" s="9" t="str">
        <x:v>YT - Arrozes especiais Bahia 01</x:v>
      </x:c>
      <x:c r="C80" s="10" t="d">
        <x:v>2026-09-13T12:00:00.000Z</x:v>
      </x:c>
      <x:c r="D80" s="11" t="n">
        <x:v>2107</x:v>
      </x:c>
      <x:c r="E80" s="11" t="n">
        <x:v>2097</x:v>
      </x:c>
      <x:c r="F80" s="11"/>
      <x:c r="G80" s="12" t="n">
        <x:v>10.38</x:v>
      </x:c>
      <x:c r="H80" s="9" t="n">
        <x:v>0</x:v>
      </x:c>
      <x:c r="I80" s="9"/>
      <x:c r="J80" s="13"/>
      <x:c r="K80" s="9" t="str">
        <x:v>Exportado</x:v>
      </x:c>
      <x:c r="L80" s="9" t="str">
        <x:v>F001, F002, F003</x:v>
      </x:c>
    </x:row>
    <x:row r="81" ht="24" customHeight="1">
      <x:c r="A81" s="9" t="str">
        <x:v>C01</x:v>
      </x:c>
      <x:c r="B81" s="9" t="str">
        <x:v>YT - Arrozes especiais Bahia 01</x:v>
      </x:c>
      <x:c r="C81" s="10" t="d">
        <x:v>2026-09-14T12:00:00.000Z</x:v>
      </x:c>
      <x:c r="D81" s="11" t="n">
        <x:v>2031</x:v>
      </x:c>
      <x:c r="E81" s="11" t="n">
        <x:v>2005</x:v>
      </x:c>
      <x:c r="F81" s="11"/>
      <x:c r="G81" s="12" t="n">
        <x:v>10.36</x:v>
      </x:c>
      <x:c r="H81" s="9" t="n">
        <x:v>0</x:v>
      </x:c>
      <x:c r="I81" s="9"/>
      <x:c r="J81" s="13"/>
      <x:c r="K81" s="9" t="str">
        <x:v>Exportado</x:v>
      </x:c>
      <x:c r="L81" s="9" t="str">
        <x:v>F001, F002, F003</x:v>
      </x:c>
    </x:row>
    <x:row r="82" ht="24" customHeight="1">
      <x:c r="A82" s="9" t="str">
        <x:v>C01</x:v>
      </x:c>
      <x:c r="B82" s="9" t="str">
        <x:v>YT - Arrozes especiais Bahia 01</x:v>
      </x:c>
      <x:c r="C82" s="10" t="d">
        <x:v>2026-09-15T12:00:00.000Z</x:v>
      </x:c>
      <x:c r="D82" s="11" t="n">
        <x:v>2158</x:v>
      </x:c>
      <x:c r="E82" s="11" t="n">
        <x:v>2145</x:v>
      </x:c>
      <x:c r="F82" s="11"/>
      <x:c r="G82" s="12" t="n">
        <x:v>10.36</x:v>
      </x:c>
      <x:c r="H82" s="9" t="n">
        <x:v>1</x:v>
      </x:c>
      <x:c r="I82" s="9"/>
      <x:c r="J82" s="13"/>
      <x:c r="K82" s="9" t="str">
        <x:v>Exportado</x:v>
      </x:c>
      <x:c r="L82" s="9" t="str">
        <x:v>F001, F002, F003</x:v>
      </x:c>
    </x:row>
    <x:row r="83" ht="24" customHeight="1">
      <x:c r="A83" s="9" t="str">
        <x:v>C01</x:v>
      </x:c>
      <x:c r="B83" s="9" t="str">
        <x:v>YT - Arrozes especiais Bahia 01</x:v>
      </x:c>
      <x:c r="C83" s="10" t="d">
        <x:v>2026-09-16T12:00:00.000Z</x:v>
      </x:c>
      <x:c r="D83" s="11" t="n">
        <x:v>2048</x:v>
      </x:c>
      <x:c r="E83" s="11" t="n">
        <x:v>2034</x:v>
      </x:c>
      <x:c r="F83" s="11"/>
      <x:c r="G83" s="12" t="n">
        <x:v>10.28</x:v>
      </x:c>
      <x:c r="H83" s="9" t="n">
        <x:v>0</x:v>
      </x:c>
      <x:c r="I83" s="9"/>
      <x:c r="J83" s="13"/>
      <x:c r="K83" s="9" t="str">
        <x:v>Exportado</x:v>
      </x:c>
      <x:c r="L83" s="9" t="str">
        <x:v>F001, F002, F003</x:v>
      </x:c>
    </x:row>
    <x:row r="84" ht="24" customHeight="1">
      <x:c r="A84" s="9" t="str">
        <x:v>C01</x:v>
      </x:c>
      <x:c r="B84" s="9" t="str">
        <x:v>YT - Arrozes especiais Bahia 01</x:v>
      </x:c>
      <x:c r="C84" s="10" t="d">
        <x:v>2026-09-17T12:00:00.000Z</x:v>
      </x:c>
      <x:c r="D84" s="11" t="n">
        <x:v>1886</x:v>
      </x:c>
      <x:c r="E84" s="11" t="n">
        <x:v>1879</x:v>
      </x:c>
      <x:c r="F84" s="11"/>
      <x:c r="G84" s="12" t="n">
        <x:v>10.23</x:v>
      </x:c>
      <x:c r="H84" s="9" t="n">
        <x:v>0</x:v>
      </x:c>
      <x:c r="I84" s="9"/>
      <x:c r="J84" s="13"/>
      <x:c r="K84" s="9" t="str">
        <x:v>Exportado</x:v>
      </x:c>
      <x:c r="L84" s="9" t="str">
        <x:v>F001, F002, F003</x:v>
      </x:c>
    </x:row>
    <x:row r="85" ht="24" customHeight="1">
      <x:c r="A85" s="9" t="str">
        <x:v>C01</x:v>
      </x:c>
      <x:c r="B85" s="9" t="str">
        <x:v>YT - Arrozes especiais Bahia 01</x:v>
      </x:c>
      <x:c r="C85" s="10" t="d">
        <x:v>2026-09-18T12:00:00.000Z</x:v>
      </x:c>
      <x:c r="D85" s="11" t="n">
        <x:v>1788</x:v>
      </x:c>
      <x:c r="E85" s="11" t="n">
        <x:v>1779</x:v>
      </x:c>
      <x:c r="F85" s="11"/>
      <x:c r="G85" s="12" t="n">
        <x:v>10.19</x:v>
      </x:c>
      <x:c r="H85" s="9" t="n">
        <x:v>0</x:v>
      </x:c>
      <x:c r="I85" s="9"/>
      <x:c r="J85" s="13"/>
      <x:c r="K85" s="9" t="str">
        <x:v>Exportado</x:v>
      </x:c>
      <x:c r="L85" s="9" t="str">
        <x:v>F001, F002, F003</x:v>
      </x:c>
    </x:row>
    <x:row r="86" ht="24" customHeight="1">
      <x:c r="A86" s="9" t="str">
        <x:v>C01</x:v>
      </x:c>
      <x:c r="B86" s="9" t="str">
        <x:v>YT - Arrozes especiais Bahia 01</x:v>
      </x:c>
      <x:c r="C86" s="10" t="d">
        <x:v>2026-09-19T12:00:00.000Z</x:v>
      </x:c>
      <x:c r="D86" s="11" t="n">
        <x:v>1944</x:v>
      </x:c>
      <x:c r="E86" s="11" t="n">
        <x:v>1928</x:v>
      </x:c>
      <x:c r="F86" s="11"/>
      <x:c r="G86" s="12" t="n">
        <x:v>10.18</x:v>
      </x:c>
      <x:c r="H86" s="9" t="n">
        <x:v>0</x:v>
      </x:c>
      <x:c r="I86" s="9"/>
      <x:c r="J86" s="13"/>
      <x:c r="K86" s="9" t="str">
        <x:v>Exportado</x:v>
      </x:c>
      <x:c r="L86" s="9" t="str">
        <x:v>F001, F002, F003</x:v>
      </x:c>
    </x:row>
    <x:row r="87" ht="24" customHeight="1">
      <x:c r="A87" s="9" t="str">
        <x:v>C01</x:v>
      </x:c>
      <x:c r="B87" s="9" t="str">
        <x:v>YT - Arrozes especiais Bahia 01</x:v>
      </x:c>
      <x:c r="C87" s="10" t="d">
        <x:v>2026-09-20T12:00:00.000Z</x:v>
      </x:c>
      <x:c r="D87" s="11" t="n">
        <x:v>1996</x:v>
      </x:c>
      <x:c r="E87" s="11" t="n">
        <x:v>1987</x:v>
      </x:c>
      <x:c r="F87" s="11"/>
      <x:c r="G87" s="12" t="n">
        <x:v>10.18</x:v>
      </x:c>
      <x:c r="H87" s="9" t="n">
        <x:v>0</x:v>
      </x:c>
      <x:c r="I87" s="9"/>
      <x:c r="J87" s="13"/>
      <x:c r="K87" s="9" t="str">
        <x:v>Exportado</x:v>
      </x:c>
      <x:c r="L87" s="9" t="str">
        <x:v>F001, F002, F003</x:v>
      </x:c>
    </x:row>
    <x:row r="88" ht="24" customHeight="1">
      <x:c r="A88" s="9" t="str">
        <x:v>C01</x:v>
      </x:c>
      <x:c r="B88" s="9" t="str">
        <x:v>YT - Arrozes especiais Bahia 01</x:v>
      </x:c>
      <x:c r="C88" s="10" t="d">
        <x:v>2026-09-21T12:00:00.000Z</x:v>
      </x:c>
      <x:c r="D88" s="11" t="n">
        <x:v>2112</x:v>
      </x:c>
      <x:c r="E88" s="11" t="n">
        <x:v>2106</x:v>
      </x:c>
      <x:c r="F88" s="11"/>
      <x:c r="G88" s="12" t="n">
        <x:v>10.06</x:v>
      </x:c>
      <x:c r="H88" s="9" t="n">
        <x:v>0</x:v>
      </x:c>
      <x:c r="I88" s="9"/>
      <x:c r="J88" s="13"/>
      <x:c r="K88" s="9" t="str">
        <x:v>Exportado</x:v>
      </x:c>
      <x:c r="L88" s="9" t="str">
        <x:v>F001, F002, F003</x:v>
      </x:c>
    </x:row>
    <x:row r="89" ht="24" customHeight="1">
      <x:c r="A89" s="9" t="str">
        <x:v>C01</x:v>
      </x:c>
      <x:c r="B89" s="9" t="str">
        <x:v>YT - Arrozes especiais Bahia 01</x:v>
      </x:c>
      <x:c r="C89" s="10" t="d">
        <x:v>2026-09-22T12:00:00.000Z</x:v>
      </x:c>
      <x:c r="D89" s="11" t="n">
        <x:v>1932</x:v>
      </x:c>
      <x:c r="E89" s="11" t="n">
        <x:v>1919</x:v>
      </x:c>
      <x:c r="F89" s="11"/>
      <x:c r="G89" s="12" t="n">
        <x:v>10.04</x:v>
      </x:c>
      <x:c r="H89" s="9" t="n">
        <x:v>0</x:v>
      </x:c>
      <x:c r="I89" s="9"/>
      <x:c r="J89" s="13"/>
      <x:c r="K89" s="9" t="str">
        <x:v>Exportado</x:v>
      </x:c>
      <x:c r="L89" s="9" t="str">
        <x:v>F001, F002, F003</x:v>
      </x:c>
    </x:row>
    <x:row r="90" ht="24" customHeight="1">
      <x:c r="A90" s="9" t="str">
        <x:v>C01</x:v>
      </x:c>
      <x:c r="B90" s="9" t="str">
        <x:v>YT - Arrozes especiais Bahia 01</x:v>
      </x:c>
      <x:c r="C90" s="10" t="d">
        <x:v>2026-09-23T12:00:00.000Z</x:v>
      </x:c>
      <x:c r="D90" s="11" t="n">
        <x:v>2071</x:v>
      </x:c>
      <x:c r="E90" s="11" t="n">
        <x:v>2069</x:v>
      </x:c>
      <x:c r="F90" s="11"/>
      <x:c r="G90" s="12" t="n">
        <x:v>9.95</x:v>
      </x:c>
      <x:c r="H90" s="9" t="n">
        <x:v>1</x:v>
      </x:c>
      <x:c r="I90" s="9"/>
      <x:c r="J90" s="13"/>
      <x:c r="K90" s="9" t="str">
        <x:v>Exportado</x:v>
      </x:c>
      <x:c r="L90" s="9" t="str">
        <x:v>F001, F002, F003</x:v>
      </x:c>
    </x:row>
    <x:row r="91" ht="24" customHeight="1">
      <x:c r="A91" s="9" t="str">
        <x:v>C01</x:v>
      </x:c>
      <x:c r="B91" s="9" t="str">
        <x:v>YT - Arrozes especiais Bahia 01</x:v>
      </x:c>
      <x:c r="C91" s="10" t="d">
        <x:v>2026-09-24T12:00:00.000Z</x:v>
      </x:c>
      <x:c r="D91" s="11" t="n">
        <x:v>164</x:v>
      </x:c>
      <x:c r="E91" s="11" t="n">
        <x:v>163</x:v>
      </x:c>
      <x:c r="F91" s="11"/>
      <x:c r="G91" s="12" t="n">
        <x:v>0.81</x:v>
      </x:c>
      <x:c r="H91" s="9" t="n">
        <x:v>0</x:v>
      </x:c>
      <x:c r="I91" s="9"/>
      <x:c r="J91" s="13"/>
      <x:c r="K91" s="9" t="str">
        <x:v>Exportado</x:v>
      </x:c>
      <x:c r="L91" s="9" t="str">
        <x:v>F001, F002, F003</x:v>
      </x:c>
    </x:row>
    <x:row r="92" ht="24" customHeight="1">
      <x:c r="A92" s="9" t="str">
        <x:v>C01</x:v>
      </x:c>
      <x:c r="B92" s="9" t="str">
        <x:v>YT - Arrozes especiais Bahia 01</x:v>
      </x:c>
      <x:c r="C92" s="10" t="d">
        <x:v>2026-09-25T12:00:00.000Z</x:v>
      </x:c>
      <x:c r="D92" s="11" t="n">
        <x:v>6</x:v>
      </x:c>
      <x:c r="E92" s="11" t="n">
        <x:v>6</x:v>
      </x:c>
      <x:c r="F92" s="11"/>
      <x:c r="G92" s="12" t="n">
        <x:v>0.03</x:v>
      </x:c>
      <x:c r="H92" s="9" t="n">
        <x:v>0</x:v>
      </x:c>
      <x:c r="I92" s="9"/>
      <x:c r="J92" s="13"/>
      <x:c r="K92" s="9" t="str">
        <x:v>Exportado</x:v>
      </x:c>
      <x:c r="L92" s="9" t="str">
        <x:v>F001, F002, F003</x:v>
      </x:c>
    </x:row>
    <x:row r="93" ht="24" customHeight="1">
      <x:c r="A93" s="9" t="str">
        <x:v>C01</x:v>
      </x:c>
      <x:c r="B93" s="9" t="str">
        <x:v>YT - Arrozes especiais Bahia 01</x:v>
      </x:c>
      <x:c r="C93" s="10" t="d">
        <x:v>2026-09-26T12:00:00.000Z</x:v>
      </x:c>
      <x:c r="D93" s="11" t="n">
        <x:v>0</x:v>
      </x:c>
      <x:c r="E93" s="11" t="n">
        <x:v>0</x:v>
      </x:c>
      <x:c r="F93" s="11"/>
      <x:c r="G93" s="12" t="n">
        <x:v>0</x:v>
      </x:c>
      <x:c r="H93" s="9" t="n">
        <x:v>0</x:v>
      </x:c>
      <x:c r="I93" s="9"/>
      <x:c r="J93" s="13"/>
      <x:c r="K93" s="9" t="str">
        <x:v>Exportado</x:v>
      </x:c>
      <x:c r="L93" s="9" t="str">
        <x:v>F001, F002, F003</x:v>
      </x:c>
    </x:row>
    <x:row r="94" ht="24" customHeight="1">
      <x:c r="A94" s="9" t="str">
        <x:v>C01</x:v>
      </x:c>
      <x:c r="B94" s="9" t="str">
        <x:v>YT - Arrozes especiais Bahia 01</x:v>
      </x:c>
      <x:c r="C94" s="10" t="d">
        <x:v>2026-09-27T12:00:00.000Z</x:v>
      </x:c>
      <x:c r="D94" s="11" t="n">
        <x:v>1</x:v>
      </x:c>
      <x:c r="E94" s="11" t="n">
        <x:v>1</x:v>
      </x:c>
      <x:c r="F94" s="11"/>
      <x:c r="G94" s="12" t="n">
        <x:v>0</x:v>
      </x:c>
      <x:c r="H94" s="9" t="n">
        <x:v>0</x:v>
      </x:c>
      <x:c r="I94" s="9"/>
      <x:c r="J94" s="13"/>
      <x:c r="K94" s="9" t="str">
        <x:v>Exportado</x:v>
      </x:c>
      <x:c r="L94" s="9" t="str">
        <x:v>F001, F002, F003</x:v>
      </x:c>
    </x:row>
    <x:row r="95" ht="24" customHeight="1">
      <x:c r="A95" s="9" t="str">
        <x:v>C01</x:v>
      </x:c>
      <x:c r="B95" s="9" t="str">
        <x:v>YT - Arrozes especiais Bahia 01</x:v>
      </x:c>
      <x:c r="C95" s="10" t="d">
        <x:v>2026-09-28T12:00:00.000Z</x:v>
      </x:c>
      <x:c r="D95" s="11" t="n">
        <x:v>0</x:v>
      </x:c>
      <x:c r="E95" s="11" t="n">
        <x:v>0</x:v>
      </x:c>
      <x:c r="F95" s="11"/>
      <x:c r="G95" s="12" t="n">
        <x:v>0</x:v>
      </x:c>
      <x:c r="H95" s="9" t="n">
        <x:v>0</x:v>
      </x:c>
      <x:c r="I95" s="9"/>
      <x:c r="J95" s="13"/>
      <x:c r="K95" s="9" t="str">
        <x:v>Exportado</x:v>
      </x:c>
      <x:c r="L95" s="9" t="str">
        <x:v>F001, F002, F003</x:v>
      </x:c>
    </x:row>
    <x:row r="96" ht="24" customHeight="1">
      <x:c r="A96" s="9" t="str">
        <x:v>C01</x:v>
      </x:c>
      <x:c r="B96" s="9" t="str">
        <x:v>YT - Arrozes especiais Bahia 01</x:v>
      </x:c>
      <x:c r="C96" s="10" t="d">
        <x:v>2026-09-29T12:00:00.000Z</x:v>
      </x:c>
      <x:c r="D96" s="11" t="n">
        <x:v>11</x:v>
      </x:c>
      <x:c r="E96" s="11" t="n">
        <x:v>11</x:v>
      </x:c>
      <x:c r="F96" s="11"/>
      <x:c r="G96" s="12" t="n">
        <x:v>0.11</x:v>
      </x:c>
      <x:c r="H96" s="9" t="n">
        <x:v>0</x:v>
      </x:c>
      <x:c r="I96" s="9"/>
      <x:c r="J96" s="13"/>
      <x:c r="K96" s="9" t="str">
        <x:v>Exportado</x:v>
      </x:c>
      <x:c r="L96" s="9" t="str">
        <x:v>F001, F002, F003</x:v>
      </x:c>
    </x:row>
    <x:row r="97" ht="24" customHeight="1">
      <x:c r="A97" s="9" t="str">
        <x:v>C01</x:v>
      </x:c>
      <x:c r="B97" s="9" t="str">
        <x:v>YT - Arrozes especiais Bahia 01</x:v>
      </x:c>
      <x:c r="C97" s="10" t="d">
        <x:v>2026-09-30T12:00:00.000Z</x:v>
      </x:c>
      <x:c r="D97" s="11" t="n">
        <x:v>0</x:v>
      </x:c>
      <x:c r="E97" s="11" t="n">
        <x:v>0</x:v>
      </x:c>
      <x:c r="F97" s="11"/>
      <x:c r="G97" s="12" t="n">
        <x:v>0</x:v>
      </x:c>
      <x:c r="H97" s="9" t="n">
        <x:v>0</x:v>
      </x:c>
      <x:c r="I97" s="9"/>
      <x:c r="J97" s="13"/>
      <x:c r="K97" s="9" t="str">
        <x:v>Exportado</x:v>
      </x:c>
      <x:c r="L97" s="9" t="str">
        <x:v>F001, F002, F003</x:v>
      </x:c>
    </x:row>
    <x:row r="98" ht="24" customHeight="1">
      <x:c r="A98" s="9" t="str">
        <x:v>C01</x:v>
      </x:c>
      <x:c r="B98" s="9" t="str">
        <x:v>YT - Arrozes especiais Bahia 01</x:v>
      </x:c>
      <x:c r="C98" s="10" t="d">
        <x:v>2026-10-01T12:00:00.000Z</x:v>
      </x:c>
      <x:c r="D98" s="11" t="n">
        <x:v>2249</x:v>
      </x:c>
      <x:c r="E98" s="11" t="n">
        <x:v>2244</x:v>
      </x:c>
      <x:c r="F98" s="11"/>
      <x:c r="G98" s="12" t="n">
        <x:v>9.77</x:v>
      </x:c>
      <x:c r="H98" s="9" t="n">
        <x:v>0</x:v>
      </x:c>
      <x:c r="I98" s="9"/>
      <x:c r="J98" s="13"/>
      <x:c r="K98" s="9" t="str">
        <x:v>Exportado</x:v>
      </x:c>
      <x:c r="L98" s="9" t="str">
        <x:v>F001, F002, F003</x:v>
      </x:c>
    </x:row>
    <x:row r="99" ht="24" customHeight="1">
      <x:c r="A99" s="9" t="str">
        <x:v>C01</x:v>
      </x:c>
      <x:c r="B99" s="9" t="str">
        <x:v>YT - Arrozes especiais Bahia 01</x:v>
      </x:c>
      <x:c r="C99" s="10" t="d">
        <x:v>2026-10-02T12:00:00.000Z</x:v>
      </x:c>
      <x:c r="D99" s="11" t="n">
        <x:v>2457</x:v>
      </x:c>
      <x:c r="E99" s="11" t="n">
        <x:v>2441</x:v>
      </x:c>
      <x:c r="F99" s="11"/>
      <x:c r="G99" s="12" t="n">
        <x:v>10.32</x:v>
      </x:c>
      <x:c r="H99" s="9" t="n">
        <x:v>2</x:v>
      </x:c>
      <x:c r="I99" s="9"/>
      <x:c r="J99" s="13"/>
      <x:c r="K99" s="9" t="str">
        <x:v>Exportado</x:v>
      </x:c>
      <x:c r="L99" s="9" t="str">
        <x:v>F001, F002, F003</x:v>
      </x:c>
    </x:row>
    <x:row r="100" ht="24" customHeight="1">
      <x:c r="A100" s="9" t="str">
        <x:v>C01</x:v>
      </x:c>
      <x:c r="B100" s="9" t="str">
        <x:v>YT - Arrozes especiais Bahia 01</x:v>
      </x:c>
      <x:c r="C100" s="10" t="d">
        <x:v>2026-10-03T12:00:00.000Z</x:v>
      </x:c>
      <x:c r="D100" s="11" t="n">
        <x:v>2213</x:v>
      </x:c>
      <x:c r="E100" s="11" t="n">
        <x:v>2202</x:v>
      </x:c>
      <x:c r="F100" s="11"/>
      <x:c r="G100" s="12" t="n">
        <x:v>10.33</x:v>
      </x:c>
      <x:c r="H100" s="9" t="n">
        <x:v>0</x:v>
      </x:c>
      <x:c r="I100" s="9"/>
      <x:c r="J100" s="13"/>
      <x:c r="K100" s="9" t="str">
        <x:v>Exportado</x:v>
      </x:c>
      <x:c r="L100" s="9" t="str">
        <x:v>F001, F002, F003</x:v>
      </x:c>
    </x:row>
    <x:row r="101" ht="24" customHeight="1">
      <x:c r="A101" s="9" t="str">
        <x:v>C01</x:v>
      </x:c>
      <x:c r="B101" s="9" t="str">
        <x:v>YT - Arrozes especiais Bahia 01</x:v>
      </x:c>
      <x:c r="C101" s="10" t="d">
        <x:v>2026-10-04T12:00:00.000Z</x:v>
      </x:c>
      <x:c r="D101" s="11" t="n">
        <x:v>2476</x:v>
      </x:c>
      <x:c r="E101" s="11" t="n">
        <x:v>2445</x:v>
      </x:c>
      <x:c r="F101" s="11"/>
      <x:c r="G101" s="12" t="n">
        <x:v>10.25</x:v>
      </x:c>
      <x:c r="H101" s="9" t="n">
        <x:v>0</x:v>
      </x:c>
      <x:c r="I101" s="9"/>
      <x:c r="J101" s="13"/>
      <x:c r="K101" s="9" t="str">
        <x:v>Exportado</x:v>
      </x:c>
      <x:c r="L101" s="9" t="str">
        <x:v>F001, F002, F003</x:v>
      </x:c>
    </x:row>
    <x:row r="102" ht="24" customHeight="1">
      <x:c r="A102" s="9" t="str">
        <x:v>C01</x:v>
      </x:c>
      <x:c r="B102" s="9" t="str">
        <x:v>YT - Arrozes especiais Bahia 01</x:v>
      </x:c>
      <x:c r="C102" s="10" t="d">
        <x:v>2026-10-05T12:00:00.000Z</x:v>
      </x:c>
      <x:c r="D102" s="11" t="n">
        <x:v>2647</x:v>
      </x:c>
      <x:c r="E102" s="11" t="n">
        <x:v>2636</x:v>
      </x:c>
      <x:c r="F102" s="11"/>
      <x:c r="G102" s="12" t="n">
        <x:v>10.23</x:v>
      </x:c>
      <x:c r="H102" s="9" t="n">
        <x:v>0</x:v>
      </x:c>
      <x:c r="I102" s="9"/>
      <x:c r="J102" s="13"/>
      <x:c r="K102" s="9" t="str">
        <x:v>Exportado</x:v>
      </x:c>
      <x:c r="L102" s="9" t="str">
        <x:v>F001, F002, F003</x:v>
      </x:c>
    </x:row>
    <x:row r="103" ht="24" customHeight="1">
      <x:c r="A103" s="9" t="str">
        <x:v>C01</x:v>
      </x:c>
      <x:c r="B103" s="9" t="str">
        <x:v>YT - Arrozes especiais Bahia 01</x:v>
      </x:c>
      <x:c r="C103" s="10" t="d">
        <x:v>2026-10-06T12:00:00.000Z</x:v>
      </x:c>
      <x:c r="D103" s="11" t="n">
        <x:v>2481</x:v>
      </x:c>
      <x:c r="E103" s="11" t="n">
        <x:v>2436</x:v>
      </x:c>
      <x:c r="F103" s="11"/>
      <x:c r="G103" s="12" t="n">
        <x:v>10.13</x:v>
      </x:c>
      <x:c r="H103" s="9" t="n">
        <x:v>1</x:v>
      </x:c>
      <x:c r="I103" s="9"/>
      <x:c r="J103" s="13"/>
      <x:c r="K103" s="9" t="str">
        <x:v>Exportado</x:v>
      </x:c>
      <x:c r="L103" s="9" t="str">
        <x:v>F001, F002, F003</x:v>
      </x:c>
    </x:row>
    <x:row r="104" ht="24" customHeight="1">
      <x:c r="A104" s="9" t="str">
        <x:v>C01</x:v>
      </x:c>
      <x:c r="B104" s="9" t="str">
        <x:v>YT - Arrozes especiais Bahia 01</x:v>
      </x:c>
      <x:c r="C104" s="10" t="d">
        <x:v>2026-10-07T12:00:00.000Z</x:v>
      </x:c>
      <x:c r="D104" s="11" t="n">
        <x:v>2401</x:v>
      </x:c>
      <x:c r="E104" s="11" t="n">
        <x:v>2389</x:v>
      </x:c>
      <x:c r="F104" s="11"/>
      <x:c r="G104" s="12" t="n">
        <x:v>10.2</x:v>
      </x:c>
      <x:c r="H104" s="9" t="n">
        <x:v>0</x:v>
      </x:c>
      <x:c r="I104" s="9"/>
      <x:c r="J104" s="13"/>
      <x:c r="K104" s="9" t="str">
        <x:v>Exportado</x:v>
      </x:c>
      <x:c r="L104" s="9" t="str">
        <x:v>F001, F002, F003</x:v>
      </x:c>
    </x:row>
    <x:row r="105" ht="24" customHeight="1">
      <x:c r="A105" s="9" t="str">
        <x:v>C01</x:v>
      </x:c>
      <x:c r="B105" s="9" t="str">
        <x:v>YT - Arrozes especiais Bahia 01</x:v>
      </x:c>
      <x:c r="C105" s="10" t="d">
        <x:v>2026-10-08T12:00:00.000Z</x:v>
      </x:c>
      <x:c r="D105" s="11" t="n">
        <x:v>2133</x:v>
      </x:c>
      <x:c r="E105" s="11" t="n">
        <x:v>2121</x:v>
      </x:c>
      <x:c r="F105" s="11"/>
      <x:c r="G105" s="12" t="n">
        <x:v>10.38</x:v>
      </x:c>
      <x:c r="H105" s="9" t="n">
        <x:v>2</x:v>
      </x:c>
      <x:c r="I105" s="9"/>
      <x:c r="J105" s="13"/>
      <x:c r="K105" s="9" t="str">
        <x:v>Exportado</x:v>
      </x:c>
      <x:c r="L105" s="9" t="str">
        <x:v>F001, F002, F003</x:v>
      </x:c>
    </x:row>
    <x:row r="106" ht="24" customHeight="1">
      <x:c r="A106" s="9" t="str">
        <x:v>C01</x:v>
      </x:c>
      <x:c r="B106" s="9" t="str">
        <x:v>YT - Arrozes especiais Bahia 01</x:v>
      </x:c>
      <x:c r="C106" s="10" t="d">
        <x:v>2026-10-09T12:00:00.000Z</x:v>
      </x:c>
      <x:c r="D106" s="11" t="n">
        <x:v>2525</x:v>
      </x:c>
      <x:c r="E106" s="11" t="n">
        <x:v>2508</x:v>
      </x:c>
      <x:c r="F106" s="11"/>
      <x:c r="G106" s="12" t="n">
        <x:v>10.32</x:v>
      </x:c>
      <x:c r="H106" s="9" t="n">
        <x:v>0</x:v>
      </x:c>
      <x:c r="I106" s="9"/>
      <x:c r="J106" s="13"/>
      <x:c r="K106" s="9" t="str">
        <x:v>Exportado</x:v>
      </x:c>
      <x:c r="L106" s="9" t="str">
        <x:v>F001, F002, F003</x:v>
      </x:c>
    </x:row>
    <x:row r="107" ht="24" customHeight="1">
      <x:c r="A107" s="9" t="str">
        <x:v>C01</x:v>
      </x:c>
      <x:c r="B107" s="9" t="str">
        <x:v>YT - Arrozes especiais Bahia 01</x:v>
      </x:c>
      <x:c r="C107" s="10" t="d">
        <x:v>2026-10-10T12:00:00.000Z</x:v>
      </x:c>
      <x:c r="D107" s="11" t="n">
        <x:v>2409</x:v>
      </x:c>
      <x:c r="E107" s="11" t="n">
        <x:v>2398</x:v>
      </x:c>
      <x:c r="F107" s="11"/>
      <x:c r="G107" s="12" t="n">
        <x:v>10.1</x:v>
      </x:c>
      <x:c r="H107" s="9" t="n">
        <x:v>0</x:v>
      </x:c>
      <x:c r="I107" s="9"/>
      <x:c r="J107" s="13"/>
      <x:c r="K107" s="9" t="str">
        <x:v>Exportado</x:v>
      </x:c>
      <x:c r="L107" s="9" t="str">
        <x:v>F001, F002, F003</x:v>
      </x:c>
    </x:row>
    <x:row r="108" ht="24" customHeight="1">
      <x:c r="A108" s="9" t="str">
        <x:v>C01</x:v>
      </x:c>
      <x:c r="B108" s="9" t="str">
        <x:v>YT - Arrozes especiais Bahia 01</x:v>
      </x:c>
      <x:c r="C108" s="10" t="d">
        <x:v>2026-10-11T12:00:00.000Z</x:v>
      </x:c>
      <x:c r="D108" s="11" t="n">
        <x:v>2212</x:v>
      </x:c>
      <x:c r="E108" s="11" t="n">
        <x:v>2205</x:v>
      </x:c>
      <x:c r="F108" s="11"/>
      <x:c r="G108" s="12" t="n">
        <x:v>10.12</x:v>
      </x:c>
      <x:c r="H108" s="9" t="n">
        <x:v>0</x:v>
      </x:c>
      <x:c r="I108" s="9"/>
      <x:c r="J108" s="13"/>
      <x:c r="K108" s="9" t="str">
        <x:v>Exportado</x:v>
      </x:c>
      <x:c r="L108" s="9" t="str">
        <x:v>F001, F002, F003</x:v>
      </x:c>
    </x:row>
    <x:row r="109" ht="24" customHeight="1">
      <x:c r="A109" s="9" t="str">
        <x:v>C01</x:v>
      </x:c>
      <x:c r="B109" s="9" t="str">
        <x:v>YT - Arrozes especiais Bahia 01</x:v>
      </x:c>
      <x:c r="C109" s="10" t="d">
        <x:v>2026-10-12T12:00:00.000Z</x:v>
      </x:c>
      <x:c r="D109" s="11" t="n">
        <x:v>2474</x:v>
      </x:c>
      <x:c r="E109" s="11" t="n">
        <x:v>2457</x:v>
      </x:c>
      <x:c r="F109" s="11"/>
      <x:c r="G109" s="12" t="n">
        <x:v>10.1</x:v>
      </x:c>
      <x:c r="H109" s="9" t="n">
        <x:v>0</x:v>
      </x:c>
      <x:c r="I109" s="9"/>
      <x:c r="J109" s="13"/>
      <x:c r="K109" s="9" t="str">
        <x:v>Exportado</x:v>
      </x:c>
      <x:c r="L109" s="9" t="str">
        <x:v>F001, F002, F003</x:v>
      </x:c>
    </x:row>
    <x:row r="110" ht="24" customHeight="1">
      <x:c r="A110" s="9" t="str">
        <x:v>C01</x:v>
      </x:c>
      <x:c r="B110" s="9" t="str">
        <x:v>YT - Arrozes especiais Bahia 01</x:v>
      </x:c>
      <x:c r="C110" s="10" t="d">
        <x:v>2026-10-13T12:00:00.000Z</x:v>
      </x:c>
      <x:c r="D110" s="11" t="n">
        <x:v>2379</x:v>
      </x:c>
      <x:c r="E110" s="11" t="n">
        <x:v>2372</x:v>
      </x:c>
      <x:c r="F110" s="11"/>
      <x:c r="G110" s="12" t="n">
        <x:v>10.06</x:v>
      </x:c>
      <x:c r="H110" s="9" t="n">
        <x:v>0</x:v>
      </x:c>
      <x:c r="I110" s="9"/>
      <x:c r="J110" s="13"/>
      <x:c r="K110" s="9" t="str">
        <x:v>Exportado</x:v>
      </x:c>
      <x:c r="L110" s="9" t="str">
        <x:v>F001, F002, F003</x:v>
      </x:c>
    </x:row>
    <x:row r="111" ht="24" customHeight="1">
      <x:c r="A111" s="9" t="str">
        <x:v>C02</x:v>
      </x:c>
      <x:c r="B111" s="9" t="str">
        <x:v>YT - Arrozes especiais Bahia 02</x:v>
      </x:c>
      <x:c r="C111" s="10" t="d">
        <x:v>2026-07-01T12:00:00.000Z</x:v>
      </x:c>
      <x:c r="D111" s="11" t="n">
        <x:v>0</x:v>
      </x:c>
      <x:c r="E111" s="11" t="n">
        <x:v>0</x:v>
      </x:c>
      <x:c r="F111" s="11"/>
      <x:c r="G111" s="12" t="n">
        <x:v>0</x:v>
      </x:c>
      <x:c r="H111" s="9" t="n">
        <x:v>0</x:v>
      </x:c>
      <x:c r="I111" s="9" t="n">
        <x:v>0</x:v>
      </x:c>
      <x:c r="J111" s="13"/>
      <x:c r="K111" s="9" t="str">
        <x:v>Exportado</x:v>
      </x:c>
      <x:c r="L111" s="9" t="str">
        <x:v>F009, F011, F010</x:v>
      </x:c>
    </x:row>
    <x:row r="112" ht="24" customHeight="1">
      <x:c r="A112" s="9" t="str">
        <x:v>C02</x:v>
      </x:c>
      <x:c r="B112" s="9" t="str">
        <x:v>YT - Arrozes especiais Bahia 02</x:v>
      </x:c>
      <x:c r="C112" s="10" t="d">
        <x:v>2026-07-02T12:00:00.000Z</x:v>
      </x:c>
      <x:c r="D112" s="11" t="n">
        <x:v>0</x:v>
      </x:c>
      <x:c r="E112" s="11" t="n">
        <x:v>0</x:v>
      </x:c>
      <x:c r="F112" s="11"/>
      <x:c r="G112" s="12" t="n">
        <x:v>0</x:v>
      </x:c>
      <x:c r="H112" s="9" t="n">
        <x:v>0</x:v>
      </x:c>
      <x:c r="I112" s="9" t="n">
        <x:v>0</x:v>
      </x:c>
      <x:c r="J112" s="13"/>
      <x:c r="K112" s="9" t="str">
        <x:v>Exportado</x:v>
      </x:c>
      <x:c r="L112" s="9" t="str">
        <x:v>F009, F011, F010</x:v>
      </x:c>
    </x:row>
    <x:row r="113" ht="24" customHeight="1">
      <x:c r="A113" s="9" t="str">
        <x:v>C02</x:v>
      </x:c>
      <x:c r="B113" s="9" t="str">
        <x:v>YT - Arrozes especiais Bahia 02</x:v>
      </x:c>
      <x:c r="C113" s="10" t="d">
        <x:v>2026-07-03T12:00:00.000Z</x:v>
      </x:c>
      <x:c r="D113" s="11" t="n">
        <x:v>0</x:v>
      </x:c>
      <x:c r="E113" s="11" t="n">
        <x:v>0</x:v>
      </x:c>
      <x:c r="F113" s="11"/>
      <x:c r="G113" s="12" t="n">
        <x:v>0</x:v>
      </x:c>
      <x:c r="H113" s="9" t="n">
        <x:v>0</x:v>
      </x:c>
      <x:c r="I113" s="9" t="n">
        <x:v>0</x:v>
      </x:c>
      <x:c r="J113" s="13"/>
      <x:c r="K113" s="9" t="str">
        <x:v>Exportado</x:v>
      </x:c>
      <x:c r="L113" s="9" t="str">
        <x:v>F009, F011, F010</x:v>
      </x:c>
    </x:row>
    <x:row r="114" ht="24" customHeight="1">
      <x:c r="A114" s="9" t="str">
        <x:v>C02</x:v>
      </x:c>
      <x:c r="B114" s="9" t="str">
        <x:v>YT - Arrozes especiais Bahia 02</x:v>
      </x:c>
      <x:c r="C114" s="10" t="d">
        <x:v>2026-07-04T12:00:00.000Z</x:v>
      </x:c>
      <x:c r="D114" s="11" t="n">
        <x:v>0</x:v>
      </x:c>
      <x:c r="E114" s="11" t="n">
        <x:v>0</x:v>
      </x:c>
      <x:c r="F114" s="11"/>
      <x:c r="G114" s="12" t="n">
        <x:v>0</x:v>
      </x:c>
      <x:c r="H114" s="9" t="n">
        <x:v>0</x:v>
      </x:c>
      <x:c r="I114" s="9" t="n">
        <x:v>0</x:v>
      </x:c>
      <x:c r="J114" s="13"/>
      <x:c r="K114" s="9" t="str">
        <x:v>Exportado</x:v>
      </x:c>
      <x:c r="L114" s="9" t="str">
        <x:v>F009, F011, F010</x:v>
      </x:c>
    </x:row>
    <x:row r="115" ht="24" customHeight="1">
      <x:c r="A115" s="9" t="str">
        <x:v>C02</x:v>
      </x:c>
      <x:c r="B115" s="9" t="str">
        <x:v>YT - Arrozes especiais Bahia 02</x:v>
      </x:c>
      <x:c r="C115" s="10" t="d">
        <x:v>2026-07-05T12:00:00.000Z</x:v>
      </x:c>
      <x:c r="D115" s="11" t="n">
        <x:v>0</x:v>
      </x:c>
      <x:c r="E115" s="11" t="n">
        <x:v>0</x:v>
      </x:c>
      <x:c r="F115" s="11"/>
      <x:c r="G115" s="12" t="n">
        <x:v>0</x:v>
      </x:c>
      <x:c r="H115" s="9" t="n">
        <x:v>0</x:v>
      </x:c>
      <x:c r="I115" s="9" t="n">
        <x:v>0</x:v>
      </x:c>
      <x:c r="J115" s="13"/>
      <x:c r="K115" s="9" t="str">
        <x:v>Exportado</x:v>
      </x:c>
      <x:c r="L115" s="9" t="str">
        <x:v>F009, F011, F010</x:v>
      </x:c>
    </x:row>
    <x:row r="116" ht="24" customHeight="1">
      <x:c r="A116" s="9" t="str">
        <x:v>C02</x:v>
      </x:c>
      <x:c r="B116" s="9" t="str">
        <x:v>YT - Arrozes especiais Bahia 02</x:v>
      </x:c>
      <x:c r="C116" s="10" t="d">
        <x:v>2026-07-06T12:00:00.000Z</x:v>
      </x:c>
      <x:c r="D116" s="11" t="n">
        <x:v>0</x:v>
      </x:c>
      <x:c r="E116" s="11" t="n">
        <x:v>0</x:v>
      </x:c>
      <x:c r="F116" s="11"/>
      <x:c r="G116" s="12" t="n">
        <x:v>0</x:v>
      </x:c>
      <x:c r="H116" s="9" t="n">
        <x:v>0</x:v>
      </x:c>
      <x:c r="I116" s="9" t="n">
        <x:v>0</x:v>
      </x:c>
      <x:c r="J116" s="13"/>
      <x:c r="K116" s="9" t="str">
        <x:v>Exportado</x:v>
      </x:c>
      <x:c r="L116" s="9" t="str">
        <x:v>F009, F011, F010</x:v>
      </x:c>
    </x:row>
    <x:row r="117" ht="24" customHeight="1">
      <x:c r="A117" s="9" t="str">
        <x:v>C02</x:v>
      </x:c>
      <x:c r="B117" s="9" t="str">
        <x:v>YT - Arrozes especiais Bahia 02</x:v>
      </x:c>
      <x:c r="C117" s="10" t="d">
        <x:v>2026-07-07T12:00:00.000Z</x:v>
      </x:c>
      <x:c r="D117" s="11" t="n">
        <x:v>0</x:v>
      </x:c>
      <x:c r="E117" s="11" t="n">
        <x:v>0</x:v>
      </x:c>
      <x:c r="F117" s="11"/>
      <x:c r="G117" s="12" t="n">
        <x:v>0</x:v>
      </x:c>
      <x:c r="H117" s="9" t="n">
        <x:v>0</x:v>
      </x:c>
      <x:c r="I117" s="9" t="n">
        <x:v>0</x:v>
      </x:c>
      <x:c r="J117" s="13"/>
      <x:c r="K117" s="9" t="str">
        <x:v>Exportado</x:v>
      </x:c>
      <x:c r="L117" s="9" t="str">
        <x:v>F009, F011, F010</x:v>
      </x:c>
    </x:row>
    <x:row r="118" ht="24" customHeight="1">
      <x:c r="A118" s="9" t="str">
        <x:v>C02</x:v>
      </x:c>
      <x:c r="B118" s="9" t="str">
        <x:v>YT - Arrozes especiais Bahia 02</x:v>
      </x:c>
      <x:c r="C118" s="10" t="d">
        <x:v>2026-07-08T12:00:00.000Z</x:v>
      </x:c>
      <x:c r="D118" s="11" t="n">
        <x:v>0</x:v>
      </x:c>
      <x:c r="E118" s="11" t="n">
        <x:v>0</x:v>
      </x:c>
      <x:c r="F118" s="11"/>
      <x:c r="G118" s="12" t="n">
        <x:v>0</x:v>
      </x:c>
      <x:c r="H118" s="9" t="n">
        <x:v>0</x:v>
      </x:c>
      <x:c r="I118" s="9" t="n">
        <x:v>0</x:v>
      </x:c>
      <x:c r="J118" s="13"/>
      <x:c r="K118" s="9" t="str">
        <x:v>Exportado</x:v>
      </x:c>
      <x:c r="L118" s="9" t="str">
        <x:v>F009, F011, F010</x:v>
      </x:c>
    </x:row>
    <x:row r="119" ht="24" customHeight="1">
      <x:c r="A119" s="9" t="str">
        <x:v>C02</x:v>
      </x:c>
      <x:c r="B119" s="9" t="str">
        <x:v>YT - Arrozes especiais Bahia 02</x:v>
      </x:c>
      <x:c r="C119" s="10" t="d">
        <x:v>2026-07-09T12:00:00.000Z</x:v>
      </x:c>
      <x:c r="D119" s="11" t="n">
        <x:v>0</x:v>
      </x:c>
      <x:c r="E119" s="11" t="n">
        <x:v>0</x:v>
      </x:c>
      <x:c r="F119" s="11"/>
      <x:c r="G119" s="12" t="n">
        <x:v>0</x:v>
      </x:c>
      <x:c r="H119" s="9" t="n">
        <x:v>0</x:v>
      </x:c>
      <x:c r="I119" s="9" t="n">
        <x:v>0</x:v>
      </x:c>
      <x:c r="J119" s="13"/>
      <x:c r="K119" s="9" t="str">
        <x:v>Exportado</x:v>
      </x:c>
      <x:c r="L119" s="9" t="str">
        <x:v>F009, F011, F010</x:v>
      </x:c>
    </x:row>
    <x:row r="120" ht="24" customHeight="1">
      <x:c r="A120" s="9" t="str">
        <x:v>C02</x:v>
      </x:c>
      <x:c r="B120" s="9" t="str">
        <x:v>YT - Arrozes especiais Bahia 02</x:v>
      </x:c>
      <x:c r="C120" s="10" t="d">
        <x:v>2026-07-10T12:00:00.000Z</x:v>
      </x:c>
      <x:c r="D120" s="11" t="n">
        <x:v>0</x:v>
      </x:c>
      <x:c r="E120" s="11" t="n">
        <x:v>0</x:v>
      </x:c>
      <x:c r="F120" s="11"/>
      <x:c r="G120" s="12" t="n">
        <x:v>0</x:v>
      </x:c>
      <x:c r="H120" s="9" t="n">
        <x:v>0</x:v>
      </x:c>
      <x:c r="I120" s="9" t="n">
        <x:v>0</x:v>
      </x:c>
      <x:c r="J120" s="13"/>
      <x:c r="K120" s="9" t="str">
        <x:v>Exportado</x:v>
      </x:c>
      <x:c r="L120" s="9" t="str">
        <x:v>F009, F011, F010</x:v>
      </x:c>
    </x:row>
    <x:row r="121" ht="24" customHeight="1">
      <x:c r="A121" s="9" t="str">
        <x:v>C02</x:v>
      </x:c>
      <x:c r="B121" s="9" t="str">
        <x:v>YT - Arrozes especiais Bahia 02</x:v>
      </x:c>
      <x:c r="C121" s="10" t="d">
        <x:v>2026-07-11T12:00:00.000Z</x:v>
      </x:c>
      <x:c r="D121" s="11" t="n">
        <x:v>0</x:v>
      </x:c>
      <x:c r="E121" s="11" t="n">
        <x:v>0</x:v>
      </x:c>
      <x:c r="F121" s="11"/>
      <x:c r="G121" s="12" t="n">
        <x:v>0</x:v>
      </x:c>
      <x:c r="H121" s="9" t="n">
        <x:v>0</x:v>
      </x:c>
      <x:c r="I121" s="9" t="n">
        <x:v>0</x:v>
      </x:c>
      <x:c r="J121" s="13"/>
      <x:c r="K121" s="9" t="str">
        <x:v>Exportado</x:v>
      </x:c>
      <x:c r="L121" s="9" t="str">
        <x:v>F009, F011, F010</x:v>
      </x:c>
    </x:row>
    <x:row r="122" ht="24" customHeight="1">
      <x:c r="A122" s="9" t="str">
        <x:v>C02</x:v>
      </x:c>
      <x:c r="B122" s="9" t="str">
        <x:v>YT - Arrozes especiais Bahia 02</x:v>
      </x:c>
      <x:c r="C122" s="10" t="d">
        <x:v>2026-07-12T12:00:00.000Z</x:v>
      </x:c>
      <x:c r="D122" s="11" t="n">
        <x:v>0</x:v>
      </x:c>
      <x:c r="E122" s="11" t="n">
        <x:v>0</x:v>
      </x:c>
      <x:c r="F122" s="11"/>
      <x:c r="G122" s="12" t="n">
        <x:v>0</x:v>
      </x:c>
      <x:c r="H122" s="9" t="n">
        <x:v>0</x:v>
      </x:c>
      <x:c r="I122" s="9" t="n">
        <x:v>0</x:v>
      </x:c>
      <x:c r="J122" s="13"/>
      <x:c r="K122" s="9" t="str">
        <x:v>Exportado</x:v>
      </x:c>
      <x:c r="L122" s="9" t="str">
        <x:v>F009, F011, F010</x:v>
      </x:c>
    </x:row>
    <x:row r="123" ht="24" customHeight="1">
      <x:c r="A123" s="9" t="str">
        <x:v>C02</x:v>
      </x:c>
      <x:c r="B123" s="9" t="str">
        <x:v>YT - Arrozes especiais Bahia 02</x:v>
      </x:c>
      <x:c r="C123" s="10" t="d">
        <x:v>2026-07-13T12:00:00.000Z</x:v>
      </x:c>
      <x:c r="D123" s="11" t="n">
        <x:v>0</x:v>
      </x:c>
      <x:c r="E123" s="11" t="n">
        <x:v>0</x:v>
      </x:c>
      <x:c r="F123" s="11"/>
      <x:c r="G123" s="12" t="n">
        <x:v>0</x:v>
      </x:c>
      <x:c r="H123" s="9" t="n">
        <x:v>0</x:v>
      </x:c>
      <x:c r="I123" s="9" t="n">
        <x:v>0</x:v>
      </x:c>
      <x:c r="J123" s="13"/>
      <x:c r="K123" s="9" t="str">
        <x:v>Exportado</x:v>
      </x:c>
      <x:c r="L123" s="9" t="str">
        <x:v>F009, F011, F010</x:v>
      </x:c>
    </x:row>
    <x:row r="124" ht="24" customHeight="1">
      <x:c r="A124" s="9" t="str">
        <x:v>C02</x:v>
      </x:c>
      <x:c r="B124" s="9" t="str">
        <x:v>YT - Arrozes especiais Bahia 02</x:v>
      </x:c>
      <x:c r="C124" s="10" t="d">
        <x:v>2026-07-14T12:00:00.000Z</x:v>
      </x:c>
      <x:c r="D124" s="11" t="n">
        <x:v>0</x:v>
      </x:c>
      <x:c r="E124" s="11" t="n">
        <x:v>0</x:v>
      </x:c>
      <x:c r="F124" s="11"/>
      <x:c r="G124" s="12" t="n">
        <x:v>0</x:v>
      </x:c>
      <x:c r="H124" s="9" t="n">
        <x:v>0</x:v>
      </x:c>
      <x:c r="I124" s="9" t="n">
        <x:v>0</x:v>
      </x:c>
      <x:c r="J124" s="13"/>
      <x:c r="K124" s="9" t="str">
        <x:v>Exportado</x:v>
      </x:c>
      <x:c r="L124" s="9" t="str">
        <x:v>F009, F011, F010</x:v>
      </x:c>
    </x:row>
    <x:row r="125" ht="24" customHeight="1">
      <x:c r="A125" s="9" t="str">
        <x:v>C02</x:v>
      </x:c>
      <x:c r="B125" s="9" t="str">
        <x:v>YT - Arrozes especiais Bahia 02</x:v>
      </x:c>
      <x:c r="C125" s="10" t="d">
        <x:v>2026-07-15T12:00:00.000Z</x:v>
      </x:c>
      <x:c r="D125" s="11" t="n">
        <x:v>0</x:v>
      </x:c>
      <x:c r="E125" s="11" t="n">
        <x:v>0</x:v>
      </x:c>
      <x:c r="F125" s="11"/>
      <x:c r="G125" s="12" t="n">
        <x:v>0</x:v>
      </x:c>
      <x:c r="H125" s="9" t="n">
        <x:v>0</x:v>
      </x:c>
      <x:c r="I125" s="9" t="n">
        <x:v>0</x:v>
      </x:c>
      <x:c r="J125" s="13"/>
      <x:c r="K125" s="9" t="str">
        <x:v>Exportado</x:v>
      </x:c>
      <x:c r="L125" s="9" t="str">
        <x:v>F009, F011, F010</x:v>
      </x:c>
    </x:row>
    <x:row r="126" ht="24" customHeight="1">
      <x:c r="A126" s="9" t="str">
        <x:v>C02</x:v>
      </x:c>
      <x:c r="B126" s="9" t="str">
        <x:v>YT - Arrozes especiais Bahia 02</x:v>
      </x:c>
      <x:c r="C126" s="10" t="d">
        <x:v>2026-07-16T12:00:00.000Z</x:v>
      </x:c>
      <x:c r="D126" s="11" t="n">
        <x:v>0</x:v>
      </x:c>
      <x:c r="E126" s="11" t="n">
        <x:v>0</x:v>
      </x:c>
      <x:c r="F126" s="11"/>
      <x:c r="G126" s="12" t="n">
        <x:v>0</x:v>
      </x:c>
      <x:c r="H126" s="9" t="n">
        <x:v>0</x:v>
      </x:c>
      <x:c r="I126" s="9" t="n">
        <x:v>0</x:v>
      </x:c>
      <x:c r="J126" s="13"/>
      <x:c r="K126" s="9" t="str">
        <x:v>Exportado</x:v>
      </x:c>
      <x:c r="L126" s="9" t="str">
        <x:v>F009, F011, F010</x:v>
      </x:c>
    </x:row>
    <x:row r="127" ht="24" customHeight="1">
      <x:c r="A127" s="9" t="str">
        <x:v>C02</x:v>
      </x:c>
      <x:c r="B127" s="9" t="str">
        <x:v>YT - Arrozes especiais Bahia 02</x:v>
      </x:c>
      <x:c r="C127" s="10" t="d">
        <x:v>2026-07-17T12:00:00.000Z</x:v>
      </x:c>
      <x:c r="D127" s="11" t="n">
        <x:v>0</x:v>
      </x:c>
      <x:c r="E127" s="11" t="n">
        <x:v>0</x:v>
      </x:c>
      <x:c r="F127" s="11"/>
      <x:c r="G127" s="12" t="n">
        <x:v>0</x:v>
      </x:c>
      <x:c r="H127" s="9" t="n">
        <x:v>0</x:v>
      </x:c>
      <x:c r="I127" s="9" t="n">
        <x:v>0</x:v>
      </x:c>
      <x:c r="J127" s="13"/>
      <x:c r="K127" s="9" t="str">
        <x:v>Exportado</x:v>
      </x:c>
      <x:c r="L127" s="9" t="str">
        <x:v>F009, F011, F010</x:v>
      </x:c>
    </x:row>
    <x:row r="128" ht="24" customHeight="1">
      <x:c r="A128" s="9" t="str">
        <x:v>C02</x:v>
      </x:c>
      <x:c r="B128" s="9" t="str">
        <x:v>YT - Arrozes especiais Bahia 02</x:v>
      </x:c>
      <x:c r="C128" s="10" t="d">
        <x:v>2026-07-18T12:00:00.000Z</x:v>
      </x:c>
      <x:c r="D128" s="11" t="n">
        <x:v>0</x:v>
      </x:c>
      <x:c r="E128" s="11" t="n">
        <x:v>0</x:v>
      </x:c>
      <x:c r="F128" s="11"/>
      <x:c r="G128" s="12" t="n">
        <x:v>0</x:v>
      </x:c>
      <x:c r="H128" s="9" t="n">
        <x:v>0</x:v>
      </x:c>
      <x:c r="I128" s="9" t="n">
        <x:v>0</x:v>
      </x:c>
      <x:c r="J128" s="13"/>
      <x:c r="K128" s="9" t="str">
        <x:v>Exportado</x:v>
      </x:c>
      <x:c r="L128" s="9" t="str">
        <x:v>F009, F011, F010</x:v>
      </x:c>
    </x:row>
    <x:row r="129" ht="24" customHeight="1">
      <x:c r="A129" s="9" t="str">
        <x:v>C02</x:v>
      </x:c>
      <x:c r="B129" s="9" t="str">
        <x:v>YT - Arrozes especiais Bahia 02</x:v>
      </x:c>
      <x:c r="C129" s="10" t="d">
        <x:v>2026-07-19T12:00:00.000Z</x:v>
      </x:c>
      <x:c r="D129" s="11" t="n">
        <x:v>0</x:v>
      </x:c>
      <x:c r="E129" s="11" t="n">
        <x:v>0</x:v>
      </x:c>
      <x:c r="F129" s="11"/>
      <x:c r="G129" s="12" t="n">
        <x:v>0</x:v>
      </x:c>
      <x:c r="H129" s="9" t="n">
        <x:v>0</x:v>
      </x:c>
      <x:c r="I129" s="9" t="n">
        <x:v>0</x:v>
      </x:c>
      <x:c r="J129" s="13"/>
      <x:c r="K129" s="9" t="str">
        <x:v>Exportado</x:v>
      </x:c>
      <x:c r="L129" s="9" t="str">
        <x:v>F009, F011, F010</x:v>
      </x:c>
    </x:row>
    <x:row r="130" ht="24" customHeight="1">
      <x:c r="A130" s="9" t="str">
        <x:v>C02</x:v>
      </x:c>
      <x:c r="B130" s="9" t="str">
        <x:v>YT - Arrozes especiais Bahia 02</x:v>
      </x:c>
      <x:c r="C130" s="10" t="d">
        <x:v>2026-07-20T12:00:00.000Z</x:v>
      </x:c>
      <x:c r="D130" s="11" t="n">
        <x:v>0</x:v>
      </x:c>
      <x:c r="E130" s="11" t="n">
        <x:v>0</x:v>
      </x:c>
      <x:c r="F130" s="11"/>
      <x:c r="G130" s="12" t="n">
        <x:v>0</x:v>
      </x:c>
      <x:c r="H130" s="9" t="n">
        <x:v>0</x:v>
      </x:c>
      <x:c r="I130" s="9" t="n">
        <x:v>0</x:v>
      </x:c>
      <x:c r="J130" s="13"/>
      <x:c r="K130" s="9" t="str">
        <x:v>Exportado</x:v>
      </x:c>
      <x:c r="L130" s="9" t="str">
        <x:v>F009, F011, F010</x:v>
      </x:c>
    </x:row>
    <x:row r="131" ht="24" customHeight="1">
      <x:c r="A131" s="9" t="str">
        <x:v>C02</x:v>
      </x:c>
      <x:c r="B131" s="9" t="str">
        <x:v>YT - Arrozes especiais Bahia 02</x:v>
      </x:c>
      <x:c r="C131" s="10" t="d">
        <x:v>2026-07-21T12:00:00.000Z</x:v>
      </x:c>
      <x:c r="D131" s="11" t="n">
        <x:v>0</x:v>
      </x:c>
      <x:c r="E131" s="11" t="n">
        <x:v>0</x:v>
      </x:c>
      <x:c r="F131" s="11"/>
      <x:c r="G131" s="12" t="n">
        <x:v>0</x:v>
      </x:c>
      <x:c r="H131" s="9" t="n">
        <x:v>0</x:v>
      </x:c>
      <x:c r="I131" s="9" t="n">
        <x:v>0</x:v>
      </x:c>
      <x:c r="J131" s="13"/>
      <x:c r="K131" s="9" t="str">
        <x:v>Exportado</x:v>
      </x:c>
      <x:c r="L131" s="9" t="str">
        <x:v>F009, F011, F010</x:v>
      </x:c>
    </x:row>
    <x:row r="132" ht="24" customHeight="1">
      <x:c r="A132" s="9" t="str">
        <x:v>C02</x:v>
      </x:c>
      <x:c r="B132" s="9" t="str">
        <x:v>YT - Arrozes especiais Bahia 02</x:v>
      </x:c>
      <x:c r="C132" s="10" t="d">
        <x:v>2026-07-22T12:00:00.000Z</x:v>
      </x:c>
      <x:c r="D132" s="11" t="n">
        <x:v>0</x:v>
      </x:c>
      <x:c r="E132" s="11" t="n">
        <x:v>0</x:v>
      </x:c>
      <x:c r="F132" s="11"/>
      <x:c r="G132" s="12" t="n">
        <x:v>0</x:v>
      </x:c>
      <x:c r="H132" s="9" t="n">
        <x:v>0</x:v>
      </x:c>
      <x:c r="I132" s="9" t="n">
        <x:v>0</x:v>
      </x:c>
      <x:c r="J132" s="13"/>
      <x:c r="K132" s="9" t="str">
        <x:v>Exportado</x:v>
      </x:c>
      <x:c r="L132" s="9" t="str">
        <x:v>F009, F011, F010</x:v>
      </x:c>
    </x:row>
    <x:row r="133" ht="24" customHeight="1">
      <x:c r="A133" s="9" t="str">
        <x:v>C02</x:v>
      </x:c>
      <x:c r="B133" s="9" t="str">
        <x:v>YT - Arrozes especiais Bahia 02</x:v>
      </x:c>
      <x:c r="C133" s="10" t="d">
        <x:v>2026-07-23T12:00:00.000Z</x:v>
      </x:c>
      <x:c r="D133" s="11" t="n">
        <x:v>739</x:v>
      </x:c>
      <x:c r="E133" s="11" t="n">
        <x:v>732</x:v>
      </x:c>
      <x:c r="F133" s="11"/>
      <x:c r="G133" s="12" t="n">
        <x:v>10.02</x:v>
      </x:c>
      <x:c r="H133" s="9" t="n">
        <x:v>0</x:v>
      </x:c>
      <x:c r="I133" s="9" t="n">
        <x:v>0</x:v>
      </x:c>
      <x:c r="J133" s="13"/>
      <x:c r="K133" s="9" t="str">
        <x:v>Exportado</x:v>
      </x:c>
      <x:c r="L133" s="9" t="str">
        <x:v>F009, F011, F010</x:v>
      </x:c>
    </x:row>
    <x:row r="134" ht="24" customHeight="1">
      <x:c r="A134" s="9" t="str">
        <x:v>C02</x:v>
      </x:c>
      <x:c r="B134" s="9" t="str">
        <x:v>YT - Arrozes especiais Bahia 02</x:v>
      </x:c>
      <x:c r="C134" s="10" t="d">
        <x:v>2026-07-24T12:00:00.000Z</x:v>
      </x:c>
      <x:c r="D134" s="11" t="n">
        <x:v>1871</x:v>
      </x:c>
      <x:c r="E134" s="11" t="n">
        <x:v>1857</x:v>
      </x:c>
      <x:c r="F134" s="11"/>
      <x:c r="G134" s="12" t="n">
        <x:v>10.23</x:v>
      </x:c>
      <x:c r="H134" s="9" t="n">
        <x:v>0</x:v>
      </x:c>
      <x:c r="I134" s="9" t="n">
        <x:v>0</x:v>
      </x:c>
      <x:c r="J134" s="13"/>
      <x:c r="K134" s="9" t="str">
        <x:v>Exportado</x:v>
      </x:c>
      <x:c r="L134" s="9" t="str">
        <x:v>F009, F011, F010</x:v>
      </x:c>
    </x:row>
    <x:row r="135" ht="24" customHeight="1">
      <x:c r="A135" s="9" t="str">
        <x:v>C02</x:v>
      </x:c>
      <x:c r="B135" s="9" t="str">
        <x:v>YT - Arrozes especiais Bahia 02</x:v>
      </x:c>
      <x:c r="C135" s="10" t="d">
        <x:v>2026-07-25T12:00:00.000Z</x:v>
      </x:c>
      <x:c r="D135" s="11" t="n">
        <x:v>2461</x:v>
      </x:c>
      <x:c r="E135" s="11" t="n">
        <x:v>2433</x:v>
      </x:c>
      <x:c r="F135" s="11"/>
      <x:c r="G135" s="12" t="n">
        <x:v>10.55</x:v>
      </x:c>
      <x:c r="H135" s="9" t="n">
        <x:v>0</x:v>
      </x:c>
      <x:c r="I135" s="9" t="n">
        <x:v>0</x:v>
      </x:c>
      <x:c r="J135" s="13"/>
      <x:c r="K135" s="9" t="str">
        <x:v>Exportado</x:v>
      </x:c>
      <x:c r="L135" s="9" t="str">
        <x:v>F009, F011, F010</x:v>
      </x:c>
    </x:row>
    <x:row r="136" ht="24" customHeight="1">
      <x:c r="A136" s="9" t="str">
        <x:v>C02</x:v>
      </x:c>
      <x:c r="B136" s="9" t="str">
        <x:v>YT - Arrozes especiais Bahia 02</x:v>
      </x:c>
      <x:c r="C136" s="10" t="d">
        <x:v>2026-07-26T12:00:00.000Z</x:v>
      </x:c>
      <x:c r="D136" s="11" t="n">
        <x:v>2437</x:v>
      </x:c>
      <x:c r="E136" s="11" t="n">
        <x:v>2403</x:v>
      </x:c>
      <x:c r="F136" s="11"/>
      <x:c r="G136" s="12" t="n">
        <x:v>10.29</x:v>
      </x:c>
      <x:c r="H136" s="9" t="n">
        <x:v>0</x:v>
      </x:c>
      <x:c r="I136" s="9" t="n">
        <x:v>0</x:v>
      </x:c>
      <x:c r="J136" s="13"/>
      <x:c r="K136" s="9" t="str">
        <x:v>Exportado</x:v>
      </x:c>
      <x:c r="L136" s="9" t="str">
        <x:v>F009, F011, F010</x:v>
      </x:c>
    </x:row>
    <x:row r="137" ht="24" customHeight="1">
      <x:c r="A137" s="9" t="str">
        <x:v>C02</x:v>
      </x:c>
      <x:c r="B137" s="9" t="str">
        <x:v>YT - Arrozes especiais Bahia 02</x:v>
      </x:c>
      <x:c r="C137" s="10" t="d">
        <x:v>2026-07-27T12:00:00.000Z</x:v>
      </x:c>
      <x:c r="D137" s="11" t="n">
        <x:v>2380</x:v>
      </x:c>
      <x:c r="E137" s="11" t="n">
        <x:v>2353</x:v>
      </x:c>
      <x:c r="F137" s="11"/>
      <x:c r="G137" s="12" t="n">
        <x:v>10.17</x:v>
      </x:c>
      <x:c r="H137" s="9" t="n">
        <x:v>0</x:v>
      </x:c>
      <x:c r="I137" s="9" t="n">
        <x:v>0</x:v>
      </x:c>
      <x:c r="J137" s="13"/>
      <x:c r="K137" s="9" t="str">
        <x:v>Exportado</x:v>
      </x:c>
      <x:c r="L137" s="9" t="str">
        <x:v>F009, F011, F010</x:v>
      </x:c>
    </x:row>
    <x:row r="138" ht="24" customHeight="1">
      <x:c r="A138" s="9" t="str">
        <x:v>C02</x:v>
      </x:c>
      <x:c r="B138" s="9" t="str">
        <x:v>YT - Arrozes especiais Bahia 02</x:v>
      </x:c>
      <x:c r="C138" s="10" t="d">
        <x:v>2026-07-28T12:00:00.000Z</x:v>
      </x:c>
      <x:c r="D138" s="11" t="n">
        <x:v>2345</x:v>
      </x:c>
      <x:c r="E138" s="11" t="n">
        <x:v>2327</x:v>
      </x:c>
      <x:c r="F138" s="11"/>
      <x:c r="G138" s="12" t="n">
        <x:v>10.07</x:v>
      </x:c>
      <x:c r="H138" s="9" t="n">
        <x:v>1</x:v>
      </x:c>
      <x:c r="I138" s="9" t="n">
        <x:v>0</x:v>
      </x:c>
      <x:c r="J138" s="13"/>
      <x:c r="K138" s="9" t="str">
        <x:v>Exportado</x:v>
      </x:c>
      <x:c r="L138" s="9" t="str">
        <x:v>F009, F011, F010</x:v>
      </x:c>
    </x:row>
    <x:row r="139" ht="24" customHeight="1">
      <x:c r="A139" s="9" t="str">
        <x:v>C02</x:v>
      </x:c>
      <x:c r="B139" s="9" t="str">
        <x:v>YT - Arrozes especiais Bahia 02</x:v>
      </x:c>
      <x:c r="C139" s="10" t="d">
        <x:v>2026-07-29T12:00:00.000Z</x:v>
      </x:c>
      <x:c r="D139" s="11" t="n">
        <x:v>2047</x:v>
      </x:c>
      <x:c r="E139" s="11" t="n">
        <x:v>2023</x:v>
      </x:c>
      <x:c r="F139" s="11"/>
      <x:c r="G139" s="12" t="n">
        <x:v>9.86</x:v>
      </x:c>
      <x:c r="H139" s="9" t="n">
        <x:v>0</x:v>
      </x:c>
      <x:c r="I139" s="9" t="n">
        <x:v>0</x:v>
      </x:c>
      <x:c r="J139" s="13"/>
      <x:c r="K139" s="9" t="str">
        <x:v>Exportado</x:v>
      </x:c>
      <x:c r="L139" s="9" t="str">
        <x:v>F009, F011, F010</x:v>
      </x:c>
    </x:row>
    <x:row r="140" ht="24" customHeight="1">
      <x:c r="A140" s="9" t="str">
        <x:v>C02</x:v>
      </x:c>
      <x:c r="B140" s="9" t="str">
        <x:v>YT - Arrozes especiais Bahia 02</x:v>
      </x:c>
      <x:c r="C140" s="10" t="d">
        <x:v>2026-07-30T12:00:00.000Z</x:v>
      </x:c>
      <x:c r="D140" s="11" t="n">
        <x:v>1883</x:v>
      </x:c>
      <x:c r="E140" s="11" t="n">
        <x:v>1870</x:v>
      </x:c>
      <x:c r="F140" s="11"/>
      <x:c r="G140" s="12" t="n">
        <x:v>9.67</x:v>
      </x:c>
      <x:c r="H140" s="9" t="n">
        <x:v>0</x:v>
      </x:c>
      <x:c r="I140" s="9" t="n">
        <x:v>0</x:v>
      </x:c>
      <x:c r="J140" s="13"/>
      <x:c r="K140" s="9" t="str">
        <x:v>Exportado</x:v>
      </x:c>
      <x:c r="L140" s="9" t="str">
        <x:v>F009, F011, F010</x:v>
      </x:c>
    </x:row>
    <x:row r="141" ht="24" customHeight="1">
      <x:c r="A141" s="9" t="str">
        <x:v>C02</x:v>
      </x:c>
      <x:c r="B141" s="9" t="str">
        <x:v>YT - Arrozes especiais Bahia 02</x:v>
      </x:c>
      <x:c r="C141" s="10" t="d">
        <x:v>2026-07-31T12:00:00.000Z</x:v>
      </x:c>
      <x:c r="D141" s="11" t="n">
        <x:v>1677</x:v>
      </x:c>
      <x:c r="E141" s="11" t="n">
        <x:v>1650</x:v>
      </x:c>
      <x:c r="F141" s="11"/>
      <x:c r="G141" s="12" t="n">
        <x:v>9.16</x:v>
      </x:c>
      <x:c r="H141" s="9" t="n">
        <x:v>0</x:v>
      </x:c>
      <x:c r="I141" s="9" t="n">
        <x:v>0</x:v>
      </x:c>
      <x:c r="J141" s="13"/>
      <x:c r="K141" s="9" t="str">
        <x:v>Exportado</x:v>
      </x:c>
      <x:c r="L141" s="9" t="str">
        <x:v>F009, F011, F010</x:v>
      </x:c>
    </x:row>
    <x:row r="142" ht="24" customHeight="1">
      <x:c r="A142" s="9" t="str">
        <x:v>C02</x:v>
      </x:c>
      <x:c r="B142" s="9" t="str">
        <x:v>YT - Arrozes especiais Bahia 02</x:v>
      </x:c>
      <x:c r="C142" s="10" t="d">
        <x:v>2026-08-01T12:00:00.000Z</x:v>
      </x:c>
      <x:c r="D142" s="11" t="n">
        <x:v>2147</x:v>
      </x:c>
      <x:c r="E142" s="11" t="n">
        <x:v>2119</x:v>
      </x:c>
      <x:c r="F142" s="11"/>
      <x:c r="G142" s="12" t="n">
        <x:v>9.84</x:v>
      </x:c>
      <x:c r="H142" s="9" t="n">
        <x:v>0</x:v>
      </x:c>
      <x:c r="I142" s="9" t="n">
        <x:v>0</x:v>
      </x:c>
      <x:c r="J142" s="13"/>
      <x:c r="K142" s="9" t="str">
        <x:v>Exportado</x:v>
      </x:c>
      <x:c r="L142" s="9" t="str">
        <x:v>F009, F011, F010</x:v>
      </x:c>
    </x:row>
    <x:row r="143" ht="24" customHeight="1">
      <x:c r="A143" s="9" t="str">
        <x:v>C02</x:v>
      </x:c>
      <x:c r="B143" s="9" t="str">
        <x:v>YT - Arrozes especiais Bahia 02</x:v>
      </x:c>
      <x:c r="C143" s="10" t="d">
        <x:v>2026-08-02T12:00:00.000Z</x:v>
      </x:c>
      <x:c r="D143" s="11" t="n">
        <x:v>2514</x:v>
      </x:c>
      <x:c r="E143" s="11" t="n">
        <x:v>2490</x:v>
      </x:c>
      <x:c r="F143" s="11"/>
      <x:c r="G143" s="12" t="n">
        <x:v>10.28</x:v>
      </x:c>
      <x:c r="H143" s="9" t="n">
        <x:v>0</x:v>
      </x:c>
      <x:c r="I143" s="9" t="n">
        <x:v>0</x:v>
      </x:c>
      <x:c r="J143" s="13"/>
      <x:c r="K143" s="9" t="str">
        <x:v>Exportado</x:v>
      </x:c>
      <x:c r="L143" s="9" t="str">
        <x:v>F009, F011, F010</x:v>
      </x:c>
    </x:row>
    <x:row r="144" ht="24" customHeight="1">
      <x:c r="A144" s="9" t="str">
        <x:v>C02</x:v>
      </x:c>
      <x:c r="B144" s="9" t="str">
        <x:v>YT - Arrozes especiais Bahia 02</x:v>
      </x:c>
      <x:c r="C144" s="10" t="d">
        <x:v>2026-08-03T12:00:00.000Z</x:v>
      </x:c>
      <x:c r="D144" s="11" t="n">
        <x:v>2520</x:v>
      </x:c>
      <x:c r="E144" s="11" t="n">
        <x:v>2489</x:v>
      </x:c>
      <x:c r="F144" s="11"/>
      <x:c r="G144" s="12" t="n">
        <x:v>10.24</x:v>
      </x:c>
      <x:c r="H144" s="9" t="n">
        <x:v>0</x:v>
      </x:c>
      <x:c r="I144" s="9" t="n">
        <x:v>0</x:v>
      </x:c>
      <x:c r="J144" s="13"/>
      <x:c r="K144" s="9" t="str">
        <x:v>Exportado</x:v>
      </x:c>
      <x:c r="L144" s="9" t="str">
        <x:v>F009, F011, F010</x:v>
      </x:c>
    </x:row>
    <x:row r="145" ht="24" customHeight="1">
      <x:c r="A145" s="9" t="str">
        <x:v>C02</x:v>
      </x:c>
      <x:c r="B145" s="9" t="str">
        <x:v>YT - Arrozes especiais Bahia 02</x:v>
      </x:c>
      <x:c r="C145" s="10" t="d">
        <x:v>2026-08-04T12:00:00.000Z</x:v>
      </x:c>
      <x:c r="D145" s="11" t="n">
        <x:v>2407</x:v>
      </x:c>
      <x:c r="E145" s="11" t="n">
        <x:v>2384</x:v>
      </x:c>
      <x:c r="F145" s="11"/>
      <x:c r="G145" s="12" t="n">
        <x:v>10.25</x:v>
      </x:c>
      <x:c r="H145" s="9" t="n">
        <x:v>0</x:v>
      </x:c>
      <x:c r="I145" s="9" t="n">
        <x:v>0</x:v>
      </x:c>
      <x:c r="J145" s="13"/>
      <x:c r="K145" s="9" t="str">
        <x:v>Exportado</x:v>
      </x:c>
      <x:c r="L145" s="9" t="str">
        <x:v>F009, F011, F010</x:v>
      </x:c>
    </x:row>
    <x:row r="146" ht="24" customHeight="1">
      <x:c r="A146" s="9" t="str">
        <x:v>C02</x:v>
      </x:c>
      <x:c r="B146" s="9" t="str">
        <x:v>YT - Arrozes especiais Bahia 02</x:v>
      </x:c>
      <x:c r="C146" s="10" t="d">
        <x:v>2026-08-05T12:00:00.000Z</x:v>
      </x:c>
      <x:c r="D146" s="11" t="n">
        <x:v>2221</x:v>
      </x:c>
      <x:c r="E146" s="11" t="n">
        <x:v>2201</x:v>
      </x:c>
      <x:c r="F146" s="11"/>
      <x:c r="G146" s="12" t="n">
        <x:v>10.24</x:v>
      </x:c>
      <x:c r="H146" s="9" t="n">
        <x:v>0</x:v>
      </x:c>
      <x:c r="I146" s="9" t="n">
        <x:v>0</x:v>
      </x:c>
      <x:c r="J146" s="13"/>
      <x:c r="K146" s="9" t="str">
        <x:v>Exportado</x:v>
      </x:c>
      <x:c r="L146" s="9" t="str">
        <x:v>F009, F011, F010</x:v>
      </x:c>
    </x:row>
    <x:row r="147" ht="24" customHeight="1">
      <x:c r="A147" s="9" t="str">
        <x:v>C02</x:v>
      </x:c>
      <x:c r="B147" s="9" t="str">
        <x:v>YT - Arrozes especiais Bahia 02</x:v>
      </x:c>
      <x:c r="C147" s="10" t="d">
        <x:v>2026-08-06T12:00:00.000Z</x:v>
      </x:c>
      <x:c r="D147" s="11" t="n">
        <x:v>1841</x:v>
      </x:c>
      <x:c r="E147" s="11" t="n">
        <x:v>1814</x:v>
      </x:c>
      <x:c r="F147" s="11"/>
      <x:c r="G147" s="12" t="n">
        <x:v>10.21</x:v>
      </x:c>
      <x:c r="H147" s="9" t="n">
        <x:v>0</x:v>
      </x:c>
      <x:c r="I147" s="9" t="n">
        <x:v>0</x:v>
      </x:c>
      <x:c r="J147" s="13"/>
      <x:c r="K147" s="9" t="str">
        <x:v>Exportado</x:v>
      </x:c>
      <x:c r="L147" s="9" t="str">
        <x:v>F009, F011, F010</x:v>
      </x:c>
    </x:row>
    <x:row r="148" ht="24" customHeight="1">
      <x:c r="A148" s="9" t="str">
        <x:v>C02</x:v>
      </x:c>
      <x:c r="B148" s="9" t="str">
        <x:v>YT - Arrozes especiais Bahia 02</x:v>
      </x:c>
      <x:c r="C148" s="10" t="d">
        <x:v>2026-08-07T12:00:00.000Z</x:v>
      </x:c>
      <x:c r="D148" s="11" t="n">
        <x:v>2161</x:v>
      </x:c>
      <x:c r="E148" s="11" t="n">
        <x:v>2132</x:v>
      </x:c>
      <x:c r="F148" s="11"/>
      <x:c r="G148" s="12" t="n">
        <x:v>10.22</x:v>
      </x:c>
      <x:c r="H148" s="9" t="n">
        <x:v>0</x:v>
      </x:c>
      <x:c r="I148" s="9" t="n">
        <x:v>0</x:v>
      </x:c>
      <x:c r="J148" s="13"/>
      <x:c r="K148" s="9" t="str">
        <x:v>Exportado</x:v>
      </x:c>
      <x:c r="L148" s="9" t="str">
        <x:v>F009, F011, F010</x:v>
      </x:c>
    </x:row>
    <x:row r="149" ht="24" customHeight="1">
      <x:c r="A149" s="9" t="str">
        <x:v>C02</x:v>
      </x:c>
      <x:c r="B149" s="9" t="str">
        <x:v>YT - Arrozes especiais Bahia 02</x:v>
      </x:c>
      <x:c r="C149" s="10" t="d">
        <x:v>2026-08-08T12:00:00.000Z</x:v>
      </x:c>
      <x:c r="D149" s="11" t="n">
        <x:v>2313</x:v>
      </x:c>
      <x:c r="E149" s="11" t="n">
        <x:v>2285</x:v>
      </x:c>
      <x:c r="F149" s="11"/>
      <x:c r="G149" s="12" t="n">
        <x:v>10.14</x:v>
      </x:c>
      <x:c r="H149" s="9" t="n">
        <x:v>0</x:v>
      </x:c>
      <x:c r="I149" s="9" t="n">
        <x:v>0</x:v>
      </x:c>
      <x:c r="J149" s="13"/>
      <x:c r="K149" s="9" t="str">
        <x:v>Exportado</x:v>
      </x:c>
      <x:c r="L149" s="9" t="str">
        <x:v>F009, F011, F010</x:v>
      </x:c>
    </x:row>
    <x:row r="150" ht="24" customHeight="1">
      <x:c r="A150" s="9" t="str">
        <x:v>C02</x:v>
      </x:c>
      <x:c r="B150" s="9" t="str">
        <x:v>YT - Arrozes especiais Bahia 02</x:v>
      </x:c>
      <x:c r="C150" s="10" t="d">
        <x:v>2026-08-09T12:00:00.000Z</x:v>
      </x:c>
      <x:c r="D150" s="11" t="n">
        <x:v>2274</x:v>
      </x:c>
      <x:c r="E150" s="11" t="n">
        <x:v>2248</x:v>
      </x:c>
      <x:c r="F150" s="11"/>
      <x:c r="G150" s="12" t="n">
        <x:v>10.14</x:v>
      </x:c>
      <x:c r="H150" s="9" t="n">
        <x:v>0</x:v>
      </x:c>
      <x:c r="I150" s="9" t="n">
        <x:v>0</x:v>
      </x:c>
      <x:c r="J150" s="13"/>
      <x:c r="K150" s="9" t="str">
        <x:v>Exportado</x:v>
      </x:c>
      <x:c r="L150" s="9" t="str">
        <x:v>F009, F011, F010</x:v>
      </x:c>
    </x:row>
    <x:row r="151" ht="24" customHeight="1">
      <x:c r="A151" s="9" t="str">
        <x:v>C02</x:v>
      </x:c>
      <x:c r="B151" s="9" t="str">
        <x:v>YT - Arrozes especiais Bahia 02</x:v>
      </x:c>
      <x:c r="C151" s="10" t="d">
        <x:v>2026-08-10T12:00:00.000Z</x:v>
      </x:c>
      <x:c r="D151" s="11" t="n">
        <x:v>2280</x:v>
      </x:c>
      <x:c r="E151" s="11" t="n">
        <x:v>2255</x:v>
      </x:c>
      <x:c r="F151" s="11"/>
      <x:c r="G151" s="12" t="n">
        <x:v>10.11</x:v>
      </x:c>
      <x:c r="H151" s="9" t="n">
        <x:v>0</x:v>
      </x:c>
      <x:c r="I151" s="9" t="n">
        <x:v>0</x:v>
      </x:c>
      <x:c r="J151" s="13"/>
      <x:c r="K151" s="9" t="str">
        <x:v>Exportado</x:v>
      </x:c>
      <x:c r="L151" s="9" t="str">
        <x:v>F009, F011, F010</x:v>
      </x:c>
    </x:row>
    <x:row r="152" ht="24" customHeight="1">
      <x:c r="A152" s="9" t="str">
        <x:v>C02</x:v>
      </x:c>
      <x:c r="B152" s="9" t="str">
        <x:v>YT - Arrozes especiais Bahia 02</x:v>
      </x:c>
      <x:c r="C152" s="10" t="d">
        <x:v>2026-08-11T12:00:00.000Z</x:v>
      </x:c>
      <x:c r="D152" s="11" t="n">
        <x:v>2472</x:v>
      </x:c>
      <x:c r="E152" s="11" t="n">
        <x:v>2437</x:v>
      </x:c>
      <x:c r="F152" s="11"/>
      <x:c r="G152" s="12" t="n">
        <x:v>10.12</x:v>
      </x:c>
      <x:c r="H152" s="9" t="n">
        <x:v>0</x:v>
      </x:c>
      <x:c r="I152" s="9" t="n">
        <x:v>0</x:v>
      </x:c>
      <x:c r="J152" s="13"/>
      <x:c r="K152" s="9" t="str">
        <x:v>Exportado</x:v>
      </x:c>
      <x:c r="L152" s="9" t="str">
        <x:v>F009, F011, F010</x:v>
      </x:c>
    </x:row>
    <x:row r="153" ht="24" customHeight="1">
      <x:c r="A153" s="9" t="str">
        <x:v>C02</x:v>
      </x:c>
      <x:c r="B153" s="9" t="str">
        <x:v>YT - Arrozes especiais Bahia 02</x:v>
      </x:c>
      <x:c r="C153" s="10" t="d">
        <x:v>2026-08-12T12:00:00.000Z</x:v>
      </x:c>
      <x:c r="D153" s="11" t="n">
        <x:v>2428</x:v>
      </x:c>
      <x:c r="E153" s="11" t="n">
        <x:v>2382</x:v>
      </x:c>
      <x:c r="F153" s="11"/>
      <x:c r="G153" s="12" t="n">
        <x:v>10.09</x:v>
      </x:c>
      <x:c r="H153" s="9" t="n">
        <x:v>2</x:v>
      </x:c>
      <x:c r="I153" s="9" t="n">
        <x:v>0</x:v>
      </x:c>
      <x:c r="J153" s="13"/>
      <x:c r="K153" s="9" t="str">
        <x:v>Exportado</x:v>
      </x:c>
      <x:c r="L153" s="9" t="str">
        <x:v>F009, F011, F010</x:v>
      </x:c>
    </x:row>
    <x:row r="154" ht="24" customHeight="1">
      <x:c r="A154" s="9" t="str">
        <x:v>C02</x:v>
      </x:c>
      <x:c r="B154" s="9" t="str">
        <x:v>YT - Arrozes especiais Bahia 02</x:v>
      </x:c>
      <x:c r="C154" s="10" t="d">
        <x:v>2026-08-13T12:00:00.000Z</x:v>
      </x:c>
      <x:c r="D154" s="11" t="n">
        <x:v>2208</x:v>
      </x:c>
      <x:c r="E154" s="11" t="n">
        <x:v>2165</x:v>
      </x:c>
      <x:c r="F154" s="11"/>
      <x:c r="G154" s="12" t="n">
        <x:v>10.07</x:v>
      </x:c>
      <x:c r="H154" s="9" t="n">
        <x:v>0</x:v>
      </x:c>
      <x:c r="I154" s="9" t="n">
        <x:v>0</x:v>
      </x:c>
      <x:c r="J154" s="13"/>
      <x:c r="K154" s="9" t="str">
        <x:v>Exportado</x:v>
      </x:c>
      <x:c r="L154" s="9" t="str">
        <x:v>F009, F011, F010</x:v>
      </x:c>
    </x:row>
    <x:row r="155" ht="24" customHeight="1">
      <x:c r="A155" s="9" t="str">
        <x:v>C02</x:v>
      </x:c>
      <x:c r="B155" s="9" t="str">
        <x:v>YT - Arrozes especiais Bahia 02</x:v>
      </x:c>
      <x:c r="C155" s="10" t="d">
        <x:v>2026-08-14T12:00:00.000Z</x:v>
      </x:c>
      <x:c r="D155" s="11" t="n">
        <x:v>2132</x:v>
      </x:c>
      <x:c r="E155" s="11" t="n">
        <x:v>2101</x:v>
      </x:c>
      <x:c r="F155" s="11"/>
      <x:c r="G155" s="12" t="n">
        <x:v>9.94</x:v>
      </x:c>
      <x:c r="H155" s="9" t="n">
        <x:v>0</x:v>
      </x:c>
      <x:c r="I155" s="9" t="n">
        <x:v>0</x:v>
      </x:c>
      <x:c r="J155" s="13"/>
      <x:c r="K155" s="9" t="str">
        <x:v>Exportado</x:v>
      </x:c>
      <x:c r="L155" s="9" t="str">
        <x:v>F009, F011, F010</x:v>
      </x:c>
    </x:row>
    <x:row r="156" ht="24" customHeight="1">
      <x:c r="A156" s="9" t="str">
        <x:v>C02</x:v>
      </x:c>
      <x:c r="B156" s="9" t="str">
        <x:v>YT - Arrozes especiais Bahia 02</x:v>
      </x:c>
      <x:c r="C156" s="10" t="d">
        <x:v>2026-08-15T12:00:00.000Z</x:v>
      </x:c>
      <x:c r="D156" s="11" t="n">
        <x:v>2218</x:v>
      </x:c>
      <x:c r="E156" s="11" t="n">
        <x:v>2186</x:v>
      </x:c>
      <x:c r="F156" s="11"/>
      <x:c r="G156" s="12" t="n">
        <x:v>9.84</x:v>
      </x:c>
      <x:c r="H156" s="9" t="n">
        <x:v>1</x:v>
      </x:c>
      <x:c r="I156" s="9" t="n">
        <x:v>0</x:v>
      </x:c>
      <x:c r="J156" s="13"/>
      <x:c r="K156" s="9" t="str">
        <x:v>Exportado</x:v>
      </x:c>
      <x:c r="L156" s="9" t="str">
        <x:v>F009, F011, F010</x:v>
      </x:c>
    </x:row>
    <x:row r="157" ht="24" customHeight="1">
      <x:c r="A157" s="9" t="str">
        <x:v>C02</x:v>
      </x:c>
      <x:c r="B157" s="9" t="str">
        <x:v>YT - Arrozes especiais Bahia 02</x:v>
      </x:c>
      <x:c r="C157" s="10" t="d">
        <x:v>2026-08-16T12:00:00.000Z</x:v>
      </x:c>
      <x:c r="D157" s="11" t="n">
        <x:v>2050</x:v>
      </x:c>
      <x:c r="E157" s="11" t="n">
        <x:v>2013</x:v>
      </x:c>
      <x:c r="F157" s="11"/>
      <x:c r="G157" s="12" t="n">
        <x:v>10</x:v>
      </x:c>
      <x:c r="H157" s="9" t="n">
        <x:v>0</x:v>
      </x:c>
      <x:c r="I157" s="9" t="n">
        <x:v>0</x:v>
      </x:c>
      <x:c r="J157" s="13"/>
      <x:c r="K157" s="9" t="str">
        <x:v>Exportado</x:v>
      </x:c>
      <x:c r="L157" s="9" t="str">
        <x:v>F009, F011, F010</x:v>
      </x:c>
    </x:row>
    <x:row r="158" ht="24" customHeight="1">
      <x:c r="A158" s="9" t="str">
        <x:v>C02</x:v>
      </x:c>
      <x:c r="B158" s="9" t="str">
        <x:v>YT - Arrozes especiais Bahia 02</x:v>
      </x:c>
      <x:c r="C158" s="10" t="d">
        <x:v>2026-08-17T12:00:00.000Z</x:v>
      </x:c>
      <x:c r="D158" s="11" t="n">
        <x:v>2042</x:v>
      </x:c>
      <x:c r="E158" s="11" t="n">
        <x:v>2004</x:v>
      </x:c>
      <x:c r="F158" s="11"/>
      <x:c r="G158" s="12" t="n">
        <x:v>9.9</x:v>
      </x:c>
      <x:c r="H158" s="9" t="n">
        <x:v>0</x:v>
      </x:c>
      <x:c r="I158" s="9" t="n">
        <x:v>0</x:v>
      </x:c>
      <x:c r="J158" s="13"/>
      <x:c r="K158" s="9" t="str">
        <x:v>Exportado</x:v>
      </x:c>
      <x:c r="L158" s="9" t="str">
        <x:v>F009, F011, F010</x:v>
      </x:c>
    </x:row>
    <x:row r="159" ht="24" customHeight="1">
      <x:c r="A159" s="9" t="str">
        <x:v>C02</x:v>
      </x:c>
      <x:c r="B159" s="9" t="str">
        <x:v>YT - Arrozes especiais Bahia 02</x:v>
      </x:c>
      <x:c r="C159" s="10" t="d">
        <x:v>2026-08-18T12:00:00.000Z</x:v>
      </x:c>
      <x:c r="D159" s="11" t="n">
        <x:v>2164</x:v>
      </x:c>
      <x:c r="E159" s="11" t="n">
        <x:v>2122</x:v>
      </x:c>
      <x:c r="F159" s="11"/>
      <x:c r="G159" s="12" t="n">
        <x:v>9.92</x:v>
      </x:c>
      <x:c r="H159" s="9" t="n">
        <x:v>0</x:v>
      </x:c>
      <x:c r="I159" s="9" t="n">
        <x:v>0</x:v>
      </x:c>
      <x:c r="J159" s="13"/>
      <x:c r="K159" s="9" t="str">
        <x:v>Exportado</x:v>
      </x:c>
      <x:c r="L159" s="9" t="str">
        <x:v>F009, F011, F010</x:v>
      </x:c>
    </x:row>
    <x:row r="160" ht="24" customHeight="1">
      <x:c r="A160" s="9" t="str">
        <x:v>C02</x:v>
      </x:c>
      <x:c r="B160" s="9" t="str">
        <x:v>YT - Arrozes especiais Bahia 02</x:v>
      </x:c>
      <x:c r="C160" s="10" t="d">
        <x:v>2026-08-19T12:00:00.000Z</x:v>
      </x:c>
      <x:c r="D160" s="11" t="n">
        <x:v>2240</x:v>
      </x:c>
      <x:c r="E160" s="11" t="n">
        <x:v>2211</x:v>
      </x:c>
      <x:c r="F160" s="11"/>
      <x:c r="G160" s="12" t="n">
        <x:v>9.86</x:v>
      </x:c>
      <x:c r="H160" s="9" t="n">
        <x:v>1</x:v>
      </x:c>
      <x:c r="I160" s="9" t="n">
        <x:v>0</x:v>
      </x:c>
      <x:c r="J160" s="13"/>
      <x:c r="K160" s="9" t="str">
        <x:v>Exportado</x:v>
      </x:c>
      <x:c r="L160" s="9" t="str">
        <x:v>F009, F011, F010</x:v>
      </x:c>
    </x:row>
    <x:row r="161" ht="24" customHeight="1">
      <x:c r="A161" s="9" t="str">
        <x:v>C02</x:v>
      </x:c>
      <x:c r="B161" s="9" t="str">
        <x:v>YT - Arrozes especiais Bahia 02</x:v>
      </x:c>
      <x:c r="C161" s="10" t="d">
        <x:v>2026-08-20T12:00:00.000Z</x:v>
      </x:c>
      <x:c r="D161" s="11" t="n">
        <x:v>1756</x:v>
      </x:c>
      <x:c r="E161" s="11" t="n">
        <x:v>1738</x:v>
      </x:c>
      <x:c r="F161" s="11"/>
      <x:c r="G161" s="12" t="n">
        <x:v>9.92</x:v>
      </x:c>
      <x:c r="H161" s="9" t="n">
        <x:v>0</x:v>
      </x:c>
      <x:c r="I161" s="9" t="n">
        <x:v>0</x:v>
      </x:c>
      <x:c r="J161" s="13"/>
      <x:c r="K161" s="9" t="str">
        <x:v>Exportado</x:v>
      </x:c>
      <x:c r="L161" s="9" t="str">
        <x:v>F009, F011, F010</x:v>
      </x:c>
    </x:row>
    <x:row r="162" ht="24" customHeight="1">
      <x:c r="A162" s="9" t="str">
        <x:v>C02</x:v>
      </x:c>
      <x:c r="B162" s="9" t="str">
        <x:v>YT - Arrozes especiais Bahia 02</x:v>
      </x:c>
      <x:c r="C162" s="10" t="d">
        <x:v>2026-08-21T12:00:00.000Z</x:v>
      </x:c>
      <x:c r="D162" s="11" t="n">
        <x:v>1733</x:v>
      </x:c>
      <x:c r="E162" s="11" t="n">
        <x:v>1697</x:v>
      </x:c>
      <x:c r="F162" s="11"/>
      <x:c r="G162" s="12" t="n">
        <x:v>9.75</x:v>
      </x:c>
      <x:c r="H162" s="9" t="n">
        <x:v>0</x:v>
      </x:c>
      <x:c r="I162" s="9" t="n">
        <x:v>0</x:v>
      </x:c>
      <x:c r="J162" s="13"/>
      <x:c r="K162" s="9" t="str">
        <x:v>Exportado</x:v>
      </x:c>
      <x:c r="L162" s="9" t="str">
        <x:v>F009, F011, F010</x:v>
      </x:c>
    </x:row>
    <x:row r="163" ht="24" customHeight="1">
      <x:c r="A163" s="9" t="str">
        <x:v>C02</x:v>
      </x:c>
      <x:c r="B163" s="9" t="str">
        <x:v>YT - Arrozes especiais Bahia 02</x:v>
      </x:c>
      <x:c r="C163" s="10" t="d">
        <x:v>2026-08-22T12:00:00.000Z</x:v>
      </x:c>
      <x:c r="D163" s="11" t="n">
        <x:v>2106</x:v>
      </x:c>
      <x:c r="E163" s="11" t="n">
        <x:v>2081</x:v>
      </x:c>
      <x:c r="F163" s="11"/>
      <x:c r="G163" s="12" t="n">
        <x:v>9.88</x:v>
      </x:c>
      <x:c r="H163" s="9" t="n">
        <x:v>1</x:v>
      </x:c>
      <x:c r="I163" s="9" t="n">
        <x:v>0</x:v>
      </x:c>
      <x:c r="J163" s="13"/>
      <x:c r="K163" s="9" t="str">
        <x:v>Exportado</x:v>
      </x:c>
      <x:c r="L163" s="9" t="str">
        <x:v>F009, F011, F010</x:v>
      </x:c>
    </x:row>
    <x:row r="164" ht="24" customHeight="1">
      <x:c r="A164" s="9" t="str">
        <x:v>C02</x:v>
      </x:c>
      <x:c r="B164" s="9" t="str">
        <x:v>YT - Arrozes especiais Bahia 02</x:v>
      </x:c>
      <x:c r="C164" s="10" t="d">
        <x:v>2026-08-23T12:00:00.000Z</x:v>
      </x:c>
      <x:c r="D164" s="11" t="n">
        <x:v>2200</x:v>
      </x:c>
      <x:c r="E164" s="11" t="n">
        <x:v>2171</x:v>
      </x:c>
      <x:c r="F164" s="11"/>
      <x:c r="G164" s="12" t="n">
        <x:v>9.63</x:v>
      </x:c>
      <x:c r="H164" s="9" t="n">
        <x:v>0</x:v>
      </x:c>
      <x:c r="I164" s="9" t="n">
        <x:v>0</x:v>
      </x:c>
      <x:c r="J164" s="13"/>
      <x:c r="K164" s="9" t="str">
        <x:v>Exportado</x:v>
      </x:c>
      <x:c r="L164" s="9" t="str">
        <x:v>F009, F011, F010</x:v>
      </x:c>
    </x:row>
    <x:row r="165" ht="24" customHeight="1">
      <x:c r="A165" s="9" t="str">
        <x:v>C02</x:v>
      </x:c>
      <x:c r="B165" s="9" t="str">
        <x:v>YT - Arrozes especiais Bahia 02</x:v>
      </x:c>
      <x:c r="C165" s="10" t="d">
        <x:v>2026-08-24T12:00:00.000Z</x:v>
      </x:c>
      <x:c r="D165" s="11" t="n">
        <x:v>2129</x:v>
      </x:c>
      <x:c r="E165" s="11" t="n">
        <x:v>2113</x:v>
      </x:c>
      <x:c r="F165" s="11"/>
      <x:c r="G165" s="12" t="n">
        <x:v>9.59</x:v>
      </x:c>
      <x:c r="H165" s="9" t="n">
        <x:v>0</x:v>
      </x:c>
      <x:c r="I165" s="9" t="n">
        <x:v>0</x:v>
      </x:c>
      <x:c r="J165" s="13"/>
      <x:c r="K165" s="9" t="str">
        <x:v>Exportado</x:v>
      </x:c>
      <x:c r="L165" s="9" t="str">
        <x:v>F009, F011, F010</x:v>
      </x:c>
    </x:row>
    <x:row r="166" ht="24" customHeight="1">
      <x:c r="A166" s="9" t="str">
        <x:v>C02</x:v>
      </x:c>
      <x:c r="B166" s="9" t="str">
        <x:v>YT - Arrozes especiais Bahia 02</x:v>
      </x:c>
      <x:c r="C166" s="10" t="d">
        <x:v>2026-08-25T12:00:00.000Z</x:v>
      </x:c>
      <x:c r="D166" s="11" t="n">
        <x:v>1906</x:v>
      </x:c>
      <x:c r="E166" s="11" t="n">
        <x:v>1870</x:v>
      </x:c>
      <x:c r="F166" s="11"/>
      <x:c r="G166" s="12" t="n">
        <x:v>9.59</x:v>
      </x:c>
      <x:c r="H166" s="9" t="n">
        <x:v>0</x:v>
      </x:c>
      <x:c r="I166" s="9" t="n">
        <x:v>0</x:v>
      </x:c>
      <x:c r="J166" s="13"/>
      <x:c r="K166" s="9" t="str">
        <x:v>Exportado</x:v>
      </x:c>
      <x:c r="L166" s="9" t="str">
        <x:v>F009, F011, F010</x:v>
      </x:c>
    </x:row>
    <x:row r="167" ht="24" customHeight="1">
      <x:c r="A167" s="9" t="str">
        <x:v>C02</x:v>
      </x:c>
      <x:c r="B167" s="9" t="str">
        <x:v>YT - Arrozes especiais Bahia 02</x:v>
      </x:c>
      <x:c r="C167" s="10" t="d">
        <x:v>2026-08-26T12:00:00.000Z</x:v>
      </x:c>
      <x:c r="D167" s="11" t="n">
        <x:v>1344</x:v>
      </x:c>
      <x:c r="E167" s="11" t="n">
        <x:v>1327</x:v>
      </x:c>
      <x:c r="F167" s="11"/>
      <x:c r="G167" s="12" t="n">
        <x:v>6.3</x:v>
      </x:c>
      <x:c r="H167" s="9" t="n">
        <x:v>0</x:v>
      </x:c>
      <x:c r="I167" s="9" t="n">
        <x:v>0</x:v>
      </x:c>
      <x:c r="J167" s="13"/>
      <x:c r="K167" s="9" t="str">
        <x:v>Exportado</x:v>
      </x:c>
      <x:c r="L167" s="9" t="str">
        <x:v>F009, F011, F010</x:v>
      </x:c>
    </x:row>
    <x:row r="168" ht="24" customHeight="1">
      <x:c r="A168" s="9" t="str">
        <x:v>C02</x:v>
      </x:c>
      <x:c r="B168" s="9" t="str">
        <x:v>YT - Arrozes especiais Bahia 02</x:v>
      </x:c>
      <x:c r="C168" s="10" t="d">
        <x:v>2026-08-27T12:00:00.000Z</x:v>
      </x:c>
      <x:c r="D168" s="11" t="n">
        <x:v>2386</x:v>
      </x:c>
      <x:c r="E168" s="11" t="n">
        <x:v>2220</x:v>
      </x:c>
      <x:c r="F168" s="11"/>
      <x:c r="G168" s="12" t="n">
        <x:v>12.65</x:v>
      </x:c>
      <x:c r="H168" s="9" t="n">
        <x:v>0</x:v>
      </x:c>
      <x:c r="I168" s="9" t="n">
        <x:v>0</x:v>
      </x:c>
      <x:c r="J168" s="13"/>
      <x:c r="K168" s="9" t="str">
        <x:v>Exportado</x:v>
      </x:c>
      <x:c r="L168" s="9" t="str">
        <x:v>F009, F011, F010</x:v>
      </x:c>
    </x:row>
    <x:row r="169" ht="24" customHeight="1">
      <x:c r="A169" s="9" t="str">
        <x:v>C02</x:v>
      </x:c>
      <x:c r="B169" s="9" t="str">
        <x:v>YT - Arrozes especiais Bahia 02</x:v>
      </x:c>
      <x:c r="C169" s="10" t="d">
        <x:v>2026-08-28T12:00:00.000Z</x:v>
      </x:c>
      <x:c r="D169" s="11" t="n">
        <x:v>1713</x:v>
      </x:c>
      <x:c r="E169" s="11" t="n">
        <x:v>1592</x:v>
      </x:c>
      <x:c r="F169" s="11"/>
      <x:c r="G169" s="12" t="n">
        <x:v>9.41</x:v>
      </x:c>
      <x:c r="H169" s="9" t="n">
        <x:v>0</x:v>
      </x:c>
      <x:c r="I169" s="9" t="n">
        <x:v>0</x:v>
      </x:c>
      <x:c r="J169" s="13"/>
      <x:c r="K169" s="9" t="str">
        <x:v>Exportado</x:v>
      </x:c>
      <x:c r="L169" s="9" t="str">
        <x:v>F009, F011, F010</x:v>
      </x:c>
    </x:row>
    <x:row r="170" ht="24" customHeight="1">
      <x:c r="A170" s="9" t="str">
        <x:v>C02</x:v>
      </x:c>
      <x:c r="B170" s="9" t="str">
        <x:v>YT - Arrozes especiais Bahia 02</x:v>
      </x:c>
      <x:c r="C170" s="10" t="d">
        <x:v>2026-08-29T12:00:00.000Z</x:v>
      </x:c>
      <x:c r="D170" s="11" t="n">
        <x:v>1528</x:v>
      </x:c>
      <x:c r="E170" s="11" t="n">
        <x:v>1443</x:v>
      </x:c>
      <x:c r="F170" s="11"/>
      <x:c r="G170" s="12" t="n">
        <x:v>9.18</x:v>
      </x:c>
      <x:c r="H170" s="9" t="n">
        <x:v>2</x:v>
      </x:c>
      <x:c r="I170" s="9" t="n">
        <x:v>0</x:v>
      </x:c>
      <x:c r="J170" s="13"/>
      <x:c r="K170" s="9" t="str">
        <x:v>Exportado</x:v>
      </x:c>
      <x:c r="L170" s="9" t="str">
        <x:v>F009, F011, F010</x:v>
      </x:c>
    </x:row>
    <x:row r="171" ht="24" customHeight="1">
      <x:c r="A171" s="9" t="str">
        <x:v>C02</x:v>
      </x:c>
      <x:c r="B171" s="9" t="str">
        <x:v>YT - Arrozes especiais Bahia 02</x:v>
      </x:c>
      <x:c r="C171" s="10" t="d">
        <x:v>2026-08-30T12:00:00.000Z</x:v>
      </x:c>
      <x:c r="D171" s="11" t="n">
        <x:v>1608</x:v>
      </x:c>
      <x:c r="E171" s="11" t="n">
        <x:v>1388</x:v>
      </x:c>
      <x:c r="F171" s="11"/>
      <x:c r="G171" s="12" t="n">
        <x:v>8.91</x:v>
      </x:c>
      <x:c r="H171" s="9" t="n">
        <x:v>1</x:v>
      </x:c>
      <x:c r="I171" s="9" t="n">
        <x:v>0</x:v>
      </x:c>
      <x:c r="J171" s="13"/>
      <x:c r="K171" s="9" t="str">
        <x:v>Exportado</x:v>
      </x:c>
      <x:c r="L171" s="9" t="str">
        <x:v>F009, F011, F010</x:v>
      </x:c>
    </x:row>
    <x:row r="172" ht="24" customHeight="1">
      <x:c r="A172" s="9" t="str">
        <x:v>C02</x:v>
      </x:c>
      <x:c r="B172" s="9" t="str">
        <x:v>YT - Arrozes especiais Bahia 02</x:v>
      </x:c>
      <x:c r="C172" s="10" t="d">
        <x:v>2026-08-31T12:00:00.000Z</x:v>
      </x:c>
      <x:c r="D172" s="11" t="n">
        <x:v>1593</x:v>
      </x:c>
      <x:c r="E172" s="11" t="n">
        <x:v>1567</x:v>
      </x:c>
      <x:c r="F172" s="11"/>
      <x:c r="G172" s="12" t="n">
        <x:v>8.15</x:v>
      </x:c>
      <x:c r="H172" s="9" t="n">
        <x:v>0</x:v>
      </x:c>
      <x:c r="I172" s="9" t="n">
        <x:v>0</x:v>
      </x:c>
      <x:c r="J172" s="13"/>
      <x:c r="K172" s="9" t="str">
        <x:v>Exportado</x:v>
      </x:c>
      <x:c r="L172" s="9" t="str">
        <x:v>F009, F011, F010</x:v>
      </x:c>
    </x:row>
    <x:row r="173" ht="24" customHeight="1">
      <x:c r="A173" s="9" t="str">
        <x:v>C02</x:v>
      </x:c>
      <x:c r="B173" s="9" t="str">
        <x:v>YT - Arrozes especiais Bahia 02</x:v>
      </x:c>
      <x:c r="C173" s="10" t="d">
        <x:v>2026-09-01T12:00:00.000Z</x:v>
      </x:c>
      <x:c r="D173" s="11" t="n">
        <x:v>2140</x:v>
      </x:c>
      <x:c r="E173" s="11" t="n">
        <x:v>2078</x:v>
      </x:c>
      <x:c r="F173" s="11"/>
      <x:c r="G173" s="12" t="n">
        <x:v>10.58</x:v>
      </x:c>
      <x:c r="H173" s="9" t="n">
        <x:v>0</x:v>
      </x:c>
      <x:c r="I173" s="9" t="n">
        <x:v>0</x:v>
      </x:c>
      <x:c r="J173" s="13"/>
      <x:c r="K173" s="9" t="str">
        <x:v>Exportado</x:v>
      </x:c>
      <x:c r="L173" s="9" t="str">
        <x:v>F009, F011, F010</x:v>
      </x:c>
    </x:row>
    <x:row r="174" ht="24" customHeight="1">
      <x:c r="A174" s="9" t="str">
        <x:v>C02</x:v>
      </x:c>
      <x:c r="B174" s="9" t="str">
        <x:v>YT - Arrozes especiais Bahia 02</x:v>
      </x:c>
      <x:c r="C174" s="10" t="d">
        <x:v>2026-09-02T12:00:00.000Z</x:v>
      </x:c>
      <x:c r="D174" s="11" t="n">
        <x:v>1876</x:v>
      </x:c>
      <x:c r="E174" s="11" t="n">
        <x:v>1674</x:v>
      </x:c>
      <x:c r="F174" s="11"/>
      <x:c r="G174" s="12" t="n">
        <x:v>10.58</x:v>
      </x:c>
      <x:c r="H174" s="9" t="n">
        <x:v>2</x:v>
      </x:c>
      <x:c r="I174" s="9" t="n">
        <x:v>0</x:v>
      </x:c>
      <x:c r="J174" s="13"/>
      <x:c r="K174" s="9" t="str">
        <x:v>Exportado</x:v>
      </x:c>
      <x:c r="L174" s="9" t="str">
        <x:v>F009, F011, F010</x:v>
      </x:c>
    </x:row>
    <x:row r="175" ht="24" customHeight="1">
      <x:c r="A175" s="9" t="str">
        <x:v>C02</x:v>
      </x:c>
      <x:c r="B175" s="9" t="str">
        <x:v>YT - Arrozes especiais Bahia 02</x:v>
      </x:c>
      <x:c r="C175" s="10" t="d">
        <x:v>2026-09-03T12:00:00.000Z</x:v>
      </x:c>
      <x:c r="D175" s="11" t="n">
        <x:v>2390</x:v>
      </x:c>
      <x:c r="E175" s="11" t="n">
        <x:v>2347</x:v>
      </x:c>
      <x:c r="F175" s="11"/>
      <x:c r="G175" s="12" t="n">
        <x:v>10.6</x:v>
      </x:c>
      <x:c r="H175" s="9" t="n">
        <x:v>0</x:v>
      </x:c>
      <x:c r="I175" s="9" t="n">
        <x:v>0</x:v>
      </x:c>
      <x:c r="J175" s="13"/>
      <x:c r="K175" s="9" t="str">
        <x:v>Exportado</x:v>
      </x:c>
      <x:c r="L175" s="9" t="str">
        <x:v>F009, F011, F010</x:v>
      </x:c>
    </x:row>
    <x:row r="176" ht="24" customHeight="1">
      <x:c r="A176" s="9" t="str">
        <x:v>C02</x:v>
      </x:c>
      <x:c r="B176" s="9" t="str">
        <x:v>YT - Arrozes especiais Bahia 02</x:v>
      </x:c>
      <x:c r="C176" s="10" t="d">
        <x:v>2026-09-04T12:00:00.000Z</x:v>
      </x:c>
      <x:c r="D176" s="11" t="n">
        <x:v>2049</x:v>
      </x:c>
      <x:c r="E176" s="11" t="n">
        <x:v>1981</x:v>
      </x:c>
      <x:c r="F176" s="11"/>
      <x:c r="G176" s="12" t="n">
        <x:v>10.18</x:v>
      </x:c>
      <x:c r="H176" s="9" t="n">
        <x:v>1</x:v>
      </x:c>
      <x:c r="I176" s="9" t="n">
        <x:v>0</x:v>
      </x:c>
      <x:c r="J176" s="13"/>
      <x:c r="K176" s="9" t="str">
        <x:v>Exportado</x:v>
      </x:c>
      <x:c r="L176" s="9" t="str">
        <x:v>F009, F011, F010</x:v>
      </x:c>
    </x:row>
    <x:row r="177" ht="24" customHeight="1">
      <x:c r="A177" s="9" t="str">
        <x:v>C02</x:v>
      </x:c>
      <x:c r="B177" s="9" t="str">
        <x:v>YT - Arrozes especiais Bahia 02</x:v>
      </x:c>
      <x:c r="C177" s="10" t="d">
        <x:v>2026-09-05T12:00:00.000Z</x:v>
      </x:c>
      <x:c r="D177" s="11" t="n">
        <x:v>2250</x:v>
      </x:c>
      <x:c r="E177" s="11" t="n">
        <x:v>2096</x:v>
      </x:c>
      <x:c r="F177" s="11"/>
      <x:c r="G177" s="12" t="n">
        <x:v>10.62</x:v>
      </x:c>
      <x:c r="H177" s="9" t="n">
        <x:v>2</x:v>
      </x:c>
      <x:c r="I177" s="9" t="n">
        <x:v>0</x:v>
      </x:c>
      <x:c r="J177" s="13"/>
      <x:c r="K177" s="9" t="str">
        <x:v>Exportado</x:v>
      </x:c>
      <x:c r="L177" s="9" t="str">
        <x:v>F009, F011, F010</x:v>
      </x:c>
    </x:row>
    <x:row r="178" ht="24" customHeight="1">
      <x:c r="A178" s="9" t="str">
        <x:v>C02</x:v>
      </x:c>
      <x:c r="B178" s="9" t="str">
        <x:v>YT - Arrozes especiais Bahia 02</x:v>
      </x:c>
      <x:c r="C178" s="10" t="d">
        <x:v>2026-09-06T12:00:00.000Z</x:v>
      </x:c>
      <x:c r="D178" s="11" t="n">
        <x:v>2345</x:v>
      </x:c>
      <x:c r="E178" s="11" t="n">
        <x:v>2264</x:v>
      </x:c>
      <x:c r="F178" s="11"/>
      <x:c r="G178" s="12" t="n">
        <x:v>10.53</x:v>
      </x:c>
      <x:c r="H178" s="9" t="n">
        <x:v>3</x:v>
      </x:c>
      <x:c r="I178" s="9" t="n">
        <x:v>0</x:v>
      </x:c>
      <x:c r="J178" s="13"/>
      <x:c r="K178" s="9" t="str">
        <x:v>Exportado</x:v>
      </x:c>
      <x:c r="L178" s="9" t="str">
        <x:v>F009, F011, F010</x:v>
      </x:c>
    </x:row>
    <x:row r="179" ht="24" customHeight="1">
      <x:c r="A179" s="9" t="str">
        <x:v>C02</x:v>
      </x:c>
      <x:c r="B179" s="9" t="str">
        <x:v>YT - Arrozes especiais Bahia 02</x:v>
      </x:c>
      <x:c r="C179" s="10" t="d">
        <x:v>2026-09-07T12:00:00.000Z</x:v>
      </x:c>
      <x:c r="D179" s="11" t="n">
        <x:v>2460</x:v>
      </x:c>
      <x:c r="E179" s="11" t="n">
        <x:v>2307</x:v>
      </x:c>
      <x:c r="F179" s="11"/>
      <x:c r="G179" s="12" t="n">
        <x:v>10.58</x:v>
      </x:c>
      <x:c r="H179" s="9" t="n">
        <x:v>0</x:v>
      </x:c>
      <x:c r="I179" s="9" t="n">
        <x:v>0</x:v>
      </x:c>
      <x:c r="J179" s="13"/>
      <x:c r="K179" s="9" t="str">
        <x:v>Exportado</x:v>
      </x:c>
      <x:c r="L179" s="9" t="str">
        <x:v>F009, F011, F010</x:v>
      </x:c>
    </x:row>
    <x:row r="180" ht="24" customHeight="1">
      <x:c r="A180" s="9" t="str">
        <x:v>C02</x:v>
      </x:c>
      <x:c r="B180" s="9" t="str">
        <x:v>YT - Arrozes especiais Bahia 02</x:v>
      </x:c>
      <x:c r="C180" s="10" t="d">
        <x:v>2026-09-08T12:00:00.000Z</x:v>
      </x:c>
      <x:c r="D180" s="11" t="n">
        <x:v>2705</x:v>
      </x:c>
      <x:c r="E180" s="11" t="n">
        <x:v>2623</x:v>
      </x:c>
      <x:c r="F180" s="11"/>
      <x:c r="G180" s="12" t="n">
        <x:v>10.56</x:v>
      </x:c>
      <x:c r="H180" s="9" t="n">
        <x:v>0</x:v>
      </x:c>
      <x:c r="I180" s="9" t="n">
        <x:v>0</x:v>
      </x:c>
      <x:c r="J180" s="13"/>
      <x:c r="K180" s="9" t="str">
        <x:v>Exportado</x:v>
      </x:c>
      <x:c r="L180" s="9" t="str">
        <x:v>F009, F011, F010</x:v>
      </x:c>
    </x:row>
    <x:row r="181" ht="24" customHeight="1">
      <x:c r="A181" s="9" t="str">
        <x:v>C02</x:v>
      </x:c>
      <x:c r="B181" s="9" t="str">
        <x:v>YT - Arrozes especiais Bahia 02</x:v>
      </x:c>
      <x:c r="C181" s="10" t="d">
        <x:v>2026-09-09T12:00:00.000Z</x:v>
      </x:c>
      <x:c r="D181" s="11" t="n">
        <x:v>2484</x:v>
      </x:c>
      <x:c r="E181" s="11" t="n">
        <x:v>2377</x:v>
      </x:c>
      <x:c r="F181" s="11"/>
      <x:c r="G181" s="12" t="n">
        <x:v>10.53</x:v>
      </x:c>
      <x:c r="H181" s="9" t="n">
        <x:v>0</x:v>
      </x:c>
      <x:c r="I181" s="9" t="n">
        <x:v>0</x:v>
      </x:c>
      <x:c r="J181" s="13"/>
      <x:c r="K181" s="9" t="str">
        <x:v>Exportado</x:v>
      </x:c>
      <x:c r="L181" s="9" t="str">
        <x:v>F009, F011, F010</x:v>
      </x:c>
    </x:row>
    <x:row r="182" ht="24" customHeight="1">
      <x:c r="A182" s="9" t="str">
        <x:v>C02</x:v>
      </x:c>
      <x:c r="B182" s="9" t="str">
        <x:v>YT - Arrozes especiais Bahia 02</x:v>
      </x:c>
      <x:c r="C182" s="10" t="d">
        <x:v>2026-09-10T12:00:00.000Z</x:v>
      </x:c>
      <x:c r="D182" s="11" t="n">
        <x:v>2273</x:v>
      </x:c>
      <x:c r="E182" s="11" t="n">
        <x:v>2209</x:v>
      </x:c>
      <x:c r="F182" s="11"/>
      <x:c r="G182" s="12" t="n">
        <x:v>10.45</x:v>
      </x:c>
      <x:c r="H182" s="9" t="n">
        <x:v>0</x:v>
      </x:c>
      <x:c r="I182" s="9" t="n">
        <x:v>0</x:v>
      </x:c>
      <x:c r="J182" s="13"/>
      <x:c r="K182" s="9" t="str">
        <x:v>Exportado</x:v>
      </x:c>
      <x:c r="L182" s="9" t="str">
        <x:v>F009, F011, F010</x:v>
      </x:c>
    </x:row>
    <x:row r="183" ht="24" customHeight="1">
      <x:c r="A183" s="9" t="str">
        <x:v>C02</x:v>
      </x:c>
      <x:c r="B183" s="9" t="str">
        <x:v>YT - Arrozes especiais Bahia 02</x:v>
      </x:c>
      <x:c r="C183" s="10" t="d">
        <x:v>2026-09-11T12:00:00.000Z</x:v>
      </x:c>
      <x:c r="D183" s="11" t="n">
        <x:v>2435</x:v>
      </x:c>
      <x:c r="E183" s="11" t="n">
        <x:v>2421</x:v>
      </x:c>
      <x:c r="F183" s="11"/>
      <x:c r="G183" s="12" t="n">
        <x:v>10.5</x:v>
      </x:c>
      <x:c r="H183" s="9" t="n">
        <x:v>0</x:v>
      </x:c>
      <x:c r="I183" s="9" t="n">
        <x:v>0</x:v>
      </x:c>
      <x:c r="J183" s="13"/>
      <x:c r="K183" s="9" t="str">
        <x:v>Exportado</x:v>
      </x:c>
      <x:c r="L183" s="9" t="str">
        <x:v>F009, F011, F010</x:v>
      </x:c>
    </x:row>
    <x:row r="184" ht="24" customHeight="1">
      <x:c r="A184" s="9" t="str">
        <x:v>C02</x:v>
      </x:c>
      <x:c r="B184" s="9" t="str">
        <x:v>YT - Arrozes especiais Bahia 02</x:v>
      </x:c>
      <x:c r="C184" s="10" t="d">
        <x:v>2026-09-12T12:00:00.000Z</x:v>
      </x:c>
      <x:c r="D184" s="11" t="n">
        <x:v>2433</x:v>
      </x:c>
      <x:c r="E184" s="11" t="n">
        <x:v>2423</x:v>
      </x:c>
      <x:c r="F184" s="11"/>
      <x:c r="G184" s="12" t="n">
        <x:v>10.4</x:v>
      </x:c>
      <x:c r="H184" s="9" t="n">
        <x:v>0</x:v>
      </x:c>
      <x:c r="I184" s="9" t="n">
        <x:v>0</x:v>
      </x:c>
      <x:c r="J184" s="13"/>
      <x:c r="K184" s="9" t="str">
        <x:v>Exportado</x:v>
      </x:c>
      <x:c r="L184" s="9" t="str">
        <x:v>F009, F011, F010</x:v>
      </x:c>
    </x:row>
    <x:row r="185" ht="24" customHeight="1">
      <x:c r="A185" s="9" t="str">
        <x:v>C02</x:v>
      </x:c>
      <x:c r="B185" s="9" t="str">
        <x:v>YT - Arrozes especiais Bahia 02</x:v>
      </x:c>
      <x:c r="C185" s="10" t="d">
        <x:v>2026-09-13T12:00:00.000Z</x:v>
      </x:c>
      <x:c r="D185" s="11" t="n">
        <x:v>2468</x:v>
      </x:c>
      <x:c r="E185" s="11" t="n">
        <x:v>2451</x:v>
      </x:c>
      <x:c r="F185" s="11"/>
      <x:c r="G185" s="12" t="n">
        <x:v>10.39</x:v>
      </x:c>
      <x:c r="H185" s="9" t="n">
        <x:v>0</x:v>
      </x:c>
      <x:c r="I185" s="9" t="n">
        <x:v>0</x:v>
      </x:c>
      <x:c r="J185" s="13"/>
      <x:c r="K185" s="9" t="str">
        <x:v>Exportado</x:v>
      </x:c>
      <x:c r="L185" s="9" t="str">
        <x:v>F009, F011, F010</x:v>
      </x:c>
    </x:row>
    <x:row r="186" ht="24" customHeight="1">
      <x:c r="A186" s="9" t="str">
        <x:v>C02</x:v>
      </x:c>
      <x:c r="B186" s="9" t="str">
        <x:v>YT - Arrozes especiais Bahia 02</x:v>
      </x:c>
      <x:c r="C186" s="10" t="d">
        <x:v>2026-09-14T12:00:00.000Z</x:v>
      </x:c>
      <x:c r="D186" s="11" t="n">
        <x:v>2430</x:v>
      </x:c>
      <x:c r="E186" s="11" t="n">
        <x:v>2423</x:v>
      </x:c>
      <x:c r="F186" s="11"/>
      <x:c r="G186" s="12" t="n">
        <x:v>10.35</x:v>
      </x:c>
      <x:c r="H186" s="9" t="n">
        <x:v>0</x:v>
      </x:c>
      <x:c r="I186" s="9" t="n">
        <x:v>0</x:v>
      </x:c>
      <x:c r="J186" s="13"/>
      <x:c r="K186" s="9" t="str">
        <x:v>Exportado</x:v>
      </x:c>
      <x:c r="L186" s="9" t="str">
        <x:v>F009, F011, F010</x:v>
      </x:c>
    </x:row>
    <x:row r="187" ht="24" customHeight="1">
      <x:c r="A187" s="9" t="str">
        <x:v>C02</x:v>
      </x:c>
      <x:c r="B187" s="9" t="str">
        <x:v>YT - Arrozes especiais Bahia 02</x:v>
      </x:c>
      <x:c r="C187" s="10" t="d">
        <x:v>2026-09-15T12:00:00.000Z</x:v>
      </x:c>
      <x:c r="D187" s="11" t="n">
        <x:v>2464</x:v>
      </x:c>
      <x:c r="E187" s="11" t="n">
        <x:v>2458</x:v>
      </x:c>
      <x:c r="F187" s="11"/>
      <x:c r="G187" s="12" t="n">
        <x:v>10.3</x:v>
      </x:c>
      <x:c r="H187" s="9" t="n">
        <x:v>1</x:v>
      </x:c>
      <x:c r="I187" s="9" t="n">
        <x:v>0</x:v>
      </x:c>
      <x:c r="J187" s="13"/>
      <x:c r="K187" s="9" t="str">
        <x:v>Exportado</x:v>
      </x:c>
      <x:c r="L187" s="9" t="str">
        <x:v>F009, F011, F010</x:v>
      </x:c>
    </x:row>
    <x:row r="188" ht="24" customHeight="1">
      <x:c r="A188" s="9" t="str">
        <x:v>C02</x:v>
      </x:c>
      <x:c r="B188" s="9" t="str">
        <x:v>YT - Arrozes especiais Bahia 02</x:v>
      </x:c>
      <x:c r="C188" s="10" t="d">
        <x:v>2026-09-16T12:00:00.000Z</x:v>
      </x:c>
      <x:c r="D188" s="11" t="n">
        <x:v>2440</x:v>
      </x:c>
      <x:c r="E188" s="11" t="n">
        <x:v>2430</x:v>
      </x:c>
      <x:c r="F188" s="11"/>
      <x:c r="G188" s="12" t="n">
        <x:v>10.28</x:v>
      </x:c>
      <x:c r="H188" s="9" t="n">
        <x:v>1</x:v>
      </x:c>
      <x:c r="I188" s="9" t="n">
        <x:v>0</x:v>
      </x:c>
      <x:c r="J188" s="13"/>
      <x:c r="K188" s="9" t="str">
        <x:v>Exportado</x:v>
      </x:c>
      <x:c r="L188" s="9" t="str">
        <x:v>F009, F011, F010</x:v>
      </x:c>
    </x:row>
    <x:row r="189" ht="24" customHeight="1">
      <x:c r="A189" s="9" t="str">
        <x:v>C02</x:v>
      </x:c>
      <x:c r="B189" s="9" t="str">
        <x:v>YT - Arrozes especiais Bahia 02</x:v>
      </x:c>
      <x:c r="C189" s="10" t="d">
        <x:v>2026-09-17T12:00:00.000Z</x:v>
      </x:c>
      <x:c r="D189" s="11" t="n">
        <x:v>2462</x:v>
      </x:c>
      <x:c r="E189" s="11" t="n">
        <x:v>2455</x:v>
      </x:c>
      <x:c r="F189" s="11"/>
      <x:c r="G189" s="12" t="n">
        <x:v>10.23</x:v>
      </x:c>
      <x:c r="H189" s="9" t="n">
        <x:v>0</x:v>
      </x:c>
      <x:c r="I189" s="9" t="n">
        <x:v>0</x:v>
      </x:c>
      <x:c r="J189" s="13"/>
      <x:c r="K189" s="9" t="str">
        <x:v>Exportado</x:v>
      </x:c>
      <x:c r="L189" s="9" t="str">
        <x:v>F009, F011, F010</x:v>
      </x:c>
    </x:row>
    <x:row r="190" ht="24" customHeight="1">
      <x:c r="A190" s="9" t="str">
        <x:v>C02</x:v>
      </x:c>
      <x:c r="B190" s="9" t="str">
        <x:v>YT - Arrozes especiais Bahia 02</x:v>
      </x:c>
      <x:c r="C190" s="10" t="d">
        <x:v>2026-09-18T12:00:00.000Z</x:v>
      </x:c>
      <x:c r="D190" s="11" t="n">
        <x:v>2332</x:v>
      </x:c>
      <x:c r="E190" s="11" t="n">
        <x:v>2331</x:v>
      </x:c>
      <x:c r="F190" s="11"/>
      <x:c r="G190" s="12" t="n">
        <x:v>10.21</x:v>
      </x:c>
      <x:c r="H190" s="9" t="n">
        <x:v>0</x:v>
      </x:c>
      <x:c r="I190" s="9" t="n">
        <x:v>0</x:v>
      </x:c>
      <x:c r="J190" s="13"/>
      <x:c r="K190" s="9" t="str">
        <x:v>Exportado</x:v>
      </x:c>
      <x:c r="L190" s="9" t="str">
        <x:v>F009, F011, F010</x:v>
      </x:c>
    </x:row>
    <x:row r="191" ht="24" customHeight="1">
      <x:c r="A191" s="9" t="str">
        <x:v>C02</x:v>
      </x:c>
      <x:c r="B191" s="9" t="str">
        <x:v>YT - Arrozes especiais Bahia 02</x:v>
      </x:c>
      <x:c r="C191" s="10" t="d">
        <x:v>2026-09-19T12:00:00.000Z</x:v>
      </x:c>
      <x:c r="D191" s="11" t="n">
        <x:v>2243</x:v>
      </x:c>
      <x:c r="E191" s="11" t="n">
        <x:v>2231</x:v>
      </x:c>
      <x:c r="F191" s="11"/>
      <x:c r="G191" s="12" t="n">
        <x:v>10.18</x:v>
      </x:c>
      <x:c r="H191" s="9" t="n">
        <x:v>0</x:v>
      </x:c>
      <x:c r="I191" s="9" t="n">
        <x:v>0</x:v>
      </x:c>
      <x:c r="J191" s="13"/>
      <x:c r="K191" s="9" t="str">
        <x:v>Exportado</x:v>
      </x:c>
      <x:c r="L191" s="9" t="str">
        <x:v>F009, F011, F010</x:v>
      </x:c>
    </x:row>
    <x:row r="192" ht="24" customHeight="1">
      <x:c r="A192" s="9" t="str">
        <x:v>C02</x:v>
      </x:c>
      <x:c r="B192" s="9" t="str">
        <x:v>YT - Arrozes especiais Bahia 02</x:v>
      </x:c>
      <x:c r="C192" s="10" t="d">
        <x:v>2026-09-20T12:00:00.000Z</x:v>
      </x:c>
      <x:c r="D192" s="11" t="n">
        <x:v>2122</x:v>
      </x:c>
      <x:c r="E192" s="11" t="n">
        <x:v>2112</x:v>
      </x:c>
      <x:c r="F192" s="11"/>
      <x:c r="G192" s="12" t="n">
        <x:v>10.25</x:v>
      </x:c>
      <x:c r="H192" s="9" t="n">
        <x:v>2</x:v>
      </x:c>
      <x:c r="I192" s="9" t="n">
        <x:v>0</x:v>
      </x:c>
      <x:c r="J192" s="13"/>
      <x:c r="K192" s="9" t="str">
        <x:v>Exportado</x:v>
      </x:c>
      <x:c r="L192" s="9" t="str">
        <x:v>F009, F011, F010</x:v>
      </x:c>
    </x:row>
    <x:row r="193" ht="24" customHeight="1">
      <x:c r="A193" s="9" t="str">
        <x:v>C02</x:v>
      </x:c>
      <x:c r="B193" s="9" t="str">
        <x:v>YT - Arrozes especiais Bahia 02</x:v>
      </x:c>
      <x:c r="C193" s="10" t="d">
        <x:v>2026-09-21T12:00:00.000Z</x:v>
      </x:c>
      <x:c r="D193" s="11" t="n">
        <x:v>2226</x:v>
      </x:c>
      <x:c r="E193" s="11" t="n">
        <x:v>2214</x:v>
      </x:c>
      <x:c r="F193" s="11"/>
      <x:c r="G193" s="12" t="n">
        <x:v>9.98</x:v>
      </x:c>
      <x:c r="H193" s="9" t="n">
        <x:v>1</x:v>
      </x:c>
      <x:c r="I193" s="9" t="n">
        <x:v>0</x:v>
      </x:c>
      <x:c r="J193" s="13"/>
      <x:c r="K193" s="9" t="str">
        <x:v>Exportado</x:v>
      </x:c>
      <x:c r="L193" s="9" t="str">
        <x:v>F009, F011, F010</x:v>
      </x:c>
    </x:row>
    <x:row r="194" ht="24" customHeight="1">
      <x:c r="A194" s="9" t="str">
        <x:v>C02</x:v>
      </x:c>
      <x:c r="B194" s="9" t="str">
        <x:v>YT - Arrozes especiais Bahia 02</x:v>
      </x:c>
      <x:c r="C194" s="10" t="d">
        <x:v>2026-09-22T12:00:00.000Z</x:v>
      </x:c>
      <x:c r="D194" s="11" t="n">
        <x:v>2412</x:v>
      </x:c>
      <x:c r="E194" s="11" t="n">
        <x:v>2405</x:v>
      </x:c>
      <x:c r="F194" s="11"/>
      <x:c r="G194" s="12" t="n">
        <x:v>10.03</x:v>
      </x:c>
      <x:c r="H194" s="9" t="n">
        <x:v>0</x:v>
      </x:c>
      <x:c r="I194" s="9" t="n">
        <x:v>0</x:v>
      </x:c>
      <x:c r="J194" s="13"/>
      <x:c r="K194" s="9" t="str">
        <x:v>Exportado</x:v>
      </x:c>
      <x:c r="L194" s="9" t="str">
        <x:v>F009, F011, F010</x:v>
      </x:c>
    </x:row>
    <x:row r="195" ht="24" customHeight="1">
      <x:c r="A195" s="9" t="str">
        <x:v>C02</x:v>
      </x:c>
      <x:c r="B195" s="9" t="str">
        <x:v>YT - Arrozes especiais Bahia 02</x:v>
      </x:c>
      <x:c r="C195" s="10" t="d">
        <x:v>2026-09-23T12:00:00.000Z</x:v>
      </x:c>
      <x:c r="D195" s="11" t="n">
        <x:v>2256</x:v>
      </x:c>
      <x:c r="E195" s="11" t="n">
        <x:v>2251</x:v>
      </x:c>
      <x:c r="F195" s="11"/>
      <x:c r="G195" s="12" t="n">
        <x:v>9.93</x:v>
      </x:c>
      <x:c r="H195" s="9" t="n">
        <x:v>0</x:v>
      </x:c>
      <x:c r="I195" s="9" t="n">
        <x:v>0</x:v>
      </x:c>
      <x:c r="J195" s="13"/>
      <x:c r="K195" s="9" t="str">
        <x:v>Exportado</x:v>
      </x:c>
      <x:c r="L195" s="9" t="str">
        <x:v>F009, F011, F010</x:v>
      </x:c>
    </x:row>
    <x:row r="196" ht="24" customHeight="1">
      <x:c r="A196" s="9" t="str">
        <x:v>C02</x:v>
      </x:c>
      <x:c r="B196" s="9" t="str">
        <x:v>YT - Arrozes especiais Bahia 02</x:v>
      </x:c>
      <x:c r="C196" s="10" t="d">
        <x:v>2026-09-24T12:00:00.000Z</x:v>
      </x:c>
      <x:c r="D196" s="11" t="n">
        <x:v>182</x:v>
      </x:c>
      <x:c r="E196" s="11" t="n">
        <x:v>182</x:v>
      </x:c>
      <x:c r="F196" s="11"/>
      <x:c r="G196" s="12" t="n">
        <x:v>0.79</x:v>
      </x:c>
      <x:c r="H196" s="9" t="n">
        <x:v>0</x:v>
      </x:c>
      <x:c r="I196" s="9" t="n">
        <x:v>0</x:v>
      </x:c>
      <x:c r="J196" s="13"/>
      <x:c r="K196" s="9" t="str">
        <x:v>Exportado</x:v>
      </x:c>
      <x:c r="L196" s="9" t="str">
        <x:v>F009, F011, F010</x:v>
      </x:c>
    </x:row>
    <x:row r="197" ht="24" customHeight="1">
      <x:c r="A197" s="9" t="str">
        <x:v>C02</x:v>
      </x:c>
      <x:c r="B197" s="9" t="str">
        <x:v>YT - Arrozes especiais Bahia 02</x:v>
      </x:c>
      <x:c r="C197" s="10" t="d">
        <x:v>2026-09-25T12:00:00.000Z</x:v>
      </x:c>
      <x:c r="D197" s="11" t="n">
        <x:v>10</x:v>
      </x:c>
      <x:c r="E197" s="11" t="n">
        <x:v>9</x:v>
      </x:c>
      <x:c r="F197" s="11"/>
      <x:c r="G197" s="12" t="n">
        <x:v>0.03</x:v>
      </x:c>
      <x:c r="H197" s="9" t="n">
        <x:v>0</x:v>
      </x:c>
      <x:c r="I197" s="9" t="n">
        <x:v>0</x:v>
      </x:c>
      <x:c r="J197" s="13"/>
      <x:c r="K197" s="9" t="str">
        <x:v>Exportado</x:v>
      </x:c>
      <x:c r="L197" s="9" t="str">
        <x:v>F009, F011, F010</x:v>
      </x:c>
    </x:row>
    <x:row r="198" ht="24" customHeight="1">
      <x:c r="A198" s="9" t="str">
        <x:v>C02</x:v>
      </x:c>
      <x:c r="B198" s="9" t="str">
        <x:v>YT - Arrozes especiais Bahia 02</x:v>
      </x:c>
      <x:c r="C198" s="10" t="d">
        <x:v>2026-09-26T12:00:00.000Z</x:v>
      </x:c>
      <x:c r="D198" s="11" t="n">
        <x:v>0</x:v>
      </x:c>
      <x:c r="E198" s="11" t="n">
        <x:v>0</x:v>
      </x:c>
      <x:c r="F198" s="11"/>
      <x:c r="G198" s="12" t="n">
        <x:v>0</x:v>
      </x:c>
      <x:c r="H198" s="9" t="n">
        <x:v>0</x:v>
      </x:c>
      <x:c r="I198" s="9" t="n">
        <x:v>0</x:v>
      </x:c>
      <x:c r="J198" s="13"/>
      <x:c r="K198" s="9" t="str">
        <x:v>Exportado</x:v>
      </x:c>
      <x:c r="L198" s="9" t="str">
        <x:v>F009, F011, F010</x:v>
      </x:c>
    </x:row>
    <x:row r="199" ht="24" customHeight="1">
      <x:c r="A199" s="9" t="str">
        <x:v>C02</x:v>
      </x:c>
      <x:c r="B199" s="9" t="str">
        <x:v>YT - Arrozes especiais Bahia 02</x:v>
      </x:c>
      <x:c r="C199" s="10" t="d">
        <x:v>2026-09-27T12:00:00.000Z</x:v>
      </x:c>
      <x:c r="D199" s="11" t="n">
        <x:v>1</x:v>
      </x:c>
      <x:c r="E199" s="11" t="n">
        <x:v>1</x:v>
      </x:c>
      <x:c r="F199" s="11"/>
      <x:c r="G199" s="12" t="n">
        <x:v>0</x:v>
      </x:c>
      <x:c r="H199" s="9" t="n">
        <x:v>0</x:v>
      </x:c>
      <x:c r="I199" s="9" t="n">
        <x:v>0</x:v>
      </x:c>
      <x:c r="J199" s="13"/>
      <x:c r="K199" s="9" t="str">
        <x:v>Exportado</x:v>
      </x:c>
      <x:c r="L199" s="9" t="str">
        <x:v>F009, F011, F010</x:v>
      </x:c>
    </x:row>
    <x:row r="200" ht="24" customHeight="1">
      <x:c r="A200" s="9" t="str">
        <x:v>C02</x:v>
      </x:c>
      <x:c r="B200" s="9" t="str">
        <x:v>YT - Arrozes especiais Bahia 02</x:v>
      </x:c>
      <x:c r="C200" s="10" t="d">
        <x:v>2026-09-28T12:00:00.000Z</x:v>
      </x:c>
      <x:c r="D200" s="11" t="n">
        <x:v>0</x:v>
      </x:c>
      <x:c r="E200" s="11" t="n">
        <x:v>0</x:v>
      </x:c>
      <x:c r="F200" s="11"/>
      <x:c r="G200" s="12" t="n">
        <x:v>0</x:v>
      </x:c>
      <x:c r="H200" s="9" t="n">
        <x:v>0</x:v>
      </x:c>
      <x:c r="I200" s="9" t="n">
        <x:v>0</x:v>
      </x:c>
      <x:c r="J200" s="13"/>
      <x:c r="K200" s="9" t="str">
        <x:v>Exportado</x:v>
      </x:c>
      <x:c r="L200" s="9" t="str">
        <x:v>F009, F011, F010</x:v>
      </x:c>
    </x:row>
    <x:row r="201" ht="24" customHeight="1">
      <x:c r="A201" s="9" t="str">
        <x:v>C02</x:v>
      </x:c>
      <x:c r="B201" s="9" t="str">
        <x:v>YT - Arrozes especiais Bahia 02</x:v>
      </x:c>
      <x:c r="C201" s="10" t="d">
        <x:v>2026-09-29T12:00:00.000Z</x:v>
      </x:c>
      <x:c r="D201" s="11" t="n">
        <x:v>2</x:v>
      </x:c>
      <x:c r="E201" s="11" t="n">
        <x:v>2</x:v>
      </x:c>
      <x:c r="F201" s="11"/>
      <x:c r="G201" s="12" t="n">
        <x:v>0</x:v>
      </x:c>
      <x:c r="H201" s="9" t="n">
        <x:v>0</x:v>
      </x:c>
      <x:c r="I201" s="9" t="n">
        <x:v>0</x:v>
      </x:c>
      <x:c r="J201" s="13"/>
      <x:c r="K201" s="9" t="str">
        <x:v>Exportado</x:v>
      </x:c>
      <x:c r="L201" s="9" t="str">
        <x:v>F009, F011, F010</x:v>
      </x:c>
    </x:row>
    <x:row r="202" ht="24" customHeight="1">
      <x:c r="A202" s="9" t="str">
        <x:v>C02</x:v>
      </x:c>
      <x:c r="B202" s="9" t="str">
        <x:v>YT - Arrozes especiais Bahia 02</x:v>
      </x:c>
      <x:c r="C202" s="10" t="d">
        <x:v>2026-09-30T12:00:00.000Z</x:v>
      </x:c>
      <x:c r="D202" s="11" t="n">
        <x:v>0</x:v>
      </x:c>
      <x:c r="E202" s="11" t="n">
        <x:v>0</x:v>
      </x:c>
      <x:c r="F202" s="11"/>
      <x:c r="G202" s="12" t="n">
        <x:v>0</x:v>
      </x:c>
      <x:c r="H202" s="9" t="n">
        <x:v>0</x:v>
      </x:c>
      <x:c r="I202" s="9" t="n">
        <x:v>0</x:v>
      </x:c>
      <x:c r="J202" s="13"/>
      <x:c r="K202" s="9" t="str">
        <x:v>Exportado</x:v>
      </x:c>
      <x:c r="L202" s="9" t="str">
        <x:v>F009, F011, F010</x:v>
      </x:c>
    </x:row>
    <x:row r="203" ht="24" customHeight="1">
      <x:c r="A203" s="9" t="str">
        <x:v>C02</x:v>
      </x:c>
      <x:c r="B203" s="9" t="str">
        <x:v>YT - Arrozes especiais Bahia 02</x:v>
      </x:c>
      <x:c r="C203" s="10" t="d">
        <x:v>2026-10-01T12:00:00.000Z</x:v>
      </x:c>
      <x:c r="D203" s="11" t="n">
        <x:v>2290</x:v>
      </x:c>
      <x:c r="E203" s="11" t="n">
        <x:v>2281</x:v>
      </x:c>
      <x:c r="F203" s="11"/>
      <x:c r="G203" s="12" t="n">
        <x:v>9.79</x:v>
      </x:c>
      <x:c r="H203" s="9" t="n">
        <x:v>0</x:v>
      </x:c>
      <x:c r="I203" s="9" t="n">
        <x:v>0</x:v>
      </x:c>
      <x:c r="J203" s="13"/>
      <x:c r="K203" s="9" t="str">
        <x:v>Exportado</x:v>
      </x:c>
      <x:c r="L203" s="9" t="str">
        <x:v>F009, F011, F010</x:v>
      </x:c>
    </x:row>
    <x:row r="204" ht="24" customHeight="1">
      <x:c r="A204" s="9" t="str">
        <x:v>C02</x:v>
      </x:c>
      <x:c r="B204" s="9" t="str">
        <x:v>YT - Arrozes especiais Bahia 02</x:v>
      </x:c>
      <x:c r="C204" s="10" t="d">
        <x:v>2026-10-02T12:00:00.000Z</x:v>
      </x:c>
      <x:c r="D204" s="11" t="n">
        <x:v>3082</x:v>
      </x:c>
      <x:c r="E204" s="11" t="n">
        <x:v>3073</x:v>
      </x:c>
      <x:c r="F204" s="11"/>
      <x:c r="G204" s="12" t="n">
        <x:v>10.29</x:v>
      </x:c>
      <x:c r="H204" s="9" t="n">
        <x:v>1</x:v>
      </x:c>
      <x:c r="I204" s="9" t="n">
        <x:v>0</x:v>
      </x:c>
      <x:c r="J204" s="13"/>
      <x:c r="K204" s="9" t="str">
        <x:v>Exportado</x:v>
      </x:c>
      <x:c r="L204" s="9" t="str">
        <x:v>F009, F011, F010</x:v>
      </x:c>
    </x:row>
    <x:row r="205" ht="24" customHeight="1">
      <x:c r="A205" s="9" t="str">
        <x:v>C02</x:v>
      </x:c>
      <x:c r="B205" s="9" t="str">
        <x:v>YT - Arrozes especiais Bahia 02</x:v>
      </x:c>
      <x:c r="C205" s="10" t="d">
        <x:v>2026-10-03T12:00:00.000Z</x:v>
      </x:c>
      <x:c r="D205" s="11" t="n">
        <x:v>2729</x:v>
      </x:c>
      <x:c r="E205" s="11" t="n">
        <x:v>2694</x:v>
      </x:c>
      <x:c r="F205" s="11"/>
      <x:c r="G205" s="12" t="n">
        <x:v>10.28</x:v>
      </x:c>
      <x:c r="H205" s="9" t="n">
        <x:v>0</x:v>
      </x:c>
      <x:c r="I205" s="9" t="n">
        <x:v>0</x:v>
      </x:c>
      <x:c r="J205" s="13"/>
      <x:c r="K205" s="9" t="str">
        <x:v>Exportado</x:v>
      </x:c>
      <x:c r="L205" s="9" t="str">
        <x:v>F009, F011, F010</x:v>
      </x:c>
    </x:row>
    <x:row r="206" ht="24" customHeight="1">
      <x:c r="A206" s="9" t="str">
        <x:v>C02</x:v>
      </x:c>
      <x:c r="B206" s="9" t="str">
        <x:v>YT - Arrozes especiais Bahia 02</x:v>
      </x:c>
      <x:c r="C206" s="10" t="d">
        <x:v>2026-10-04T12:00:00.000Z</x:v>
      </x:c>
      <x:c r="D206" s="11" t="n">
        <x:v>2771</x:v>
      </x:c>
      <x:c r="E206" s="11" t="n">
        <x:v>2754</x:v>
      </x:c>
      <x:c r="F206" s="11"/>
      <x:c r="G206" s="12" t="n">
        <x:v>10.31</x:v>
      </x:c>
      <x:c r="H206" s="9" t="n">
        <x:v>0</x:v>
      </x:c>
      <x:c r="I206" s="9" t="n">
        <x:v>0</x:v>
      </x:c>
      <x:c r="J206" s="13"/>
      <x:c r="K206" s="9" t="str">
        <x:v>Exportado</x:v>
      </x:c>
      <x:c r="L206" s="9" t="str">
        <x:v>F009, F011, F010</x:v>
      </x:c>
    </x:row>
    <x:row r="207" ht="24" customHeight="1">
      <x:c r="A207" s="9" t="str">
        <x:v>C02</x:v>
      </x:c>
      <x:c r="B207" s="9" t="str">
        <x:v>YT - Arrozes especiais Bahia 02</x:v>
      </x:c>
      <x:c r="C207" s="10" t="d">
        <x:v>2026-10-05T12:00:00.000Z</x:v>
      </x:c>
      <x:c r="D207" s="11" t="n">
        <x:v>2899</x:v>
      </x:c>
      <x:c r="E207" s="11" t="n">
        <x:v>2890</x:v>
      </x:c>
      <x:c r="F207" s="11"/>
      <x:c r="G207" s="12" t="n">
        <x:v>10.22</x:v>
      </x:c>
      <x:c r="H207" s="9" t="n">
        <x:v>0</x:v>
      </x:c>
      <x:c r="I207" s="9" t="n">
        <x:v>0</x:v>
      </x:c>
      <x:c r="J207" s="13"/>
      <x:c r="K207" s="9" t="str">
        <x:v>Exportado</x:v>
      </x:c>
      <x:c r="L207" s="9" t="str">
        <x:v>F009, F011, F010</x:v>
      </x:c>
    </x:row>
    <x:row r="208" ht="24" customHeight="1">
      <x:c r="A208" s="9" t="str">
        <x:v>C02</x:v>
      </x:c>
      <x:c r="B208" s="9" t="str">
        <x:v>YT - Arrozes especiais Bahia 02</x:v>
      </x:c>
      <x:c r="C208" s="10" t="d">
        <x:v>2026-10-06T12:00:00.000Z</x:v>
      </x:c>
      <x:c r="D208" s="11" t="n">
        <x:v>3044</x:v>
      </x:c>
      <x:c r="E208" s="11" t="n">
        <x:v>3024</x:v>
      </x:c>
      <x:c r="F208" s="11"/>
      <x:c r="G208" s="12" t="n">
        <x:v>10.21</x:v>
      </x:c>
      <x:c r="H208" s="9" t="n">
        <x:v>0</x:v>
      </x:c>
      <x:c r="I208" s="9" t="n">
        <x:v>0</x:v>
      </x:c>
      <x:c r="J208" s="13"/>
      <x:c r="K208" s="9" t="str">
        <x:v>Exportado</x:v>
      </x:c>
      <x:c r="L208" s="9" t="str">
        <x:v>F009, F011, F010</x:v>
      </x:c>
    </x:row>
    <x:row r="209" ht="24" customHeight="1">
      <x:c r="A209" s="9" t="str">
        <x:v>C02</x:v>
      </x:c>
      <x:c r="B209" s="9" t="str">
        <x:v>YT - Arrozes especiais Bahia 02</x:v>
      </x:c>
      <x:c r="C209" s="10" t="d">
        <x:v>2026-10-07T12:00:00.000Z</x:v>
      </x:c>
      <x:c r="D209" s="11" t="n">
        <x:v>3050</x:v>
      </x:c>
      <x:c r="E209" s="11" t="n">
        <x:v>3034</x:v>
      </x:c>
      <x:c r="F209" s="11"/>
      <x:c r="G209" s="12" t="n">
        <x:v>10.2</x:v>
      </x:c>
      <x:c r="H209" s="9" t="n">
        <x:v>0</x:v>
      </x:c>
      <x:c r="I209" s="9" t="n">
        <x:v>0</x:v>
      </x:c>
      <x:c r="J209" s="13"/>
      <x:c r="K209" s="9" t="str">
        <x:v>Exportado</x:v>
      </x:c>
      <x:c r="L209" s="9" t="str">
        <x:v>F009, F011, F010</x:v>
      </x:c>
    </x:row>
    <x:row r="210" ht="24" customHeight="1">
      <x:c r="A210" s="9" t="str">
        <x:v>C02</x:v>
      </x:c>
      <x:c r="B210" s="9" t="str">
        <x:v>YT - Arrozes especiais Bahia 02</x:v>
      </x:c>
      <x:c r="C210" s="10" t="d">
        <x:v>2026-10-08T12:00:00.000Z</x:v>
      </x:c>
      <x:c r="D210" s="11" t="n">
        <x:v>2851</x:v>
      </x:c>
      <x:c r="E210" s="11" t="n">
        <x:v>2828</x:v>
      </x:c>
      <x:c r="F210" s="11"/>
      <x:c r="G210" s="12" t="n">
        <x:v>10.34</x:v>
      </x:c>
      <x:c r="H210" s="9" t="n">
        <x:v>0</x:v>
      </x:c>
      <x:c r="I210" s="9" t="n">
        <x:v>0</x:v>
      </x:c>
      <x:c r="J210" s="13"/>
      <x:c r="K210" s="9" t="str">
        <x:v>Exportado</x:v>
      </x:c>
      <x:c r="L210" s="9" t="str">
        <x:v>F009, F011, F010</x:v>
      </x:c>
    </x:row>
    <x:row r="211" ht="24" customHeight="1">
      <x:c r="A211" s="9" t="str">
        <x:v>C02</x:v>
      </x:c>
      <x:c r="B211" s="9" t="str">
        <x:v>YT - Arrozes especiais Bahia 02</x:v>
      </x:c>
      <x:c r="C211" s="10" t="d">
        <x:v>2026-10-09T12:00:00.000Z</x:v>
      </x:c>
      <x:c r="D211" s="11" t="n">
        <x:v>2782</x:v>
      </x:c>
      <x:c r="E211" s="11" t="n">
        <x:v>2775</x:v>
      </x:c>
      <x:c r="F211" s="11"/>
      <x:c r="G211" s="12" t="n">
        <x:v>10.27</x:v>
      </x:c>
      <x:c r="H211" s="9" t="n">
        <x:v>1</x:v>
      </x:c>
      <x:c r="I211" s="9" t="n">
        <x:v>0</x:v>
      </x:c>
      <x:c r="J211" s="13"/>
      <x:c r="K211" s="9" t="str">
        <x:v>Exportado</x:v>
      </x:c>
      <x:c r="L211" s="9" t="str">
        <x:v>F009, F011, F010</x:v>
      </x:c>
    </x:row>
    <x:row r="212" ht="24" customHeight="1">
      <x:c r="A212" s="9" t="str">
        <x:v>C02</x:v>
      </x:c>
      <x:c r="B212" s="9" t="str">
        <x:v>YT - Arrozes especiais Bahia 02</x:v>
      </x:c>
      <x:c r="C212" s="10" t="d">
        <x:v>2026-10-10T12:00:00.000Z</x:v>
      </x:c>
      <x:c r="D212" s="11" t="n">
        <x:v>2880</x:v>
      </x:c>
      <x:c r="E212" s="11" t="n">
        <x:v>2873</x:v>
      </x:c>
      <x:c r="F212" s="11"/>
      <x:c r="G212" s="12" t="n">
        <x:v>10.19</x:v>
      </x:c>
      <x:c r="H212" s="9" t="n">
        <x:v>0</x:v>
      </x:c>
      <x:c r="I212" s="9" t="n">
        <x:v>0</x:v>
      </x:c>
      <x:c r="J212" s="13"/>
      <x:c r="K212" s="9" t="str">
        <x:v>Exportado</x:v>
      </x:c>
      <x:c r="L212" s="9" t="str">
        <x:v>F009, F011, F010</x:v>
      </x:c>
    </x:row>
    <x:row r="213" ht="24" customHeight="1">
      <x:c r="A213" s="9" t="str">
        <x:v>C02</x:v>
      </x:c>
      <x:c r="B213" s="9" t="str">
        <x:v>YT - Arrozes especiais Bahia 02</x:v>
      </x:c>
      <x:c r="C213" s="10" t="d">
        <x:v>2026-10-11T12:00:00.000Z</x:v>
      </x:c>
      <x:c r="D213" s="11" t="n">
        <x:v>2688</x:v>
      </x:c>
      <x:c r="E213" s="11" t="n">
        <x:v>2679</x:v>
      </x:c>
      <x:c r="F213" s="11"/>
      <x:c r="G213" s="12" t="n">
        <x:v>10.08</x:v>
      </x:c>
      <x:c r="H213" s="9" t="n">
        <x:v>0</x:v>
      </x:c>
      <x:c r="I213" s="9" t="n">
        <x:v>0</x:v>
      </x:c>
      <x:c r="J213" s="13"/>
      <x:c r="K213" s="9" t="str">
        <x:v>Exportado</x:v>
      </x:c>
      <x:c r="L213" s="9" t="str">
        <x:v>F009, F011, F010</x:v>
      </x:c>
    </x:row>
    <x:row r="214" ht="24" customHeight="1">
      <x:c r="A214" s="9" t="str">
        <x:v>C02</x:v>
      </x:c>
      <x:c r="B214" s="9" t="str">
        <x:v>YT - Arrozes especiais Bahia 02</x:v>
      </x:c>
      <x:c r="C214" s="10" t="d">
        <x:v>2026-10-12T12:00:00.000Z</x:v>
      </x:c>
      <x:c r="D214" s="11" t="n">
        <x:v>2628</x:v>
      </x:c>
      <x:c r="E214" s="11" t="n">
        <x:v>2619</x:v>
      </x:c>
      <x:c r="F214" s="11"/>
      <x:c r="G214" s="12" t="n">
        <x:v>10.1</x:v>
      </x:c>
      <x:c r="H214" s="9" t="n">
        <x:v>0</x:v>
      </x:c>
      <x:c r="I214" s="9" t="n">
        <x:v>0</x:v>
      </x:c>
      <x:c r="J214" s="13"/>
      <x:c r="K214" s="9" t="str">
        <x:v>Exportado</x:v>
      </x:c>
      <x:c r="L214" s="9" t="str">
        <x:v>F009, F011, F010</x:v>
      </x:c>
    </x:row>
    <x:row r="215" ht="24" customHeight="1">
      <x:c r="A215" s="9" t="str">
        <x:v>C02</x:v>
      </x:c>
      <x:c r="B215" s="9" t="str">
        <x:v>YT - Arrozes especiais Bahia 02</x:v>
      </x:c>
      <x:c r="C215" s="10" t="d">
        <x:v>2026-10-13T12:00:00.000Z</x:v>
      </x:c>
      <x:c r="D215" s="11" t="n">
        <x:v>2534</x:v>
      </x:c>
      <x:c r="E215" s="11" t="n">
        <x:v>2521</x:v>
      </x:c>
      <x:c r="F215" s="11"/>
      <x:c r="G215" s="12" t="n">
        <x:v>10.04</x:v>
      </x:c>
      <x:c r="H215" s="9" t="n">
        <x:v>0</x:v>
      </x:c>
      <x:c r="I215" s="9" t="n">
        <x:v>0</x:v>
      </x:c>
      <x:c r="J215" s="13"/>
      <x:c r="K215" s="9" t="str">
        <x:v>Exportado</x:v>
      </x:c>
      <x:c r="L215" s="9" t="str">
        <x:v>F009, F011, F010</x:v>
      </x:c>
    </x:row>
    <x:row r="216" ht="24" customHeight="1">
      <x:c r="A216" s="9" t="str">
        <x:v>C03</x:v>
      </x:c>
      <x:c r="B216" s="9" t="str">
        <x:v>YT - Arrozes especiais Bahia 03</x:v>
      </x:c>
      <x:c r="C216" s="10" t="d">
        <x:v>2026-07-01T12:00:00.000Z</x:v>
      </x:c>
      <x:c r="D216" s="11" t="n">
        <x:v>0</x:v>
      </x:c>
      <x:c r="E216" s="11" t="n">
        <x:v>0</x:v>
      </x:c>
      <x:c r="F216" s="11"/>
      <x:c r="G216" s="12" t="n">
        <x:v>0</x:v>
      </x:c>
      <x:c r="H216" s="9" t="n">
        <x:v>0</x:v>
      </x:c>
      <x:c r="I216" s="9" t="n">
        <x:v>0</x:v>
      </x:c>
      <x:c r="J216" s="13"/>
      <x:c r="K216" s="9" t="str">
        <x:v>Exportado</x:v>
      </x:c>
      <x:c r="L216" s="9" t="str">
        <x:v>F017, F019, F018</x:v>
      </x:c>
    </x:row>
    <x:row r="217" ht="24" customHeight="1">
      <x:c r="A217" s="9" t="str">
        <x:v>C03</x:v>
      </x:c>
      <x:c r="B217" s="9" t="str">
        <x:v>YT - Arrozes especiais Bahia 03</x:v>
      </x:c>
      <x:c r="C217" s="10" t="d">
        <x:v>2026-07-02T12:00:00.000Z</x:v>
      </x:c>
      <x:c r="D217" s="11" t="n">
        <x:v>0</x:v>
      </x:c>
      <x:c r="E217" s="11" t="n">
        <x:v>0</x:v>
      </x:c>
      <x:c r="F217" s="11"/>
      <x:c r="G217" s="12" t="n">
        <x:v>0</x:v>
      </x:c>
      <x:c r="H217" s="9" t="n">
        <x:v>0</x:v>
      </x:c>
      <x:c r="I217" s="9" t="n">
        <x:v>0</x:v>
      </x:c>
      <x:c r="J217" s="13"/>
      <x:c r="K217" s="9" t="str">
        <x:v>Exportado</x:v>
      </x:c>
      <x:c r="L217" s="9" t="str">
        <x:v>F017, F019, F018</x:v>
      </x:c>
    </x:row>
    <x:row r="218" ht="24" customHeight="1">
      <x:c r="A218" s="9" t="str">
        <x:v>C03</x:v>
      </x:c>
      <x:c r="B218" s="9" t="str">
        <x:v>YT - Arrozes especiais Bahia 03</x:v>
      </x:c>
      <x:c r="C218" s="10" t="d">
        <x:v>2026-07-03T12:00:00.000Z</x:v>
      </x:c>
      <x:c r="D218" s="11" t="n">
        <x:v>0</x:v>
      </x:c>
      <x:c r="E218" s="11" t="n">
        <x:v>0</x:v>
      </x:c>
      <x:c r="F218" s="11"/>
      <x:c r="G218" s="12" t="n">
        <x:v>0</x:v>
      </x:c>
      <x:c r="H218" s="9" t="n">
        <x:v>0</x:v>
      </x:c>
      <x:c r="I218" s="9" t="n">
        <x:v>0</x:v>
      </x:c>
      <x:c r="J218" s="13"/>
      <x:c r="K218" s="9" t="str">
        <x:v>Exportado</x:v>
      </x:c>
      <x:c r="L218" s="9" t="str">
        <x:v>F017, F019, F018</x:v>
      </x:c>
    </x:row>
    <x:row r="219" ht="24" customHeight="1">
      <x:c r="A219" s="9" t="str">
        <x:v>C03</x:v>
      </x:c>
      <x:c r="B219" s="9" t="str">
        <x:v>YT - Arrozes especiais Bahia 03</x:v>
      </x:c>
      <x:c r="C219" s="10" t="d">
        <x:v>2026-07-04T12:00:00.000Z</x:v>
      </x:c>
      <x:c r="D219" s="11" t="n">
        <x:v>0</x:v>
      </x:c>
      <x:c r="E219" s="11" t="n">
        <x:v>0</x:v>
      </x:c>
      <x:c r="F219" s="11"/>
      <x:c r="G219" s="12" t="n">
        <x:v>0</x:v>
      </x:c>
      <x:c r="H219" s="9" t="n">
        <x:v>0</x:v>
      </x:c>
      <x:c r="I219" s="9" t="n">
        <x:v>0</x:v>
      </x:c>
      <x:c r="J219" s="13"/>
      <x:c r="K219" s="9" t="str">
        <x:v>Exportado</x:v>
      </x:c>
      <x:c r="L219" s="9" t="str">
        <x:v>F017, F019, F018</x:v>
      </x:c>
    </x:row>
    <x:row r="220" ht="24" customHeight="1">
      <x:c r="A220" s="9" t="str">
        <x:v>C03</x:v>
      </x:c>
      <x:c r="B220" s="9" t="str">
        <x:v>YT - Arrozes especiais Bahia 03</x:v>
      </x:c>
      <x:c r="C220" s="10" t="d">
        <x:v>2026-07-05T12:00:00.000Z</x:v>
      </x:c>
      <x:c r="D220" s="11" t="n">
        <x:v>0</x:v>
      </x:c>
      <x:c r="E220" s="11" t="n">
        <x:v>0</x:v>
      </x:c>
      <x:c r="F220" s="11"/>
      <x:c r="G220" s="12" t="n">
        <x:v>0</x:v>
      </x:c>
      <x:c r="H220" s="9" t="n">
        <x:v>0</x:v>
      </x:c>
      <x:c r="I220" s="9" t="n">
        <x:v>0</x:v>
      </x:c>
      <x:c r="J220" s="13"/>
      <x:c r="K220" s="9" t="str">
        <x:v>Exportado</x:v>
      </x:c>
      <x:c r="L220" s="9" t="str">
        <x:v>F017, F019, F018</x:v>
      </x:c>
    </x:row>
    <x:row r="221" ht="24" customHeight="1">
      <x:c r="A221" s="9" t="str">
        <x:v>C03</x:v>
      </x:c>
      <x:c r="B221" s="9" t="str">
        <x:v>YT - Arrozes especiais Bahia 03</x:v>
      </x:c>
      <x:c r="C221" s="10" t="d">
        <x:v>2026-07-06T12:00:00.000Z</x:v>
      </x:c>
      <x:c r="D221" s="11" t="n">
        <x:v>0</x:v>
      </x:c>
      <x:c r="E221" s="11" t="n">
        <x:v>0</x:v>
      </x:c>
      <x:c r="F221" s="11"/>
      <x:c r="G221" s="12" t="n">
        <x:v>0</x:v>
      </x:c>
      <x:c r="H221" s="9" t="n">
        <x:v>0</x:v>
      </x:c>
      <x:c r="I221" s="9" t="n">
        <x:v>0</x:v>
      </x:c>
      <x:c r="J221" s="13"/>
      <x:c r="K221" s="9" t="str">
        <x:v>Exportado</x:v>
      </x:c>
      <x:c r="L221" s="9" t="str">
        <x:v>F017, F019, F018</x:v>
      </x:c>
    </x:row>
    <x:row r="222" ht="24" customHeight="1">
      <x:c r="A222" s="9" t="str">
        <x:v>C03</x:v>
      </x:c>
      <x:c r="B222" s="9" t="str">
        <x:v>YT - Arrozes especiais Bahia 03</x:v>
      </x:c>
      <x:c r="C222" s="10" t="d">
        <x:v>2026-07-07T12:00:00.000Z</x:v>
      </x:c>
      <x:c r="D222" s="11" t="n">
        <x:v>0</x:v>
      </x:c>
      <x:c r="E222" s="11" t="n">
        <x:v>0</x:v>
      </x:c>
      <x:c r="F222" s="11"/>
      <x:c r="G222" s="12" t="n">
        <x:v>0</x:v>
      </x:c>
      <x:c r="H222" s="9" t="n">
        <x:v>0</x:v>
      </x:c>
      <x:c r="I222" s="9" t="n">
        <x:v>0</x:v>
      </x:c>
      <x:c r="J222" s="13"/>
      <x:c r="K222" s="9" t="str">
        <x:v>Exportado</x:v>
      </x:c>
      <x:c r="L222" s="9" t="str">
        <x:v>F017, F019, F018</x:v>
      </x:c>
    </x:row>
    <x:row r="223" ht="24" customHeight="1">
      <x:c r="A223" s="9" t="str">
        <x:v>C03</x:v>
      </x:c>
      <x:c r="B223" s="9" t="str">
        <x:v>YT - Arrozes especiais Bahia 03</x:v>
      </x:c>
      <x:c r="C223" s="10" t="d">
        <x:v>2026-07-08T12:00:00.000Z</x:v>
      </x:c>
      <x:c r="D223" s="11" t="n">
        <x:v>0</x:v>
      </x:c>
      <x:c r="E223" s="11" t="n">
        <x:v>0</x:v>
      </x:c>
      <x:c r="F223" s="11"/>
      <x:c r="G223" s="12" t="n">
        <x:v>0</x:v>
      </x:c>
      <x:c r="H223" s="9" t="n">
        <x:v>0</x:v>
      </x:c>
      <x:c r="I223" s="9" t="n">
        <x:v>0</x:v>
      </x:c>
      <x:c r="J223" s="13"/>
      <x:c r="K223" s="9" t="str">
        <x:v>Exportado</x:v>
      </x:c>
      <x:c r="L223" s="9" t="str">
        <x:v>F017, F019, F018</x:v>
      </x:c>
    </x:row>
    <x:row r="224" ht="24" customHeight="1">
      <x:c r="A224" s="9" t="str">
        <x:v>C03</x:v>
      </x:c>
      <x:c r="B224" s="9" t="str">
        <x:v>YT - Arrozes especiais Bahia 03</x:v>
      </x:c>
      <x:c r="C224" s="10" t="d">
        <x:v>2026-07-09T12:00:00.000Z</x:v>
      </x:c>
      <x:c r="D224" s="11" t="n">
        <x:v>0</x:v>
      </x:c>
      <x:c r="E224" s="11" t="n">
        <x:v>0</x:v>
      </x:c>
      <x:c r="F224" s="11"/>
      <x:c r="G224" s="12" t="n">
        <x:v>0</x:v>
      </x:c>
      <x:c r="H224" s="9" t="n">
        <x:v>0</x:v>
      </x:c>
      <x:c r="I224" s="9" t="n">
        <x:v>0</x:v>
      </x:c>
      <x:c r="J224" s="13"/>
      <x:c r="K224" s="9" t="str">
        <x:v>Exportado</x:v>
      </x:c>
      <x:c r="L224" s="9" t="str">
        <x:v>F017, F019, F018</x:v>
      </x:c>
    </x:row>
    <x:row r="225" ht="24" customHeight="1">
      <x:c r="A225" s="9" t="str">
        <x:v>C03</x:v>
      </x:c>
      <x:c r="B225" s="9" t="str">
        <x:v>YT - Arrozes especiais Bahia 03</x:v>
      </x:c>
      <x:c r="C225" s="10" t="d">
        <x:v>2026-07-10T12:00:00.000Z</x:v>
      </x:c>
      <x:c r="D225" s="11" t="n">
        <x:v>0</x:v>
      </x:c>
      <x:c r="E225" s="11" t="n">
        <x:v>0</x:v>
      </x:c>
      <x:c r="F225" s="11"/>
      <x:c r="G225" s="12" t="n">
        <x:v>0</x:v>
      </x:c>
      <x:c r="H225" s="9" t="n">
        <x:v>0</x:v>
      </x:c>
      <x:c r="I225" s="9" t="n">
        <x:v>0</x:v>
      </x:c>
      <x:c r="J225" s="13"/>
      <x:c r="K225" s="9" t="str">
        <x:v>Exportado</x:v>
      </x:c>
      <x:c r="L225" s="9" t="str">
        <x:v>F017, F019, F018</x:v>
      </x:c>
    </x:row>
    <x:row r="226" ht="24" customHeight="1">
      <x:c r="A226" s="9" t="str">
        <x:v>C03</x:v>
      </x:c>
      <x:c r="B226" s="9" t="str">
        <x:v>YT - Arrozes especiais Bahia 03</x:v>
      </x:c>
      <x:c r="C226" s="10" t="d">
        <x:v>2026-07-11T12:00:00.000Z</x:v>
      </x:c>
      <x:c r="D226" s="11" t="n">
        <x:v>0</x:v>
      </x:c>
      <x:c r="E226" s="11" t="n">
        <x:v>0</x:v>
      </x:c>
      <x:c r="F226" s="11"/>
      <x:c r="G226" s="12" t="n">
        <x:v>0</x:v>
      </x:c>
      <x:c r="H226" s="9" t="n">
        <x:v>0</x:v>
      </x:c>
      <x:c r="I226" s="9" t="n">
        <x:v>0</x:v>
      </x:c>
      <x:c r="J226" s="13"/>
      <x:c r="K226" s="9" t="str">
        <x:v>Exportado</x:v>
      </x:c>
      <x:c r="L226" s="9" t="str">
        <x:v>F017, F019, F018</x:v>
      </x:c>
    </x:row>
    <x:row r="227" ht="24" customHeight="1">
      <x:c r="A227" s="9" t="str">
        <x:v>C03</x:v>
      </x:c>
      <x:c r="B227" s="9" t="str">
        <x:v>YT - Arrozes especiais Bahia 03</x:v>
      </x:c>
      <x:c r="C227" s="10" t="d">
        <x:v>2026-07-12T12:00:00.000Z</x:v>
      </x:c>
      <x:c r="D227" s="11" t="n">
        <x:v>0</x:v>
      </x:c>
      <x:c r="E227" s="11" t="n">
        <x:v>0</x:v>
      </x:c>
      <x:c r="F227" s="11"/>
      <x:c r="G227" s="12" t="n">
        <x:v>0</x:v>
      </x:c>
      <x:c r="H227" s="9" t="n">
        <x:v>0</x:v>
      </x:c>
      <x:c r="I227" s="9" t="n">
        <x:v>0</x:v>
      </x:c>
      <x:c r="J227" s="13"/>
      <x:c r="K227" s="9" t="str">
        <x:v>Exportado</x:v>
      </x:c>
      <x:c r="L227" s="9" t="str">
        <x:v>F017, F019, F018</x:v>
      </x:c>
    </x:row>
    <x:row r="228" ht="24" customHeight="1">
      <x:c r="A228" s="9" t="str">
        <x:v>C03</x:v>
      </x:c>
      <x:c r="B228" s="9" t="str">
        <x:v>YT - Arrozes especiais Bahia 03</x:v>
      </x:c>
      <x:c r="C228" s="10" t="d">
        <x:v>2026-07-13T12:00:00.000Z</x:v>
      </x:c>
      <x:c r="D228" s="11" t="n">
        <x:v>0</x:v>
      </x:c>
      <x:c r="E228" s="11" t="n">
        <x:v>0</x:v>
      </x:c>
      <x:c r="F228" s="11"/>
      <x:c r="G228" s="12" t="n">
        <x:v>0</x:v>
      </x:c>
      <x:c r="H228" s="9" t="n">
        <x:v>0</x:v>
      </x:c>
      <x:c r="I228" s="9" t="n">
        <x:v>0</x:v>
      </x:c>
      <x:c r="J228" s="13"/>
      <x:c r="K228" s="9" t="str">
        <x:v>Exportado</x:v>
      </x:c>
      <x:c r="L228" s="9" t="str">
        <x:v>F017, F019, F018</x:v>
      </x:c>
    </x:row>
    <x:row r="229" ht="24" customHeight="1">
      <x:c r="A229" s="9" t="str">
        <x:v>C03</x:v>
      </x:c>
      <x:c r="B229" s="9" t="str">
        <x:v>YT - Arrozes especiais Bahia 03</x:v>
      </x:c>
      <x:c r="C229" s="10" t="d">
        <x:v>2026-07-14T12:00:00.000Z</x:v>
      </x:c>
      <x:c r="D229" s="11" t="n">
        <x:v>0</x:v>
      </x:c>
      <x:c r="E229" s="11" t="n">
        <x:v>0</x:v>
      </x:c>
      <x:c r="F229" s="11"/>
      <x:c r="G229" s="12" t="n">
        <x:v>0</x:v>
      </x:c>
      <x:c r="H229" s="9" t="n">
        <x:v>0</x:v>
      </x:c>
      <x:c r="I229" s="9" t="n">
        <x:v>0</x:v>
      </x:c>
      <x:c r="J229" s="13"/>
      <x:c r="K229" s="9" t="str">
        <x:v>Exportado</x:v>
      </x:c>
      <x:c r="L229" s="9" t="str">
        <x:v>F017, F019, F018</x:v>
      </x:c>
    </x:row>
    <x:row r="230" ht="24" customHeight="1">
      <x:c r="A230" s="9" t="str">
        <x:v>C03</x:v>
      </x:c>
      <x:c r="B230" s="9" t="str">
        <x:v>YT - Arrozes especiais Bahia 03</x:v>
      </x:c>
      <x:c r="C230" s="10" t="d">
        <x:v>2026-07-15T12:00:00.000Z</x:v>
      </x:c>
      <x:c r="D230" s="11" t="n">
        <x:v>0</x:v>
      </x:c>
      <x:c r="E230" s="11" t="n">
        <x:v>0</x:v>
      </x:c>
      <x:c r="F230" s="11"/>
      <x:c r="G230" s="12" t="n">
        <x:v>0</x:v>
      </x:c>
      <x:c r="H230" s="9" t="n">
        <x:v>0</x:v>
      </x:c>
      <x:c r="I230" s="9" t="n">
        <x:v>0</x:v>
      </x:c>
      <x:c r="J230" s="13"/>
      <x:c r="K230" s="9" t="str">
        <x:v>Exportado</x:v>
      </x:c>
      <x:c r="L230" s="9" t="str">
        <x:v>F017, F019, F018</x:v>
      </x:c>
    </x:row>
    <x:row r="231" ht="24" customHeight="1">
      <x:c r="A231" s="9" t="str">
        <x:v>C03</x:v>
      </x:c>
      <x:c r="B231" s="9" t="str">
        <x:v>YT - Arrozes especiais Bahia 03</x:v>
      </x:c>
      <x:c r="C231" s="10" t="d">
        <x:v>2026-07-16T12:00:00.000Z</x:v>
      </x:c>
      <x:c r="D231" s="11" t="n">
        <x:v>0</x:v>
      </x:c>
      <x:c r="E231" s="11" t="n">
        <x:v>0</x:v>
      </x:c>
      <x:c r="F231" s="11"/>
      <x:c r="G231" s="12" t="n">
        <x:v>0</x:v>
      </x:c>
      <x:c r="H231" s="9" t="n">
        <x:v>0</x:v>
      </x:c>
      <x:c r="I231" s="9" t="n">
        <x:v>0</x:v>
      </x:c>
      <x:c r="J231" s="13"/>
      <x:c r="K231" s="9" t="str">
        <x:v>Exportado</x:v>
      </x:c>
      <x:c r="L231" s="9" t="str">
        <x:v>F017, F019, F018</x:v>
      </x:c>
    </x:row>
    <x:row r="232" ht="24" customHeight="1">
      <x:c r="A232" s="9" t="str">
        <x:v>C03</x:v>
      </x:c>
      <x:c r="B232" s="9" t="str">
        <x:v>YT - Arrozes especiais Bahia 03</x:v>
      </x:c>
      <x:c r="C232" s="10" t="d">
        <x:v>2026-07-17T12:00:00.000Z</x:v>
      </x:c>
      <x:c r="D232" s="11" t="n">
        <x:v>0</x:v>
      </x:c>
      <x:c r="E232" s="11" t="n">
        <x:v>0</x:v>
      </x:c>
      <x:c r="F232" s="11"/>
      <x:c r="G232" s="12" t="n">
        <x:v>0</x:v>
      </x:c>
      <x:c r="H232" s="9" t="n">
        <x:v>0</x:v>
      </x:c>
      <x:c r="I232" s="9" t="n">
        <x:v>0</x:v>
      </x:c>
      <x:c r="J232" s="13"/>
      <x:c r="K232" s="9" t="str">
        <x:v>Exportado</x:v>
      </x:c>
      <x:c r="L232" s="9" t="str">
        <x:v>F017, F019, F018</x:v>
      </x:c>
    </x:row>
    <x:row r="233" ht="24" customHeight="1">
      <x:c r="A233" s="9" t="str">
        <x:v>C03</x:v>
      </x:c>
      <x:c r="B233" s="9" t="str">
        <x:v>YT - Arrozes especiais Bahia 03</x:v>
      </x:c>
      <x:c r="C233" s="10" t="d">
        <x:v>2026-07-18T12:00:00.000Z</x:v>
      </x:c>
      <x:c r="D233" s="11" t="n">
        <x:v>0</x:v>
      </x:c>
      <x:c r="E233" s="11" t="n">
        <x:v>0</x:v>
      </x:c>
      <x:c r="F233" s="11"/>
      <x:c r="G233" s="12" t="n">
        <x:v>0</x:v>
      </x:c>
      <x:c r="H233" s="9" t="n">
        <x:v>0</x:v>
      </x:c>
      <x:c r="I233" s="9" t="n">
        <x:v>0</x:v>
      </x:c>
      <x:c r="J233" s="13"/>
      <x:c r="K233" s="9" t="str">
        <x:v>Exportado</x:v>
      </x:c>
      <x:c r="L233" s="9" t="str">
        <x:v>F017, F019, F018</x:v>
      </x:c>
    </x:row>
    <x:row r="234" ht="24" customHeight="1">
      <x:c r="A234" s="9" t="str">
        <x:v>C03</x:v>
      </x:c>
      <x:c r="B234" s="9" t="str">
        <x:v>YT - Arrozes especiais Bahia 03</x:v>
      </x:c>
      <x:c r="C234" s="10" t="d">
        <x:v>2026-07-19T12:00:00.000Z</x:v>
      </x:c>
      <x:c r="D234" s="11" t="n">
        <x:v>0</x:v>
      </x:c>
      <x:c r="E234" s="11" t="n">
        <x:v>0</x:v>
      </x:c>
      <x:c r="F234" s="11"/>
      <x:c r="G234" s="12" t="n">
        <x:v>0</x:v>
      </x:c>
      <x:c r="H234" s="9" t="n">
        <x:v>0</x:v>
      </x:c>
      <x:c r="I234" s="9" t="n">
        <x:v>0</x:v>
      </x:c>
      <x:c r="J234" s="13"/>
      <x:c r="K234" s="9" t="str">
        <x:v>Exportado</x:v>
      </x:c>
      <x:c r="L234" s="9" t="str">
        <x:v>F017, F019, F018</x:v>
      </x:c>
    </x:row>
    <x:row r="235" ht="24" customHeight="1">
      <x:c r="A235" s="9" t="str">
        <x:v>C03</x:v>
      </x:c>
      <x:c r="B235" s="9" t="str">
        <x:v>YT - Arrozes especiais Bahia 03</x:v>
      </x:c>
      <x:c r="C235" s="10" t="d">
        <x:v>2026-07-20T12:00:00.000Z</x:v>
      </x:c>
      <x:c r="D235" s="11" t="n">
        <x:v>0</x:v>
      </x:c>
      <x:c r="E235" s="11" t="n">
        <x:v>0</x:v>
      </x:c>
      <x:c r="F235" s="11"/>
      <x:c r="G235" s="12" t="n">
        <x:v>0</x:v>
      </x:c>
      <x:c r="H235" s="9" t="n">
        <x:v>0</x:v>
      </x:c>
      <x:c r="I235" s="9" t="n">
        <x:v>0</x:v>
      </x:c>
      <x:c r="J235" s="13"/>
      <x:c r="K235" s="9" t="str">
        <x:v>Exportado</x:v>
      </x:c>
      <x:c r="L235" s="9" t="str">
        <x:v>F017, F019, F018</x:v>
      </x:c>
    </x:row>
    <x:row r="236" ht="24" customHeight="1">
      <x:c r="A236" s="9" t="str">
        <x:v>C03</x:v>
      </x:c>
      <x:c r="B236" s="9" t="str">
        <x:v>YT - Arrozes especiais Bahia 03</x:v>
      </x:c>
      <x:c r="C236" s="10" t="d">
        <x:v>2026-07-21T12:00:00.000Z</x:v>
      </x:c>
      <x:c r="D236" s="11" t="n">
        <x:v>0</x:v>
      </x:c>
      <x:c r="E236" s="11" t="n">
        <x:v>0</x:v>
      </x:c>
      <x:c r="F236" s="11"/>
      <x:c r="G236" s="12" t="n">
        <x:v>0</x:v>
      </x:c>
      <x:c r="H236" s="9" t="n">
        <x:v>0</x:v>
      </x:c>
      <x:c r="I236" s="9" t="n">
        <x:v>0</x:v>
      </x:c>
      <x:c r="J236" s="13"/>
      <x:c r="K236" s="9" t="str">
        <x:v>Exportado</x:v>
      </x:c>
      <x:c r="L236" s="9" t="str">
        <x:v>F017, F019, F018</x:v>
      </x:c>
    </x:row>
    <x:row r="237" ht="24" customHeight="1">
      <x:c r="A237" s="9" t="str">
        <x:v>C03</x:v>
      </x:c>
      <x:c r="B237" s="9" t="str">
        <x:v>YT - Arrozes especiais Bahia 03</x:v>
      </x:c>
      <x:c r="C237" s="10" t="d">
        <x:v>2026-07-22T12:00:00.000Z</x:v>
      </x:c>
      <x:c r="D237" s="11" t="n">
        <x:v>0</x:v>
      </x:c>
      <x:c r="E237" s="11" t="n">
        <x:v>0</x:v>
      </x:c>
      <x:c r="F237" s="11"/>
      <x:c r="G237" s="12" t="n">
        <x:v>0</x:v>
      </x:c>
      <x:c r="H237" s="9" t="n">
        <x:v>0</x:v>
      </x:c>
      <x:c r="I237" s="9" t="n">
        <x:v>0</x:v>
      </x:c>
      <x:c r="J237" s="13"/>
      <x:c r="K237" s="9" t="str">
        <x:v>Exportado</x:v>
      </x:c>
      <x:c r="L237" s="9" t="str">
        <x:v>F017, F019, F018</x:v>
      </x:c>
    </x:row>
    <x:row r="238" ht="24" customHeight="1">
      <x:c r="A238" s="9" t="str">
        <x:v>C03</x:v>
      </x:c>
      <x:c r="B238" s="9" t="str">
        <x:v>YT - Arrozes especiais Bahia 03</x:v>
      </x:c>
      <x:c r="C238" s="10" t="d">
        <x:v>2026-07-23T12:00:00.000Z</x:v>
      </x:c>
      <x:c r="D238" s="11" t="n">
        <x:v>737</x:v>
      </x:c>
      <x:c r="E238" s="11" t="n">
        <x:v>727</x:v>
      </x:c>
      <x:c r="F238" s="11"/>
      <x:c r="G238" s="12" t="n">
        <x:v>10.03</x:v>
      </x:c>
      <x:c r="H238" s="9" t="n">
        <x:v>0</x:v>
      </x:c>
      <x:c r="I238" s="9" t="n">
        <x:v>0</x:v>
      </x:c>
      <x:c r="J238" s="13"/>
      <x:c r="K238" s="9" t="str">
        <x:v>Exportado</x:v>
      </x:c>
      <x:c r="L238" s="9" t="str">
        <x:v>F017, F019, F018</x:v>
      </x:c>
    </x:row>
    <x:row r="239" ht="24" customHeight="1">
      <x:c r="A239" s="9" t="str">
        <x:v>C03</x:v>
      </x:c>
      <x:c r="B239" s="9" t="str">
        <x:v>YT - Arrozes especiais Bahia 03</x:v>
      </x:c>
      <x:c r="C239" s="10" t="d">
        <x:v>2026-07-24T12:00:00.000Z</x:v>
      </x:c>
      <x:c r="D239" s="11" t="n">
        <x:v>1835</x:v>
      </x:c>
      <x:c r="E239" s="11" t="n">
        <x:v>1811</x:v>
      </x:c>
      <x:c r="F239" s="11"/>
      <x:c r="G239" s="12" t="n">
        <x:v>10.41</x:v>
      </x:c>
      <x:c r="H239" s="9" t="n">
        <x:v>0</x:v>
      </x:c>
      <x:c r="I239" s="9" t="n">
        <x:v>0</x:v>
      </x:c>
      <x:c r="J239" s="13"/>
      <x:c r="K239" s="9" t="str">
        <x:v>Exportado</x:v>
      </x:c>
      <x:c r="L239" s="9" t="str">
        <x:v>F017, F019, F018</x:v>
      </x:c>
    </x:row>
    <x:row r="240" ht="24" customHeight="1">
      <x:c r="A240" s="9" t="str">
        <x:v>C03</x:v>
      </x:c>
      <x:c r="B240" s="9" t="str">
        <x:v>YT - Arrozes especiais Bahia 03</x:v>
      </x:c>
      <x:c r="C240" s="10" t="d">
        <x:v>2026-07-25T12:00:00.000Z</x:v>
      </x:c>
      <x:c r="D240" s="11" t="n">
        <x:v>2384</x:v>
      </x:c>
      <x:c r="E240" s="11" t="n">
        <x:v>2346</x:v>
      </x:c>
      <x:c r="F240" s="11"/>
      <x:c r="G240" s="12" t="n">
        <x:v>10.37</x:v>
      </x:c>
      <x:c r="H240" s="9" t="n">
        <x:v>0</x:v>
      </x:c>
      <x:c r="I240" s="9" t="n">
        <x:v>0</x:v>
      </x:c>
      <x:c r="J240" s="13"/>
      <x:c r="K240" s="9" t="str">
        <x:v>Exportado</x:v>
      </x:c>
      <x:c r="L240" s="9" t="str">
        <x:v>F017, F019, F018</x:v>
      </x:c>
    </x:row>
    <x:row r="241" ht="24" customHeight="1">
      <x:c r="A241" s="9" t="str">
        <x:v>C03</x:v>
      </x:c>
      <x:c r="B241" s="9" t="str">
        <x:v>YT - Arrozes especiais Bahia 03</x:v>
      </x:c>
      <x:c r="C241" s="10" t="d">
        <x:v>2026-07-26T12:00:00.000Z</x:v>
      </x:c>
      <x:c r="D241" s="11" t="n">
        <x:v>2233</x:v>
      </x:c>
      <x:c r="E241" s="11" t="n">
        <x:v>2209</x:v>
      </x:c>
      <x:c r="F241" s="11"/>
      <x:c r="G241" s="12" t="n">
        <x:v>10.27</x:v>
      </x:c>
      <x:c r="H241" s="9" t="n">
        <x:v>0</x:v>
      </x:c>
      <x:c r="I241" s="9" t="n">
        <x:v>0</x:v>
      </x:c>
      <x:c r="J241" s="13"/>
      <x:c r="K241" s="9" t="str">
        <x:v>Exportado</x:v>
      </x:c>
      <x:c r="L241" s="9" t="str">
        <x:v>F017, F019, F018</x:v>
      </x:c>
    </x:row>
    <x:row r="242" ht="24" customHeight="1">
      <x:c r="A242" s="9" t="str">
        <x:v>C03</x:v>
      </x:c>
      <x:c r="B242" s="9" t="str">
        <x:v>YT - Arrozes especiais Bahia 03</x:v>
      </x:c>
      <x:c r="C242" s="10" t="d">
        <x:v>2026-07-27T12:00:00.000Z</x:v>
      </x:c>
      <x:c r="D242" s="11" t="n">
        <x:v>2323</x:v>
      </x:c>
      <x:c r="E242" s="11" t="n">
        <x:v>2280</x:v>
      </x:c>
      <x:c r="F242" s="11"/>
      <x:c r="G242" s="12" t="n">
        <x:v>10.2</x:v>
      </x:c>
      <x:c r="H242" s="9" t="n">
        <x:v>0</x:v>
      </x:c>
      <x:c r="I242" s="9" t="n">
        <x:v>0</x:v>
      </x:c>
      <x:c r="J242" s="13"/>
      <x:c r="K242" s="9" t="str">
        <x:v>Exportado</x:v>
      </x:c>
      <x:c r="L242" s="9" t="str">
        <x:v>F017, F019, F018</x:v>
      </x:c>
    </x:row>
    <x:row r="243" ht="24" customHeight="1">
      <x:c r="A243" s="9" t="str">
        <x:v>C03</x:v>
      </x:c>
      <x:c r="B243" s="9" t="str">
        <x:v>YT - Arrozes especiais Bahia 03</x:v>
      </x:c>
      <x:c r="C243" s="10" t="d">
        <x:v>2026-07-28T12:00:00.000Z</x:v>
      </x:c>
      <x:c r="D243" s="11" t="n">
        <x:v>2120</x:v>
      </x:c>
      <x:c r="E243" s="11" t="n">
        <x:v>2104</x:v>
      </x:c>
      <x:c r="F243" s="11"/>
      <x:c r="G243" s="12" t="n">
        <x:v>9.95</x:v>
      </x:c>
      <x:c r="H243" s="9" t="n">
        <x:v>0</x:v>
      </x:c>
      <x:c r="I243" s="9" t="n">
        <x:v>0</x:v>
      </x:c>
      <x:c r="J243" s="13"/>
      <x:c r="K243" s="9" t="str">
        <x:v>Exportado</x:v>
      </x:c>
      <x:c r="L243" s="9" t="str">
        <x:v>F017, F019, F018</x:v>
      </x:c>
    </x:row>
    <x:row r="244" ht="24" customHeight="1">
      <x:c r="A244" s="9" t="str">
        <x:v>C03</x:v>
      </x:c>
      <x:c r="B244" s="9" t="str">
        <x:v>YT - Arrozes especiais Bahia 03</x:v>
      </x:c>
      <x:c r="C244" s="10" t="d">
        <x:v>2026-07-29T12:00:00.000Z</x:v>
      </x:c>
      <x:c r="D244" s="11" t="n">
        <x:v>2052</x:v>
      </x:c>
      <x:c r="E244" s="11" t="n">
        <x:v>2023</x:v>
      </x:c>
      <x:c r="F244" s="11"/>
      <x:c r="G244" s="12" t="n">
        <x:v>10.01</x:v>
      </x:c>
      <x:c r="H244" s="9" t="n">
        <x:v>0</x:v>
      </x:c>
      <x:c r="I244" s="9" t="n">
        <x:v>0</x:v>
      </x:c>
      <x:c r="J244" s="13"/>
      <x:c r="K244" s="9" t="str">
        <x:v>Exportado</x:v>
      </x:c>
      <x:c r="L244" s="9" t="str">
        <x:v>F017, F019, F018</x:v>
      </x:c>
    </x:row>
    <x:row r="245" ht="24" customHeight="1">
      <x:c r="A245" s="9" t="str">
        <x:v>C03</x:v>
      </x:c>
      <x:c r="B245" s="9" t="str">
        <x:v>YT - Arrozes especiais Bahia 03</x:v>
      </x:c>
      <x:c r="C245" s="10" t="d">
        <x:v>2026-07-30T12:00:00.000Z</x:v>
      </x:c>
      <x:c r="D245" s="11" t="n">
        <x:v>1844</x:v>
      </x:c>
      <x:c r="E245" s="11" t="n">
        <x:v>1824</x:v>
      </x:c>
      <x:c r="F245" s="11"/>
      <x:c r="G245" s="12" t="n">
        <x:v>9.65</x:v>
      </x:c>
      <x:c r="H245" s="9" t="n">
        <x:v>0</x:v>
      </x:c>
      <x:c r="I245" s="9" t="n">
        <x:v>0</x:v>
      </x:c>
      <x:c r="J245" s="13"/>
      <x:c r="K245" s="9" t="str">
        <x:v>Exportado</x:v>
      </x:c>
      <x:c r="L245" s="9" t="str">
        <x:v>F017, F019, F018</x:v>
      </x:c>
    </x:row>
    <x:row r="246" ht="24" customHeight="1">
      <x:c r="A246" s="9" t="str">
        <x:v>C03</x:v>
      </x:c>
      <x:c r="B246" s="9" t="str">
        <x:v>YT - Arrozes especiais Bahia 03</x:v>
      </x:c>
      <x:c r="C246" s="10" t="d">
        <x:v>2026-07-31T12:00:00.000Z</x:v>
      </x:c>
      <x:c r="D246" s="11" t="n">
        <x:v>1871</x:v>
      </x:c>
      <x:c r="E246" s="11" t="n">
        <x:v>1855</x:v>
      </x:c>
      <x:c r="F246" s="11"/>
      <x:c r="G246" s="12" t="n">
        <x:v>9.19</x:v>
      </x:c>
      <x:c r="H246" s="9" t="n">
        <x:v>0</x:v>
      </x:c>
      <x:c r="I246" s="9" t="n">
        <x:v>0</x:v>
      </x:c>
      <x:c r="J246" s="13"/>
      <x:c r="K246" s="9" t="str">
        <x:v>Exportado</x:v>
      </x:c>
      <x:c r="L246" s="9" t="str">
        <x:v>F017, F019, F018</x:v>
      </x:c>
    </x:row>
    <x:row r="247" ht="24" customHeight="1">
      <x:c r="A247" s="9" t="str">
        <x:v>C03</x:v>
      </x:c>
      <x:c r="B247" s="9" t="str">
        <x:v>YT - Arrozes especiais Bahia 03</x:v>
      </x:c>
      <x:c r="C247" s="10" t="d">
        <x:v>2026-08-01T12:00:00.000Z</x:v>
      </x:c>
      <x:c r="D247" s="11" t="n">
        <x:v>1968</x:v>
      </x:c>
      <x:c r="E247" s="11" t="n">
        <x:v>1943</x:v>
      </x:c>
      <x:c r="F247" s="11"/>
      <x:c r="G247" s="12" t="n">
        <x:v>9.82</x:v>
      </x:c>
      <x:c r="H247" s="9" t="n">
        <x:v>1</x:v>
      </x:c>
      <x:c r="I247" s="9" t="n">
        <x:v>0</x:v>
      </x:c>
      <x:c r="J247" s="13"/>
      <x:c r="K247" s="9" t="str">
        <x:v>Exportado</x:v>
      </x:c>
      <x:c r="L247" s="9" t="str">
        <x:v>F017, F019, F018</x:v>
      </x:c>
    </x:row>
    <x:row r="248" ht="24" customHeight="1">
      <x:c r="A248" s="9" t="str">
        <x:v>C03</x:v>
      </x:c>
      <x:c r="B248" s="9" t="str">
        <x:v>YT - Arrozes especiais Bahia 03</x:v>
      </x:c>
      <x:c r="C248" s="10" t="d">
        <x:v>2026-08-02T12:00:00.000Z</x:v>
      </x:c>
      <x:c r="D248" s="11" t="n">
        <x:v>2085</x:v>
      </x:c>
      <x:c r="E248" s="11" t="n">
        <x:v>2054</x:v>
      </x:c>
      <x:c r="F248" s="11"/>
      <x:c r="G248" s="12" t="n">
        <x:v>10.27</x:v>
      </x:c>
      <x:c r="H248" s="9" t="n">
        <x:v>0</x:v>
      </x:c>
      <x:c r="I248" s="9" t="n">
        <x:v>0</x:v>
      </x:c>
      <x:c r="J248" s="13"/>
      <x:c r="K248" s="9" t="str">
        <x:v>Exportado</x:v>
      </x:c>
      <x:c r="L248" s="9" t="str">
        <x:v>F017, F019, F018</x:v>
      </x:c>
    </x:row>
    <x:row r="249" ht="24" customHeight="1">
      <x:c r="A249" s="9" t="str">
        <x:v>C03</x:v>
      </x:c>
      <x:c r="B249" s="9" t="str">
        <x:v>YT - Arrozes especiais Bahia 03</x:v>
      </x:c>
      <x:c r="C249" s="10" t="d">
        <x:v>2026-08-03T12:00:00.000Z</x:v>
      </x:c>
      <x:c r="D249" s="11" t="n">
        <x:v>2110</x:v>
      </x:c>
      <x:c r="E249" s="11" t="n">
        <x:v>2054</x:v>
      </x:c>
      <x:c r="F249" s="11"/>
      <x:c r="G249" s="12" t="n">
        <x:v>10.29</x:v>
      </x:c>
      <x:c r="H249" s="9" t="n">
        <x:v>2</x:v>
      </x:c>
      <x:c r="I249" s="9" t="n">
        <x:v>0</x:v>
      </x:c>
      <x:c r="J249" s="13"/>
      <x:c r="K249" s="9" t="str">
        <x:v>Exportado</x:v>
      </x:c>
      <x:c r="L249" s="9" t="str">
        <x:v>F017, F019, F018</x:v>
      </x:c>
    </x:row>
    <x:row r="250" ht="24" customHeight="1">
      <x:c r="A250" s="9" t="str">
        <x:v>C03</x:v>
      </x:c>
      <x:c r="B250" s="9" t="str">
        <x:v>YT - Arrozes especiais Bahia 03</x:v>
      </x:c>
      <x:c r="C250" s="10" t="d">
        <x:v>2026-08-04T12:00:00.000Z</x:v>
      </x:c>
      <x:c r="D250" s="11" t="n">
        <x:v>2150</x:v>
      </x:c>
      <x:c r="E250" s="11" t="n">
        <x:v>2102</x:v>
      </x:c>
      <x:c r="F250" s="11"/>
      <x:c r="G250" s="12" t="n">
        <x:v>10.25</x:v>
      </x:c>
      <x:c r="H250" s="9" t="n">
        <x:v>0</x:v>
      </x:c>
      <x:c r="I250" s="9" t="n">
        <x:v>0</x:v>
      </x:c>
      <x:c r="J250" s="13"/>
      <x:c r="K250" s="9" t="str">
        <x:v>Exportado</x:v>
      </x:c>
      <x:c r="L250" s="9" t="str">
        <x:v>F017, F019, F018</x:v>
      </x:c>
    </x:row>
    <x:row r="251" ht="24" customHeight="1">
      <x:c r="A251" s="9" t="str">
        <x:v>C03</x:v>
      </x:c>
      <x:c r="B251" s="9" t="str">
        <x:v>YT - Arrozes especiais Bahia 03</x:v>
      </x:c>
      <x:c r="C251" s="10" t="d">
        <x:v>2026-08-05T12:00:00.000Z</x:v>
      </x:c>
      <x:c r="D251" s="11" t="n">
        <x:v>1981</x:v>
      </x:c>
      <x:c r="E251" s="11" t="n">
        <x:v>1954</x:v>
      </x:c>
      <x:c r="F251" s="11"/>
      <x:c r="G251" s="12" t="n">
        <x:v>10.23</x:v>
      </x:c>
      <x:c r="H251" s="9" t="n">
        <x:v>1</x:v>
      </x:c>
      <x:c r="I251" s="9" t="n">
        <x:v>0</x:v>
      </x:c>
      <x:c r="J251" s="13"/>
      <x:c r="K251" s="9" t="str">
        <x:v>Exportado</x:v>
      </x:c>
      <x:c r="L251" s="9" t="str">
        <x:v>F017, F019, F018</x:v>
      </x:c>
    </x:row>
    <x:row r="252" ht="24" customHeight="1">
      <x:c r="A252" s="9" t="str">
        <x:v>C03</x:v>
      </x:c>
      <x:c r="B252" s="9" t="str">
        <x:v>YT - Arrozes especiais Bahia 03</x:v>
      </x:c>
      <x:c r="C252" s="10" t="d">
        <x:v>2026-08-06T12:00:00.000Z</x:v>
      </x:c>
      <x:c r="D252" s="11" t="n">
        <x:v>2158</x:v>
      </x:c>
      <x:c r="E252" s="11" t="n">
        <x:v>2124</x:v>
      </x:c>
      <x:c r="F252" s="11"/>
      <x:c r="G252" s="12" t="n">
        <x:v>10.3</x:v>
      </x:c>
      <x:c r="H252" s="9" t="n">
        <x:v>1</x:v>
      </x:c>
      <x:c r="I252" s="9" t="n">
        <x:v>0</x:v>
      </x:c>
      <x:c r="J252" s="13"/>
      <x:c r="K252" s="9" t="str">
        <x:v>Exportado</x:v>
      </x:c>
      <x:c r="L252" s="9" t="str">
        <x:v>F017, F019, F018</x:v>
      </x:c>
    </x:row>
    <x:row r="253" ht="24" customHeight="1">
      <x:c r="A253" s="9" t="str">
        <x:v>C03</x:v>
      </x:c>
      <x:c r="B253" s="9" t="str">
        <x:v>YT - Arrozes especiais Bahia 03</x:v>
      </x:c>
      <x:c r="C253" s="10" t="d">
        <x:v>2026-08-07T12:00:00.000Z</x:v>
      </x:c>
      <x:c r="D253" s="11" t="n">
        <x:v>2080</x:v>
      </x:c>
      <x:c r="E253" s="11" t="n">
        <x:v>2057</x:v>
      </x:c>
      <x:c r="F253" s="11"/>
      <x:c r="G253" s="12" t="n">
        <x:v>10.08</x:v>
      </x:c>
      <x:c r="H253" s="9" t="n">
        <x:v>0</x:v>
      </x:c>
      <x:c r="I253" s="9" t="n">
        <x:v>0</x:v>
      </x:c>
      <x:c r="J253" s="13"/>
      <x:c r="K253" s="9" t="str">
        <x:v>Exportado</x:v>
      </x:c>
      <x:c r="L253" s="9" t="str">
        <x:v>F017, F019, F018</x:v>
      </x:c>
    </x:row>
    <x:row r="254" ht="24" customHeight="1">
      <x:c r="A254" s="9" t="str">
        <x:v>C03</x:v>
      </x:c>
      <x:c r="B254" s="9" t="str">
        <x:v>YT - Arrozes especiais Bahia 03</x:v>
      </x:c>
      <x:c r="C254" s="10" t="d">
        <x:v>2026-08-08T12:00:00.000Z</x:v>
      </x:c>
      <x:c r="D254" s="11" t="n">
        <x:v>2144</x:v>
      </x:c>
      <x:c r="E254" s="11" t="n">
        <x:v>2118</x:v>
      </x:c>
      <x:c r="F254" s="11"/>
      <x:c r="G254" s="12" t="n">
        <x:v>10.16</x:v>
      </x:c>
      <x:c r="H254" s="9" t="n">
        <x:v>1</x:v>
      </x:c>
      <x:c r="I254" s="9" t="n">
        <x:v>0</x:v>
      </x:c>
      <x:c r="J254" s="13"/>
      <x:c r="K254" s="9" t="str">
        <x:v>Exportado</x:v>
      </x:c>
      <x:c r="L254" s="9" t="str">
        <x:v>F017, F019, F018</x:v>
      </x:c>
    </x:row>
    <x:row r="255" ht="24" customHeight="1">
      <x:c r="A255" s="9" t="str">
        <x:v>C03</x:v>
      </x:c>
      <x:c r="B255" s="9" t="str">
        <x:v>YT - Arrozes especiais Bahia 03</x:v>
      </x:c>
      <x:c r="C255" s="10" t="d">
        <x:v>2026-08-09T12:00:00.000Z</x:v>
      </x:c>
      <x:c r="D255" s="11" t="n">
        <x:v>2288</x:v>
      </x:c>
      <x:c r="E255" s="11" t="n">
        <x:v>2258</x:v>
      </x:c>
      <x:c r="F255" s="11"/>
      <x:c r="G255" s="12" t="n">
        <x:v>10.16</x:v>
      </x:c>
      <x:c r="H255" s="9" t="n">
        <x:v>0</x:v>
      </x:c>
      <x:c r="I255" s="9" t="n">
        <x:v>0</x:v>
      </x:c>
      <x:c r="J255" s="13"/>
      <x:c r="K255" s="9" t="str">
        <x:v>Exportado</x:v>
      </x:c>
      <x:c r="L255" s="9" t="str">
        <x:v>F017, F019, F018</x:v>
      </x:c>
    </x:row>
    <x:row r="256" ht="24" customHeight="1">
      <x:c r="A256" s="9" t="str">
        <x:v>C03</x:v>
      </x:c>
      <x:c r="B256" s="9" t="str">
        <x:v>YT - Arrozes especiais Bahia 03</x:v>
      </x:c>
      <x:c r="C256" s="10" t="d">
        <x:v>2026-08-10T12:00:00.000Z</x:v>
      </x:c>
      <x:c r="D256" s="11" t="n">
        <x:v>2369</x:v>
      </x:c>
      <x:c r="E256" s="11" t="n">
        <x:v>2341</x:v>
      </x:c>
      <x:c r="F256" s="11"/>
      <x:c r="G256" s="12" t="n">
        <x:v>10.14</x:v>
      </x:c>
      <x:c r="H256" s="9" t="n">
        <x:v>0</x:v>
      </x:c>
      <x:c r="I256" s="9" t="n">
        <x:v>0</x:v>
      </x:c>
      <x:c r="J256" s="13"/>
      <x:c r="K256" s="9" t="str">
        <x:v>Exportado</x:v>
      </x:c>
      <x:c r="L256" s="9" t="str">
        <x:v>F017, F019, F018</x:v>
      </x:c>
    </x:row>
    <x:row r="257" ht="24" customHeight="1">
      <x:c r="A257" s="9" t="str">
        <x:v>C03</x:v>
      </x:c>
      <x:c r="B257" s="9" t="str">
        <x:v>YT - Arrozes especiais Bahia 03</x:v>
      </x:c>
      <x:c r="C257" s="10" t="d">
        <x:v>2026-08-11T12:00:00.000Z</x:v>
      </x:c>
      <x:c r="D257" s="11" t="n">
        <x:v>2373</x:v>
      </x:c>
      <x:c r="E257" s="11" t="n">
        <x:v>2344</x:v>
      </x:c>
      <x:c r="F257" s="11"/>
      <x:c r="G257" s="12" t="n">
        <x:v>10.18</x:v>
      </x:c>
      <x:c r="H257" s="9" t="n">
        <x:v>1</x:v>
      </x:c>
      <x:c r="I257" s="9" t="n">
        <x:v>0</x:v>
      </x:c>
      <x:c r="J257" s="13"/>
      <x:c r="K257" s="9" t="str">
        <x:v>Exportado</x:v>
      </x:c>
      <x:c r="L257" s="9" t="str">
        <x:v>F017, F019, F018</x:v>
      </x:c>
    </x:row>
    <x:row r="258" ht="24" customHeight="1">
      <x:c r="A258" s="9" t="str">
        <x:v>C03</x:v>
      </x:c>
      <x:c r="B258" s="9" t="str">
        <x:v>YT - Arrozes especiais Bahia 03</x:v>
      </x:c>
      <x:c r="C258" s="10" t="d">
        <x:v>2026-08-12T12:00:00.000Z</x:v>
      </x:c>
      <x:c r="D258" s="11" t="n">
        <x:v>2205</x:v>
      </x:c>
      <x:c r="E258" s="11" t="n">
        <x:v>2178</x:v>
      </x:c>
      <x:c r="F258" s="11"/>
      <x:c r="G258" s="12" t="n">
        <x:v>10.07</x:v>
      </x:c>
      <x:c r="H258" s="9" t="n">
        <x:v>0</x:v>
      </x:c>
      <x:c r="I258" s="9" t="n">
        <x:v>0</x:v>
      </x:c>
      <x:c r="J258" s="13"/>
      <x:c r="K258" s="9" t="str">
        <x:v>Exportado</x:v>
      </x:c>
      <x:c r="L258" s="9" t="str">
        <x:v>F017, F019, F018</x:v>
      </x:c>
    </x:row>
    <x:row r="259" ht="24" customHeight="1">
      <x:c r="A259" s="9" t="str">
        <x:v>C03</x:v>
      </x:c>
      <x:c r="B259" s="9" t="str">
        <x:v>YT - Arrozes especiais Bahia 03</x:v>
      </x:c>
      <x:c r="C259" s="10" t="d">
        <x:v>2026-08-13T12:00:00.000Z</x:v>
      </x:c>
      <x:c r="D259" s="11" t="n">
        <x:v>2358</x:v>
      </x:c>
      <x:c r="E259" s="11" t="n">
        <x:v>2332</x:v>
      </x:c>
      <x:c r="F259" s="11"/>
      <x:c r="G259" s="12" t="n">
        <x:v>10.06</x:v>
      </x:c>
      <x:c r="H259" s="9" t="n">
        <x:v>0</x:v>
      </x:c>
      <x:c r="I259" s="9" t="n">
        <x:v>0</x:v>
      </x:c>
      <x:c r="J259" s="13"/>
      <x:c r="K259" s="9" t="str">
        <x:v>Exportado</x:v>
      </x:c>
      <x:c r="L259" s="9" t="str">
        <x:v>F017, F019, F018</x:v>
      </x:c>
    </x:row>
    <x:row r="260" ht="24" customHeight="1">
      <x:c r="A260" s="9" t="str">
        <x:v>C03</x:v>
      </x:c>
      <x:c r="B260" s="9" t="str">
        <x:v>YT - Arrozes especiais Bahia 03</x:v>
      </x:c>
      <x:c r="C260" s="10" t="d">
        <x:v>2026-08-14T12:00:00.000Z</x:v>
      </x:c>
      <x:c r="D260" s="11" t="n">
        <x:v>2183</x:v>
      </x:c>
      <x:c r="E260" s="11" t="n">
        <x:v>2153</x:v>
      </x:c>
      <x:c r="F260" s="11"/>
      <x:c r="G260" s="12" t="n">
        <x:v>10</x:v>
      </x:c>
      <x:c r="H260" s="9" t="n">
        <x:v>0</x:v>
      </x:c>
      <x:c r="I260" s="9" t="n">
        <x:v>0</x:v>
      </x:c>
      <x:c r="J260" s="13"/>
      <x:c r="K260" s="9" t="str">
        <x:v>Exportado</x:v>
      </x:c>
      <x:c r="L260" s="9" t="str">
        <x:v>F017, F019, F018</x:v>
      </x:c>
    </x:row>
    <x:row r="261" ht="24" customHeight="1">
      <x:c r="A261" s="9" t="str">
        <x:v>C03</x:v>
      </x:c>
      <x:c r="B261" s="9" t="str">
        <x:v>YT - Arrozes especiais Bahia 03</x:v>
      </x:c>
      <x:c r="C261" s="10" t="d">
        <x:v>2026-08-15T12:00:00.000Z</x:v>
      </x:c>
      <x:c r="D261" s="11" t="n">
        <x:v>2377</x:v>
      </x:c>
      <x:c r="E261" s="11" t="n">
        <x:v>2361</x:v>
      </x:c>
      <x:c r="F261" s="11"/>
      <x:c r="G261" s="12" t="n">
        <x:v>9.97</x:v>
      </x:c>
      <x:c r="H261" s="9" t="n">
        <x:v>0</x:v>
      </x:c>
      <x:c r="I261" s="9" t="n">
        <x:v>0</x:v>
      </x:c>
      <x:c r="J261" s="13"/>
      <x:c r="K261" s="9" t="str">
        <x:v>Exportado</x:v>
      </x:c>
      <x:c r="L261" s="9" t="str">
        <x:v>F017, F019, F018</x:v>
      </x:c>
    </x:row>
    <x:row r="262" ht="24" customHeight="1">
      <x:c r="A262" s="9" t="str">
        <x:v>C03</x:v>
      </x:c>
      <x:c r="B262" s="9" t="str">
        <x:v>YT - Arrozes especiais Bahia 03</x:v>
      </x:c>
      <x:c r="C262" s="10" t="d">
        <x:v>2026-08-16T12:00:00.000Z</x:v>
      </x:c>
      <x:c r="D262" s="11" t="n">
        <x:v>2445</x:v>
      </x:c>
      <x:c r="E262" s="11" t="n">
        <x:v>2416</x:v>
      </x:c>
      <x:c r="F262" s="11"/>
      <x:c r="G262" s="12" t="n">
        <x:v>9.99</x:v>
      </x:c>
      <x:c r="H262" s="9" t="n">
        <x:v>0</x:v>
      </x:c>
      <x:c r="I262" s="9" t="n">
        <x:v>0</x:v>
      </x:c>
      <x:c r="J262" s="13"/>
      <x:c r="K262" s="9" t="str">
        <x:v>Exportado</x:v>
      </x:c>
      <x:c r="L262" s="9" t="str">
        <x:v>F017, F019, F018</x:v>
      </x:c>
    </x:row>
    <x:row r="263" ht="24" customHeight="1">
      <x:c r="A263" s="9" t="str">
        <x:v>C03</x:v>
      </x:c>
      <x:c r="B263" s="9" t="str">
        <x:v>YT - Arrozes especiais Bahia 03</x:v>
      </x:c>
      <x:c r="C263" s="10" t="d">
        <x:v>2026-08-17T12:00:00.000Z</x:v>
      </x:c>
      <x:c r="D263" s="11" t="n">
        <x:v>2292</x:v>
      </x:c>
      <x:c r="E263" s="11" t="n">
        <x:v>2273</x:v>
      </x:c>
      <x:c r="F263" s="11"/>
      <x:c r="G263" s="12" t="n">
        <x:v>9.91</x:v>
      </x:c>
      <x:c r="H263" s="9" t="n">
        <x:v>0</x:v>
      </x:c>
      <x:c r="I263" s="9" t="n">
        <x:v>0</x:v>
      </x:c>
      <x:c r="J263" s="13"/>
      <x:c r="K263" s="9" t="str">
        <x:v>Exportado</x:v>
      </x:c>
      <x:c r="L263" s="9" t="str">
        <x:v>F017, F019, F018</x:v>
      </x:c>
    </x:row>
    <x:row r="264" ht="24" customHeight="1">
      <x:c r="A264" s="9" t="str">
        <x:v>C03</x:v>
      </x:c>
      <x:c r="B264" s="9" t="str">
        <x:v>YT - Arrozes especiais Bahia 03</x:v>
      </x:c>
      <x:c r="C264" s="10" t="d">
        <x:v>2026-08-18T12:00:00.000Z</x:v>
      </x:c>
      <x:c r="D264" s="11" t="n">
        <x:v>2306</x:v>
      </x:c>
      <x:c r="E264" s="11" t="n">
        <x:v>2286</x:v>
      </x:c>
      <x:c r="F264" s="11"/>
      <x:c r="G264" s="12" t="n">
        <x:v>9.89</x:v>
      </x:c>
      <x:c r="H264" s="9" t="n">
        <x:v>0</x:v>
      </x:c>
      <x:c r="I264" s="9" t="n">
        <x:v>0</x:v>
      </x:c>
      <x:c r="J264" s="13"/>
      <x:c r="K264" s="9" t="str">
        <x:v>Exportado</x:v>
      </x:c>
      <x:c r="L264" s="9" t="str">
        <x:v>F017, F019, F018</x:v>
      </x:c>
    </x:row>
    <x:row r="265" ht="24" customHeight="1">
      <x:c r="A265" s="9" t="str">
        <x:v>C03</x:v>
      </x:c>
      <x:c r="B265" s="9" t="str">
        <x:v>YT - Arrozes especiais Bahia 03</x:v>
      </x:c>
      <x:c r="C265" s="10" t="d">
        <x:v>2026-08-19T12:00:00.000Z</x:v>
      </x:c>
      <x:c r="D265" s="11" t="n">
        <x:v>2185</x:v>
      </x:c>
      <x:c r="E265" s="11" t="n">
        <x:v>2162</x:v>
      </x:c>
      <x:c r="F265" s="11"/>
      <x:c r="G265" s="12" t="n">
        <x:v>9.84</x:v>
      </x:c>
      <x:c r="H265" s="9" t="n">
        <x:v>0</x:v>
      </x:c>
      <x:c r="I265" s="9" t="n">
        <x:v>0</x:v>
      </x:c>
      <x:c r="J265" s="13"/>
      <x:c r="K265" s="9" t="str">
        <x:v>Exportado</x:v>
      </x:c>
      <x:c r="L265" s="9" t="str">
        <x:v>F017, F019, F018</x:v>
      </x:c>
    </x:row>
    <x:row r="266" ht="24" customHeight="1">
      <x:c r="A266" s="9" t="str">
        <x:v>C03</x:v>
      </x:c>
      <x:c r="B266" s="9" t="str">
        <x:v>YT - Arrozes especiais Bahia 03</x:v>
      </x:c>
      <x:c r="C266" s="10" t="d">
        <x:v>2026-08-20T12:00:00.000Z</x:v>
      </x:c>
      <x:c r="D266" s="11" t="n">
        <x:v>2095</x:v>
      </x:c>
      <x:c r="E266" s="11" t="n">
        <x:v>2065</x:v>
      </x:c>
      <x:c r="F266" s="11"/>
      <x:c r="G266" s="12" t="n">
        <x:v>9.82</x:v>
      </x:c>
      <x:c r="H266" s="9" t="n">
        <x:v>0</x:v>
      </x:c>
      <x:c r="I266" s="9" t="n">
        <x:v>0</x:v>
      </x:c>
      <x:c r="J266" s="13"/>
      <x:c r="K266" s="9" t="str">
        <x:v>Exportado</x:v>
      </x:c>
      <x:c r="L266" s="9" t="str">
        <x:v>F017, F019, F018</x:v>
      </x:c>
    </x:row>
    <x:row r="267" ht="24" customHeight="1">
      <x:c r="A267" s="9" t="str">
        <x:v>C03</x:v>
      </x:c>
      <x:c r="B267" s="9" t="str">
        <x:v>YT - Arrozes especiais Bahia 03</x:v>
      </x:c>
      <x:c r="C267" s="10" t="d">
        <x:v>2026-08-21T12:00:00.000Z</x:v>
      </x:c>
      <x:c r="D267" s="11" t="n">
        <x:v>1883</x:v>
      </x:c>
      <x:c r="E267" s="11" t="n">
        <x:v>1860</x:v>
      </x:c>
      <x:c r="F267" s="11"/>
      <x:c r="G267" s="12" t="n">
        <x:v>9.83</x:v>
      </x:c>
      <x:c r="H267" s="9" t="n">
        <x:v>0</x:v>
      </x:c>
      <x:c r="I267" s="9" t="n">
        <x:v>0</x:v>
      </x:c>
      <x:c r="J267" s="13"/>
      <x:c r="K267" s="9" t="str">
        <x:v>Exportado</x:v>
      </x:c>
      <x:c r="L267" s="9" t="str">
        <x:v>F017, F019, F018</x:v>
      </x:c>
    </x:row>
    <x:row r="268" ht="24" customHeight="1">
      <x:c r="A268" s="9" t="str">
        <x:v>C03</x:v>
      </x:c>
      <x:c r="B268" s="9" t="str">
        <x:v>YT - Arrozes especiais Bahia 03</x:v>
      </x:c>
      <x:c r="C268" s="10" t="d">
        <x:v>2026-08-22T12:00:00.000Z</x:v>
      </x:c>
      <x:c r="D268" s="11" t="n">
        <x:v>2044</x:v>
      </x:c>
      <x:c r="E268" s="11" t="n">
        <x:v>2008</x:v>
      </x:c>
      <x:c r="F268" s="11"/>
      <x:c r="G268" s="12" t="n">
        <x:v>9.66</x:v>
      </x:c>
      <x:c r="H268" s="9" t="n">
        <x:v>0</x:v>
      </x:c>
      <x:c r="I268" s="9" t="n">
        <x:v>0</x:v>
      </x:c>
      <x:c r="J268" s="13"/>
      <x:c r="K268" s="9" t="str">
        <x:v>Exportado</x:v>
      </x:c>
      <x:c r="L268" s="9" t="str">
        <x:v>F017, F019, F018</x:v>
      </x:c>
    </x:row>
    <x:row r="269" ht="24" customHeight="1">
      <x:c r="A269" s="9" t="str">
        <x:v>C03</x:v>
      </x:c>
      <x:c r="B269" s="9" t="str">
        <x:v>YT - Arrozes especiais Bahia 03</x:v>
      </x:c>
      <x:c r="C269" s="10" t="d">
        <x:v>2026-08-23T12:00:00.000Z</x:v>
      </x:c>
      <x:c r="D269" s="11" t="n">
        <x:v>2210</x:v>
      </x:c>
      <x:c r="E269" s="11" t="n">
        <x:v>2176</x:v>
      </x:c>
      <x:c r="F269" s="11"/>
      <x:c r="G269" s="12" t="n">
        <x:v>9.7</x:v>
      </x:c>
      <x:c r="H269" s="9" t="n">
        <x:v>0</x:v>
      </x:c>
      <x:c r="I269" s="9" t="n">
        <x:v>0</x:v>
      </x:c>
      <x:c r="J269" s="13"/>
      <x:c r="K269" s="9" t="str">
        <x:v>Exportado</x:v>
      </x:c>
      <x:c r="L269" s="9" t="str">
        <x:v>F017, F019, F018</x:v>
      </x:c>
    </x:row>
    <x:row r="270" ht="24" customHeight="1">
      <x:c r="A270" s="9" t="str">
        <x:v>C03</x:v>
      </x:c>
      <x:c r="B270" s="9" t="str">
        <x:v>YT - Arrozes especiais Bahia 03</x:v>
      </x:c>
      <x:c r="C270" s="10" t="d">
        <x:v>2026-08-24T12:00:00.000Z</x:v>
      </x:c>
      <x:c r="D270" s="11" t="n">
        <x:v>1967</x:v>
      </x:c>
      <x:c r="E270" s="11" t="n">
        <x:v>1934</x:v>
      </x:c>
      <x:c r="F270" s="11"/>
      <x:c r="G270" s="12" t="n">
        <x:v>9.61</x:v>
      </x:c>
      <x:c r="H270" s="9" t="n">
        <x:v>3</x:v>
      </x:c>
      <x:c r="I270" s="9" t="n">
        <x:v>0</x:v>
      </x:c>
      <x:c r="J270" s="13"/>
      <x:c r="K270" s="9" t="str">
        <x:v>Exportado</x:v>
      </x:c>
      <x:c r="L270" s="9" t="str">
        <x:v>F017, F019, F018</x:v>
      </x:c>
    </x:row>
    <x:row r="271" ht="24" customHeight="1">
      <x:c r="A271" s="9" t="str">
        <x:v>C03</x:v>
      </x:c>
      <x:c r="B271" s="9" t="str">
        <x:v>YT - Arrozes especiais Bahia 03</x:v>
      </x:c>
      <x:c r="C271" s="10" t="d">
        <x:v>2026-08-25T12:00:00.000Z</x:v>
      </x:c>
      <x:c r="D271" s="11" t="n">
        <x:v>2024</x:v>
      </x:c>
      <x:c r="E271" s="11" t="n">
        <x:v>1999</x:v>
      </x:c>
      <x:c r="F271" s="11"/>
      <x:c r="G271" s="12" t="n">
        <x:v>9.53</x:v>
      </x:c>
      <x:c r="H271" s="9" t="n">
        <x:v>0</x:v>
      </x:c>
      <x:c r="I271" s="9" t="n">
        <x:v>0</x:v>
      </x:c>
      <x:c r="J271" s="13"/>
      <x:c r="K271" s="9" t="str">
        <x:v>Exportado</x:v>
      </x:c>
      <x:c r="L271" s="9" t="str">
        <x:v>F017, F019, F018</x:v>
      </x:c>
    </x:row>
    <x:row r="272" ht="24" customHeight="1">
      <x:c r="A272" s="9" t="str">
        <x:v>C03</x:v>
      </x:c>
      <x:c r="B272" s="9" t="str">
        <x:v>YT - Arrozes especiais Bahia 03</x:v>
      </x:c>
      <x:c r="C272" s="10" t="d">
        <x:v>2026-08-26T12:00:00.000Z</x:v>
      </x:c>
      <x:c r="D272" s="11" t="n">
        <x:v>1357</x:v>
      </x:c>
      <x:c r="E272" s="11" t="n">
        <x:v>1334</x:v>
      </x:c>
      <x:c r="F272" s="11"/>
      <x:c r="G272" s="12" t="n">
        <x:v>6.79</x:v>
      </x:c>
      <x:c r="H272" s="9" t="n">
        <x:v>1</x:v>
      </x:c>
      <x:c r="I272" s="9" t="n">
        <x:v>0</x:v>
      </x:c>
      <x:c r="J272" s="13"/>
      <x:c r="K272" s="9" t="str">
        <x:v>Exportado</x:v>
      </x:c>
      <x:c r="L272" s="9" t="str">
        <x:v>F017, F019, F018</x:v>
      </x:c>
    </x:row>
    <x:row r="273" ht="24" customHeight="1">
      <x:c r="A273" s="9" t="str">
        <x:v>C03</x:v>
      </x:c>
      <x:c r="B273" s="9" t="str">
        <x:v>YT - Arrozes especiais Bahia 03</x:v>
      </x:c>
      <x:c r="C273" s="10" t="d">
        <x:v>2026-08-27T12:00:00.000Z</x:v>
      </x:c>
      <x:c r="D273" s="11" t="n">
        <x:v>2102</x:v>
      </x:c>
      <x:c r="E273" s="11" t="n">
        <x:v>1990</x:v>
      </x:c>
      <x:c r="F273" s="11"/>
      <x:c r="G273" s="12" t="n">
        <x:v>12.1</x:v>
      </x:c>
      <x:c r="H273" s="9" t="n">
        <x:v>2</x:v>
      </x:c>
      <x:c r="I273" s="9" t="n">
        <x:v>0</x:v>
      </x:c>
      <x:c r="J273" s="13"/>
      <x:c r="K273" s="9" t="str">
        <x:v>Exportado</x:v>
      </x:c>
      <x:c r="L273" s="9" t="str">
        <x:v>F017, F019, F018</x:v>
      </x:c>
    </x:row>
    <x:row r="274" ht="24" customHeight="1">
      <x:c r="A274" s="9" t="str">
        <x:v>C03</x:v>
      </x:c>
      <x:c r="B274" s="9" t="str">
        <x:v>YT - Arrozes especiais Bahia 03</x:v>
      </x:c>
      <x:c r="C274" s="10" t="d">
        <x:v>2026-08-28T12:00:00.000Z</x:v>
      </x:c>
      <x:c r="D274" s="11" t="n">
        <x:v>1620</x:v>
      </x:c>
      <x:c r="E274" s="11" t="n">
        <x:v>1519</x:v>
      </x:c>
      <x:c r="F274" s="11"/>
      <x:c r="G274" s="12" t="n">
        <x:v>9.27</x:v>
      </x:c>
      <x:c r="H274" s="9" t="n">
        <x:v>1</x:v>
      </x:c>
      <x:c r="I274" s="9" t="n">
        <x:v>0</x:v>
      </x:c>
      <x:c r="J274" s="13"/>
      <x:c r="K274" s="9" t="str">
        <x:v>Exportado</x:v>
      </x:c>
      <x:c r="L274" s="9" t="str">
        <x:v>F017, F019, F018</x:v>
      </x:c>
    </x:row>
    <x:row r="275" ht="24" customHeight="1">
      <x:c r="A275" s="9" t="str">
        <x:v>C03</x:v>
      </x:c>
      <x:c r="B275" s="9" t="str">
        <x:v>YT - Arrozes especiais Bahia 03</x:v>
      </x:c>
      <x:c r="C275" s="10" t="d">
        <x:v>2026-08-29T12:00:00.000Z</x:v>
      </x:c>
      <x:c r="D275" s="11" t="n">
        <x:v>1693</x:v>
      </x:c>
      <x:c r="E275" s="11" t="n">
        <x:v>1622</x:v>
      </x:c>
      <x:c r="F275" s="11"/>
      <x:c r="G275" s="12" t="n">
        <x:v>9.14</x:v>
      </x:c>
      <x:c r="H275" s="9" t="n">
        <x:v>0</x:v>
      </x:c>
      <x:c r="I275" s="9" t="n">
        <x:v>0</x:v>
      </x:c>
      <x:c r="J275" s="13"/>
      <x:c r="K275" s="9" t="str">
        <x:v>Exportado</x:v>
      </x:c>
      <x:c r="L275" s="9" t="str">
        <x:v>F017, F019, F018</x:v>
      </x:c>
    </x:row>
    <x:row r="276" ht="24" customHeight="1">
      <x:c r="A276" s="9" t="str">
        <x:v>C03</x:v>
      </x:c>
      <x:c r="B276" s="9" t="str">
        <x:v>YT - Arrozes especiais Bahia 03</x:v>
      </x:c>
      <x:c r="C276" s="10" t="d">
        <x:v>2026-08-30T12:00:00.000Z</x:v>
      </x:c>
      <x:c r="D276" s="11" t="n">
        <x:v>1798</x:v>
      </x:c>
      <x:c r="E276" s="11" t="n">
        <x:v>1686</x:v>
      </x:c>
      <x:c r="F276" s="11"/>
      <x:c r="G276" s="12" t="n">
        <x:v>8.98</x:v>
      </x:c>
      <x:c r="H276" s="9" t="n">
        <x:v>0</x:v>
      </x:c>
      <x:c r="I276" s="9" t="n">
        <x:v>0</x:v>
      </x:c>
      <x:c r="J276" s="13"/>
      <x:c r="K276" s="9" t="str">
        <x:v>Exportado</x:v>
      </x:c>
      <x:c r="L276" s="9" t="str">
        <x:v>F017, F019, F018</x:v>
      </x:c>
    </x:row>
    <x:row r="277" ht="24" customHeight="1">
      <x:c r="A277" s="9" t="str">
        <x:v>C03</x:v>
      </x:c>
      <x:c r="B277" s="9" t="str">
        <x:v>YT - Arrozes especiais Bahia 03</x:v>
      </x:c>
      <x:c r="C277" s="10" t="d">
        <x:v>2026-08-31T12:00:00.000Z</x:v>
      </x:c>
      <x:c r="D277" s="11" t="n">
        <x:v>1667</x:v>
      </x:c>
      <x:c r="E277" s="11" t="n">
        <x:v>1630</x:v>
      </x:c>
      <x:c r="F277" s="11"/>
      <x:c r="G277" s="12" t="n">
        <x:v>8.33</x:v>
      </x:c>
      <x:c r="H277" s="9" t="n">
        <x:v>0</x:v>
      </x:c>
      <x:c r="I277" s="9" t="n">
        <x:v>0</x:v>
      </x:c>
      <x:c r="J277" s="13"/>
      <x:c r="K277" s="9" t="str">
        <x:v>Exportado</x:v>
      </x:c>
      <x:c r="L277" s="9" t="str">
        <x:v>F017, F019, F018</x:v>
      </x:c>
    </x:row>
    <x:row r="278" ht="24" customHeight="1">
      <x:c r="A278" s="9" t="str">
        <x:v>C03</x:v>
      </x:c>
      <x:c r="B278" s="9" t="str">
        <x:v>YT - Arrozes especiais Bahia 03</x:v>
      </x:c>
      <x:c r="C278" s="10" t="d">
        <x:v>2026-09-01T12:00:00.000Z</x:v>
      </x:c>
      <x:c r="D278" s="11" t="n">
        <x:v>2515</x:v>
      </x:c>
      <x:c r="E278" s="11" t="n">
        <x:v>2474</x:v>
      </x:c>
      <x:c r="F278" s="11"/>
      <x:c r="G278" s="12" t="n">
        <x:v>10.56</x:v>
      </x:c>
      <x:c r="H278" s="9" t="n">
        <x:v>0</x:v>
      </x:c>
      <x:c r="I278" s="9" t="n">
        <x:v>0</x:v>
      </x:c>
      <x:c r="J278" s="13"/>
      <x:c r="K278" s="9" t="str">
        <x:v>Exportado</x:v>
      </x:c>
      <x:c r="L278" s="9" t="str">
        <x:v>F017, F019, F018</x:v>
      </x:c>
    </x:row>
    <x:row r="279" ht="24" customHeight="1">
      <x:c r="A279" s="9" t="str">
        <x:v>C03</x:v>
      </x:c>
      <x:c r="B279" s="9" t="str">
        <x:v>YT - Arrozes especiais Bahia 03</x:v>
      </x:c>
      <x:c r="C279" s="10" t="d">
        <x:v>2026-09-02T12:00:00.000Z</x:v>
      </x:c>
      <x:c r="D279" s="11" t="n">
        <x:v>2091</x:v>
      </x:c>
      <x:c r="E279" s="11" t="n">
        <x:v>1958</x:v>
      </x:c>
      <x:c r="F279" s="11"/>
      <x:c r="G279" s="12" t="n">
        <x:v>10.62</x:v>
      </x:c>
      <x:c r="H279" s="9" t="n">
        <x:v>0</x:v>
      </x:c>
      <x:c r="I279" s="9" t="n">
        <x:v>0</x:v>
      </x:c>
      <x:c r="J279" s="13"/>
      <x:c r="K279" s="9" t="str">
        <x:v>Exportado</x:v>
      </x:c>
      <x:c r="L279" s="9" t="str">
        <x:v>F017, F019, F018</x:v>
      </x:c>
    </x:row>
    <x:row r="280" ht="24" customHeight="1">
      <x:c r="A280" s="9" t="str">
        <x:v>C03</x:v>
      </x:c>
      <x:c r="B280" s="9" t="str">
        <x:v>YT - Arrozes especiais Bahia 03</x:v>
      </x:c>
      <x:c r="C280" s="10" t="d">
        <x:v>2026-09-03T12:00:00.000Z</x:v>
      </x:c>
      <x:c r="D280" s="11" t="n">
        <x:v>2499</x:v>
      </x:c>
      <x:c r="E280" s="11" t="n">
        <x:v>2427</x:v>
      </x:c>
      <x:c r="F280" s="11"/>
      <x:c r="G280" s="12" t="n">
        <x:v>10.54</x:v>
      </x:c>
      <x:c r="H280" s="9" t="n">
        <x:v>0</x:v>
      </x:c>
      <x:c r="I280" s="9" t="n">
        <x:v>0</x:v>
      </x:c>
      <x:c r="J280" s="13"/>
      <x:c r="K280" s="9" t="str">
        <x:v>Exportado</x:v>
      </x:c>
      <x:c r="L280" s="9" t="str">
        <x:v>F017, F019, F018</x:v>
      </x:c>
    </x:row>
    <x:row r="281" ht="24" customHeight="1">
      <x:c r="A281" s="9" t="str">
        <x:v>C03</x:v>
      </x:c>
      <x:c r="B281" s="9" t="str">
        <x:v>YT - Arrozes especiais Bahia 03</x:v>
      </x:c>
      <x:c r="C281" s="10" t="d">
        <x:v>2026-09-04T12:00:00.000Z</x:v>
      </x:c>
      <x:c r="D281" s="11" t="n">
        <x:v>2413</x:v>
      </x:c>
      <x:c r="E281" s="11" t="n">
        <x:v>2394</x:v>
      </x:c>
      <x:c r="F281" s="11"/>
      <x:c r="G281" s="12" t="n">
        <x:v>10.26</x:v>
      </x:c>
      <x:c r="H281" s="9" t="n">
        <x:v>0</x:v>
      </x:c>
      <x:c r="I281" s="9" t="n">
        <x:v>0</x:v>
      </x:c>
      <x:c r="J281" s="13"/>
      <x:c r="K281" s="9" t="str">
        <x:v>Exportado</x:v>
      </x:c>
      <x:c r="L281" s="9" t="str">
        <x:v>F017, F019, F018</x:v>
      </x:c>
    </x:row>
    <x:row r="282" ht="24" customHeight="1">
      <x:c r="A282" s="9" t="str">
        <x:v>C03</x:v>
      </x:c>
      <x:c r="B282" s="9" t="str">
        <x:v>YT - Arrozes especiais Bahia 03</x:v>
      </x:c>
      <x:c r="C282" s="10" t="d">
        <x:v>2026-09-05T12:00:00.000Z</x:v>
      </x:c>
      <x:c r="D282" s="11" t="n">
        <x:v>2064</x:v>
      </x:c>
      <x:c r="E282" s="11" t="n">
        <x:v>1960</x:v>
      </x:c>
      <x:c r="F282" s="11"/>
      <x:c r="G282" s="12" t="n">
        <x:v>10.6</x:v>
      </x:c>
      <x:c r="H282" s="9" t="n">
        <x:v>0</x:v>
      </x:c>
      <x:c r="I282" s="9" t="n">
        <x:v>0</x:v>
      </x:c>
      <x:c r="J282" s="13"/>
      <x:c r="K282" s="9" t="str">
        <x:v>Exportado</x:v>
      </x:c>
      <x:c r="L282" s="9" t="str">
        <x:v>F017, F019, F018</x:v>
      </x:c>
    </x:row>
    <x:row r="283" ht="24" customHeight="1">
      <x:c r="A283" s="9" t="str">
        <x:v>C03</x:v>
      </x:c>
      <x:c r="B283" s="9" t="str">
        <x:v>YT - Arrozes especiais Bahia 03</x:v>
      </x:c>
      <x:c r="C283" s="10" t="d">
        <x:v>2026-09-06T12:00:00.000Z</x:v>
      </x:c>
      <x:c r="D283" s="11" t="n">
        <x:v>2346</x:v>
      </x:c>
      <x:c r="E283" s="11" t="n">
        <x:v>2229</x:v>
      </x:c>
      <x:c r="F283" s="11"/>
      <x:c r="G283" s="12" t="n">
        <x:v>10.6</x:v>
      </x:c>
      <x:c r="H283" s="9" t="n">
        <x:v>0</x:v>
      </x:c>
      <x:c r="I283" s="9" t="n">
        <x:v>0</x:v>
      </x:c>
      <x:c r="J283" s="13"/>
      <x:c r="K283" s="9" t="str">
        <x:v>Exportado</x:v>
      </x:c>
      <x:c r="L283" s="9" t="str">
        <x:v>F017, F019, F018</x:v>
      </x:c>
    </x:row>
    <x:row r="284" ht="24" customHeight="1">
      <x:c r="A284" s="9" t="str">
        <x:v>C03</x:v>
      </x:c>
      <x:c r="B284" s="9" t="str">
        <x:v>YT - Arrozes especiais Bahia 03</x:v>
      </x:c>
      <x:c r="C284" s="10" t="d">
        <x:v>2026-09-07T12:00:00.000Z</x:v>
      </x:c>
      <x:c r="D284" s="11" t="n">
        <x:v>2565</x:v>
      </x:c>
      <x:c r="E284" s="11" t="n">
        <x:v>2471</x:v>
      </x:c>
      <x:c r="F284" s="11"/>
      <x:c r="G284" s="12" t="n">
        <x:v>10.49</x:v>
      </x:c>
      <x:c r="H284" s="9" t="n">
        <x:v>0</x:v>
      </x:c>
      <x:c r="I284" s="9" t="n">
        <x:v>0</x:v>
      </x:c>
      <x:c r="J284" s="13"/>
      <x:c r="K284" s="9" t="str">
        <x:v>Exportado</x:v>
      </x:c>
      <x:c r="L284" s="9" t="str">
        <x:v>F017, F019, F018</x:v>
      </x:c>
    </x:row>
    <x:row r="285" ht="24" customHeight="1">
      <x:c r="A285" s="9" t="str">
        <x:v>C03</x:v>
      </x:c>
      <x:c r="B285" s="9" t="str">
        <x:v>YT - Arrozes especiais Bahia 03</x:v>
      </x:c>
      <x:c r="C285" s="10" t="d">
        <x:v>2026-09-08T12:00:00.000Z</x:v>
      </x:c>
      <x:c r="D285" s="11" t="n">
        <x:v>2572</x:v>
      </x:c>
      <x:c r="E285" s="11" t="n">
        <x:v>2481</x:v>
      </x:c>
      <x:c r="F285" s="11"/>
      <x:c r="G285" s="12" t="n">
        <x:v>10.56</x:v>
      </x:c>
      <x:c r="H285" s="9" t="n">
        <x:v>0</x:v>
      </x:c>
      <x:c r="I285" s="9" t="n">
        <x:v>0</x:v>
      </x:c>
      <x:c r="J285" s="13"/>
      <x:c r="K285" s="9" t="str">
        <x:v>Exportado</x:v>
      </x:c>
      <x:c r="L285" s="9" t="str">
        <x:v>F017, F019, F018</x:v>
      </x:c>
    </x:row>
    <x:row r="286" ht="24" customHeight="1">
      <x:c r="A286" s="9" t="str">
        <x:v>C03</x:v>
      </x:c>
      <x:c r="B286" s="9" t="str">
        <x:v>YT - Arrozes especiais Bahia 03</x:v>
      </x:c>
      <x:c r="C286" s="10" t="d">
        <x:v>2026-09-09T12:00:00.000Z</x:v>
      </x:c>
      <x:c r="D286" s="11" t="n">
        <x:v>2516</x:v>
      </x:c>
      <x:c r="E286" s="11" t="n">
        <x:v>2493</x:v>
      </x:c>
      <x:c r="F286" s="11"/>
      <x:c r="G286" s="12" t="n">
        <x:v>10.5</x:v>
      </x:c>
      <x:c r="H286" s="9" t="n">
        <x:v>0</x:v>
      </x:c>
      <x:c r="I286" s="9" t="n">
        <x:v>0</x:v>
      </x:c>
      <x:c r="J286" s="13"/>
      <x:c r="K286" s="9" t="str">
        <x:v>Exportado</x:v>
      </x:c>
      <x:c r="L286" s="9" t="str">
        <x:v>F017, F019, F018</x:v>
      </x:c>
    </x:row>
    <x:row r="287" ht="24" customHeight="1">
      <x:c r="A287" s="9" t="str">
        <x:v>C03</x:v>
      </x:c>
      <x:c r="B287" s="9" t="str">
        <x:v>YT - Arrozes especiais Bahia 03</x:v>
      </x:c>
      <x:c r="C287" s="10" t="d">
        <x:v>2026-09-10T12:00:00.000Z</x:v>
      </x:c>
      <x:c r="D287" s="11" t="n">
        <x:v>2393</x:v>
      </x:c>
      <x:c r="E287" s="11" t="n">
        <x:v>2379</x:v>
      </x:c>
      <x:c r="F287" s="11"/>
      <x:c r="G287" s="12" t="n">
        <x:v>10.51</x:v>
      </x:c>
      <x:c r="H287" s="9" t="n">
        <x:v>0</x:v>
      </x:c>
      <x:c r="I287" s="9" t="n">
        <x:v>0</x:v>
      </x:c>
      <x:c r="J287" s="13"/>
      <x:c r="K287" s="9" t="str">
        <x:v>Exportado</x:v>
      </x:c>
      <x:c r="L287" s="9" t="str">
        <x:v>F017, F019, F018</x:v>
      </x:c>
    </x:row>
    <x:row r="288" ht="24" customHeight="1">
      <x:c r="A288" s="9" t="str">
        <x:v>C03</x:v>
      </x:c>
      <x:c r="B288" s="9" t="str">
        <x:v>YT - Arrozes especiais Bahia 03</x:v>
      </x:c>
      <x:c r="C288" s="10" t="d">
        <x:v>2026-09-11T12:00:00.000Z</x:v>
      </x:c>
      <x:c r="D288" s="11" t="n">
        <x:v>2414</x:v>
      </x:c>
      <x:c r="E288" s="11" t="n">
        <x:v>2388</x:v>
      </x:c>
      <x:c r="F288" s="11"/>
      <x:c r="G288" s="12" t="n">
        <x:v>10.47</x:v>
      </x:c>
      <x:c r="H288" s="9" t="n">
        <x:v>0</x:v>
      </x:c>
      <x:c r="I288" s="9" t="n">
        <x:v>0</x:v>
      </x:c>
      <x:c r="J288" s="13"/>
      <x:c r="K288" s="9" t="str">
        <x:v>Exportado</x:v>
      </x:c>
      <x:c r="L288" s="9" t="str">
        <x:v>F017, F019, F018</x:v>
      </x:c>
    </x:row>
    <x:row r="289" ht="24" customHeight="1">
      <x:c r="A289" s="9" t="str">
        <x:v>C03</x:v>
      </x:c>
      <x:c r="B289" s="9" t="str">
        <x:v>YT - Arrozes especiais Bahia 03</x:v>
      </x:c>
      <x:c r="C289" s="10" t="d">
        <x:v>2026-09-12T12:00:00.000Z</x:v>
      </x:c>
      <x:c r="D289" s="11" t="n">
        <x:v>2411</x:v>
      </x:c>
      <x:c r="E289" s="11" t="n">
        <x:v>2404</x:v>
      </x:c>
      <x:c r="F289" s="11"/>
      <x:c r="G289" s="12" t="n">
        <x:v>10.42</x:v>
      </x:c>
      <x:c r="H289" s="9" t="n">
        <x:v>0</x:v>
      </x:c>
      <x:c r="I289" s="9" t="n">
        <x:v>0</x:v>
      </x:c>
      <x:c r="J289" s="13"/>
      <x:c r="K289" s="9" t="str">
        <x:v>Exportado</x:v>
      </x:c>
      <x:c r="L289" s="9" t="str">
        <x:v>F017, F019, F018</x:v>
      </x:c>
    </x:row>
    <x:row r="290" ht="24" customHeight="1">
      <x:c r="A290" s="9" t="str">
        <x:v>C03</x:v>
      </x:c>
      <x:c r="B290" s="9" t="str">
        <x:v>YT - Arrozes especiais Bahia 03</x:v>
      </x:c>
      <x:c r="C290" s="10" t="d">
        <x:v>2026-09-13T12:00:00.000Z</x:v>
      </x:c>
      <x:c r="D290" s="11" t="n">
        <x:v>2491</x:v>
      </x:c>
      <x:c r="E290" s="11" t="n">
        <x:v>2484</x:v>
      </x:c>
      <x:c r="F290" s="11"/>
      <x:c r="G290" s="12" t="n">
        <x:v>10.41</x:v>
      </x:c>
      <x:c r="H290" s="9" t="n">
        <x:v>1</x:v>
      </x:c>
      <x:c r="I290" s="9" t="n">
        <x:v>0</x:v>
      </x:c>
      <x:c r="J290" s="13"/>
      <x:c r="K290" s="9" t="str">
        <x:v>Exportado</x:v>
      </x:c>
      <x:c r="L290" s="9" t="str">
        <x:v>F017, F019, F018</x:v>
      </x:c>
    </x:row>
    <x:row r="291" ht="24" customHeight="1">
      <x:c r="A291" s="9" t="str">
        <x:v>C03</x:v>
      </x:c>
      <x:c r="B291" s="9" t="str">
        <x:v>YT - Arrozes especiais Bahia 03</x:v>
      </x:c>
      <x:c r="C291" s="10" t="d">
        <x:v>2026-09-14T12:00:00.000Z</x:v>
      </x:c>
      <x:c r="D291" s="11" t="n">
        <x:v>2354</x:v>
      </x:c>
      <x:c r="E291" s="11" t="n">
        <x:v>2350</x:v>
      </x:c>
      <x:c r="F291" s="11"/>
      <x:c r="G291" s="12" t="n">
        <x:v>10.36</x:v>
      </x:c>
      <x:c r="H291" s="9" t="n">
        <x:v>0</x:v>
      </x:c>
      <x:c r="I291" s="9" t="n">
        <x:v>0</x:v>
      </x:c>
      <x:c r="J291" s="13"/>
      <x:c r="K291" s="9" t="str">
        <x:v>Exportado</x:v>
      </x:c>
      <x:c r="L291" s="9" t="str">
        <x:v>F017, F019, F018</x:v>
      </x:c>
    </x:row>
    <x:row r="292" ht="24" customHeight="1">
      <x:c r="A292" s="9" t="str">
        <x:v>C03</x:v>
      </x:c>
      <x:c r="B292" s="9" t="str">
        <x:v>YT - Arrozes especiais Bahia 03</x:v>
      </x:c>
      <x:c r="C292" s="10" t="d">
        <x:v>2026-09-15T12:00:00.000Z</x:v>
      </x:c>
      <x:c r="D292" s="11" t="n">
        <x:v>2491</x:v>
      </x:c>
      <x:c r="E292" s="11" t="n">
        <x:v>2483</x:v>
      </x:c>
      <x:c r="F292" s="11"/>
      <x:c r="G292" s="12" t="n">
        <x:v>10.3</x:v>
      </x:c>
      <x:c r="H292" s="9" t="n">
        <x:v>0</x:v>
      </x:c>
      <x:c r="I292" s="9" t="n">
        <x:v>0</x:v>
      </x:c>
      <x:c r="J292" s="13"/>
      <x:c r="K292" s="9" t="str">
        <x:v>Exportado</x:v>
      </x:c>
      <x:c r="L292" s="9" t="str">
        <x:v>F017, F019, F018</x:v>
      </x:c>
    </x:row>
    <x:row r="293" ht="24" customHeight="1">
      <x:c r="A293" s="9" t="str">
        <x:v>C03</x:v>
      </x:c>
      <x:c r="B293" s="9" t="str">
        <x:v>YT - Arrozes especiais Bahia 03</x:v>
      </x:c>
      <x:c r="C293" s="10" t="d">
        <x:v>2026-09-16T12:00:00.000Z</x:v>
      </x:c>
      <x:c r="D293" s="11" t="n">
        <x:v>2450</x:v>
      </x:c>
      <x:c r="E293" s="11" t="n">
        <x:v>2445</x:v>
      </x:c>
      <x:c r="F293" s="11"/>
      <x:c r="G293" s="12" t="n">
        <x:v>10.28</x:v>
      </x:c>
      <x:c r="H293" s="9" t="n">
        <x:v>0</x:v>
      </x:c>
      <x:c r="I293" s="9" t="n">
        <x:v>0</x:v>
      </x:c>
      <x:c r="J293" s="13"/>
      <x:c r="K293" s="9" t="str">
        <x:v>Exportado</x:v>
      </x:c>
      <x:c r="L293" s="9" t="str">
        <x:v>F017, F019, F018</x:v>
      </x:c>
    </x:row>
    <x:row r="294" ht="24" customHeight="1">
      <x:c r="A294" s="9" t="str">
        <x:v>C03</x:v>
      </x:c>
      <x:c r="B294" s="9" t="str">
        <x:v>YT - Arrozes especiais Bahia 03</x:v>
      </x:c>
      <x:c r="C294" s="10" t="d">
        <x:v>2026-09-17T12:00:00.000Z</x:v>
      </x:c>
      <x:c r="D294" s="11" t="n">
        <x:v>2337</x:v>
      </x:c>
      <x:c r="E294" s="11" t="n">
        <x:v>2333</x:v>
      </x:c>
      <x:c r="F294" s="11"/>
      <x:c r="G294" s="12" t="n">
        <x:v>10.27</x:v>
      </x:c>
      <x:c r="H294" s="9" t="n">
        <x:v>0</x:v>
      </x:c>
      <x:c r="I294" s="9" t="n">
        <x:v>0</x:v>
      </x:c>
      <x:c r="J294" s="13"/>
      <x:c r="K294" s="9" t="str">
        <x:v>Exportado</x:v>
      </x:c>
      <x:c r="L294" s="9" t="str">
        <x:v>F017, F019, F018</x:v>
      </x:c>
    </x:row>
    <x:row r="295" ht="24" customHeight="1">
      <x:c r="A295" s="9" t="str">
        <x:v>C03</x:v>
      </x:c>
      <x:c r="B295" s="9" t="str">
        <x:v>YT - Arrozes especiais Bahia 03</x:v>
      </x:c>
      <x:c r="C295" s="10" t="d">
        <x:v>2026-09-18T12:00:00.000Z</x:v>
      </x:c>
      <x:c r="D295" s="11" t="n">
        <x:v>2289</x:v>
      </x:c>
      <x:c r="E295" s="11" t="n">
        <x:v>2287</x:v>
      </x:c>
      <x:c r="F295" s="11"/>
      <x:c r="G295" s="12" t="n">
        <x:v>10.18</x:v>
      </x:c>
      <x:c r="H295" s="9" t="n">
        <x:v>0</x:v>
      </x:c>
      <x:c r="I295" s="9" t="n">
        <x:v>0</x:v>
      </x:c>
      <x:c r="J295" s="13"/>
      <x:c r="K295" s="9" t="str">
        <x:v>Exportado</x:v>
      </x:c>
      <x:c r="L295" s="9" t="str">
        <x:v>F017, F019, F018</x:v>
      </x:c>
    </x:row>
    <x:row r="296" ht="24" customHeight="1">
      <x:c r="A296" s="9" t="str">
        <x:v>C03</x:v>
      </x:c>
      <x:c r="B296" s="9" t="str">
        <x:v>YT - Arrozes especiais Bahia 03</x:v>
      </x:c>
      <x:c r="C296" s="10" t="d">
        <x:v>2026-09-19T12:00:00.000Z</x:v>
      </x:c>
      <x:c r="D296" s="11" t="n">
        <x:v>2462</x:v>
      </x:c>
      <x:c r="E296" s="11" t="n">
        <x:v>2458</x:v>
      </x:c>
      <x:c r="F296" s="11"/>
      <x:c r="G296" s="12" t="n">
        <x:v>10.19</x:v>
      </x:c>
      <x:c r="H296" s="9" t="n">
        <x:v>0</x:v>
      </x:c>
      <x:c r="I296" s="9" t="n">
        <x:v>0</x:v>
      </x:c>
      <x:c r="J296" s="13"/>
      <x:c r="K296" s="9" t="str">
        <x:v>Exportado</x:v>
      </x:c>
      <x:c r="L296" s="9" t="str">
        <x:v>F017, F019, F018</x:v>
      </x:c>
    </x:row>
    <x:row r="297" ht="24" customHeight="1">
      <x:c r="A297" s="9" t="str">
        <x:v>C03</x:v>
      </x:c>
      <x:c r="B297" s="9" t="str">
        <x:v>YT - Arrozes especiais Bahia 03</x:v>
      </x:c>
      <x:c r="C297" s="10" t="d">
        <x:v>2026-09-20T12:00:00.000Z</x:v>
      </x:c>
      <x:c r="D297" s="11" t="n">
        <x:v>2378</x:v>
      </x:c>
      <x:c r="E297" s="11" t="n">
        <x:v>2374</x:v>
      </x:c>
      <x:c r="F297" s="11"/>
      <x:c r="G297" s="12" t="n">
        <x:v>10.16</x:v>
      </x:c>
      <x:c r="H297" s="9" t="n">
        <x:v>0</x:v>
      </x:c>
      <x:c r="I297" s="9" t="n">
        <x:v>0</x:v>
      </x:c>
      <x:c r="J297" s="13"/>
      <x:c r="K297" s="9" t="str">
        <x:v>Exportado</x:v>
      </x:c>
      <x:c r="L297" s="9" t="str">
        <x:v>F017, F019, F018</x:v>
      </x:c>
    </x:row>
    <x:row r="298" ht="24" customHeight="1">
      <x:c r="A298" s="9" t="str">
        <x:v>C03</x:v>
      </x:c>
      <x:c r="B298" s="9" t="str">
        <x:v>YT - Arrozes especiais Bahia 03</x:v>
      </x:c>
      <x:c r="C298" s="10" t="d">
        <x:v>2026-09-21T12:00:00.000Z</x:v>
      </x:c>
      <x:c r="D298" s="11" t="n">
        <x:v>2315</x:v>
      </x:c>
      <x:c r="E298" s="11" t="n">
        <x:v>2306</x:v>
      </x:c>
      <x:c r="F298" s="11"/>
      <x:c r="G298" s="12" t="n">
        <x:v>10.11</x:v>
      </x:c>
      <x:c r="H298" s="9" t="n">
        <x:v>0</x:v>
      </x:c>
      <x:c r="I298" s="9" t="n">
        <x:v>0</x:v>
      </x:c>
      <x:c r="J298" s="13"/>
      <x:c r="K298" s="9" t="str">
        <x:v>Exportado</x:v>
      </x:c>
      <x:c r="L298" s="9" t="str">
        <x:v>F017, F019, F018</x:v>
      </x:c>
    </x:row>
    <x:row r="299" ht="24" customHeight="1">
      <x:c r="A299" s="9" t="str">
        <x:v>C03</x:v>
      </x:c>
      <x:c r="B299" s="9" t="str">
        <x:v>YT - Arrozes especiais Bahia 03</x:v>
      </x:c>
      <x:c r="C299" s="10" t="d">
        <x:v>2026-09-22T12:00:00.000Z</x:v>
      </x:c>
      <x:c r="D299" s="11" t="n">
        <x:v>2294</x:v>
      </x:c>
      <x:c r="E299" s="11" t="n">
        <x:v>2291</x:v>
      </x:c>
      <x:c r="F299" s="11"/>
      <x:c r="G299" s="12" t="n">
        <x:v>9.98</x:v>
      </x:c>
      <x:c r="H299" s="9" t="n">
        <x:v>0</x:v>
      </x:c>
      <x:c r="I299" s="9" t="n">
        <x:v>0</x:v>
      </x:c>
      <x:c r="J299" s="13"/>
      <x:c r="K299" s="9" t="str">
        <x:v>Exportado</x:v>
      </x:c>
      <x:c r="L299" s="9" t="str">
        <x:v>F017, F019, F018</x:v>
      </x:c>
    </x:row>
    <x:row r="300" ht="24" customHeight="1">
      <x:c r="A300" s="9" t="str">
        <x:v>C03</x:v>
      </x:c>
      <x:c r="B300" s="9" t="str">
        <x:v>YT - Arrozes especiais Bahia 03</x:v>
      </x:c>
      <x:c r="C300" s="10" t="d">
        <x:v>2026-09-23T12:00:00.000Z</x:v>
      </x:c>
      <x:c r="D300" s="11" t="n">
        <x:v>2316</x:v>
      </x:c>
      <x:c r="E300" s="11" t="n">
        <x:v>2306</x:v>
      </x:c>
      <x:c r="F300" s="11"/>
      <x:c r="G300" s="12" t="n">
        <x:v>9.96</x:v>
      </x:c>
      <x:c r="H300" s="9" t="n">
        <x:v>0</x:v>
      </x:c>
      <x:c r="I300" s="9" t="n">
        <x:v>0</x:v>
      </x:c>
      <x:c r="J300" s="13"/>
      <x:c r="K300" s="9" t="str">
        <x:v>Exportado</x:v>
      </x:c>
      <x:c r="L300" s="9" t="str">
        <x:v>F017, F019, F018</x:v>
      </x:c>
    </x:row>
    <x:row r="301" ht="24" customHeight="1">
      <x:c r="A301" s="9" t="str">
        <x:v>C03</x:v>
      </x:c>
      <x:c r="B301" s="9" t="str">
        <x:v>YT - Arrozes especiais Bahia 03</x:v>
      </x:c>
      <x:c r="C301" s="10" t="d">
        <x:v>2026-09-24T12:00:00.000Z</x:v>
      </x:c>
      <x:c r="D301" s="11" t="n">
        <x:v>166</x:v>
      </x:c>
      <x:c r="E301" s="11" t="n">
        <x:v>166</x:v>
      </x:c>
      <x:c r="F301" s="11"/>
      <x:c r="G301" s="12" t="n">
        <x:v>0.76</x:v>
      </x:c>
      <x:c r="H301" s="9" t="n">
        <x:v>0</x:v>
      </x:c>
      <x:c r="I301" s="9" t="n">
        <x:v>0</x:v>
      </x:c>
      <x:c r="J301" s="13"/>
      <x:c r="K301" s="9" t="str">
        <x:v>Exportado</x:v>
      </x:c>
      <x:c r="L301" s="9" t="str">
        <x:v>F017, F019, F018</x:v>
      </x:c>
    </x:row>
    <x:row r="302" ht="24" customHeight="1">
      <x:c r="A302" s="9" t="str">
        <x:v>C03</x:v>
      </x:c>
      <x:c r="B302" s="9" t="str">
        <x:v>YT - Arrozes especiais Bahia 03</x:v>
      </x:c>
      <x:c r="C302" s="10" t="d">
        <x:v>2026-09-25T12:00:00.000Z</x:v>
      </x:c>
      <x:c r="D302" s="11" t="n">
        <x:v>12</x:v>
      </x:c>
      <x:c r="E302" s="11" t="n">
        <x:v>12</x:v>
      </x:c>
      <x:c r="F302" s="11"/>
      <x:c r="G302" s="12" t="n">
        <x:v>0.03</x:v>
      </x:c>
      <x:c r="H302" s="9" t="n">
        <x:v>0</x:v>
      </x:c>
      <x:c r="I302" s="9" t="n">
        <x:v>0</x:v>
      </x:c>
      <x:c r="J302" s="13"/>
      <x:c r="K302" s="9" t="str">
        <x:v>Exportado</x:v>
      </x:c>
      <x:c r="L302" s="9" t="str">
        <x:v>F017, F019, F018</x:v>
      </x:c>
    </x:row>
    <x:row r="303" ht="24" customHeight="1">
      <x:c r="A303" s="9" t="str">
        <x:v>C03</x:v>
      </x:c>
      <x:c r="B303" s="9" t="str">
        <x:v>YT - Arrozes especiais Bahia 03</x:v>
      </x:c>
      <x:c r="C303" s="10" t="d">
        <x:v>2026-09-26T12:00:00.000Z</x:v>
      </x:c>
      <x:c r="D303" s="11" t="n">
        <x:v>0</x:v>
      </x:c>
      <x:c r="E303" s="11" t="n">
        <x:v>0</x:v>
      </x:c>
      <x:c r="F303" s="11"/>
      <x:c r="G303" s="12" t="n">
        <x:v>0</x:v>
      </x:c>
      <x:c r="H303" s="9" t="n">
        <x:v>0</x:v>
      </x:c>
      <x:c r="I303" s="9" t="n">
        <x:v>0</x:v>
      </x:c>
      <x:c r="J303" s="13"/>
      <x:c r="K303" s="9" t="str">
        <x:v>Exportado</x:v>
      </x:c>
      <x:c r="L303" s="9" t="str">
        <x:v>F017, F019, F018</x:v>
      </x:c>
    </x:row>
    <x:row r="304" ht="24" customHeight="1">
      <x:c r="A304" s="9" t="str">
        <x:v>C03</x:v>
      </x:c>
      <x:c r="B304" s="9" t="str">
        <x:v>YT - Arrozes especiais Bahia 03</x:v>
      </x:c>
      <x:c r="C304" s="10" t="d">
        <x:v>2026-09-27T12:00:00.000Z</x:v>
      </x:c>
      <x:c r="D304" s="11" t="n">
        <x:v>1</x:v>
      </x:c>
      <x:c r="E304" s="11" t="n">
        <x:v>1</x:v>
      </x:c>
      <x:c r="F304" s="11"/>
      <x:c r="G304" s="12" t="n">
        <x:v>0.01</x:v>
      </x:c>
      <x:c r="H304" s="9" t="n">
        <x:v>0</x:v>
      </x:c>
      <x:c r="I304" s="9" t="n">
        <x:v>0</x:v>
      </x:c>
      <x:c r="J304" s="13"/>
      <x:c r="K304" s="9" t="str">
        <x:v>Exportado</x:v>
      </x:c>
      <x:c r="L304" s="9" t="str">
        <x:v>F017, F019, F018</x:v>
      </x:c>
    </x:row>
    <x:row r="305" ht="24" customHeight="1">
      <x:c r="A305" s="9" t="str">
        <x:v>C03</x:v>
      </x:c>
      <x:c r="B305" s="9" t="str">
        <x:v>YT - Arrozes especiais Bahia 03</x:v>
      </x:c>
      <x:c r="C305" s="10" t="d">
        <x:v>2026-09-28T12:00:00.000Z</x:v>
      </x:c>
      <x:c r="D305" s="11" t="n">
        <x:v>0</x:v>
      </x:c>
      <x:c r="E305" s="11" t="n">
        <x:v>0</x:v>
      </x:c>
      <x:c r="F305" s="11"/>
      <x:c r="G305" s="12" t="n">
        <x:v>0</x:v>
      </x:c>
      <x:c r="H305" s="9" t="n">
        <x:v>0</x:v>
      </x:c>
      <x:c r="I305" s="9" t="n">
        <x:v>0</x:v>
      </x:c>
      <x:c r="J305" s="13"/>
      <x:c r="K305" s="9" t="str">
        <x:v>Exportado</x:v>
      </x:c>
      <x:c r="L305" s="9" t="str">
        <x:v>F017, F019, F018</x:v>
      </x:c>
    </x:row>
    <x:row r="306" ht="24" customHeight="1">
      <x:c r="A306" s="9" t="str">
        <x:v>C03</x:v>
      </x:c>
      <x:c r="B306" s="9" t="str">
        <x:v>YT - Arrozes especiais Bahia 03</x:v>
      </x:c>
      <x:c r="C306" s="10" t="d">
        <x:v>2026-09-29T12:00:00.000Z</x:v>
      </x:c>
      <x:c r="D306" s="11" t="n">
        <x:v>3</x:v>
      </x:c>
      <x:c r="E306" s="11" t="n">
        <x:v>3</x:v>
      </x:c>
      <x:c r="F306" s="11"/>
      <x:c r="G306" s="12" t="n">
        <x:v>0.02</x:v>
      </x:c>
      <x:c r="H306" s="9" t="n">
        <x:v>0</x:v>
      </x:c>
      <x:c r="I306" s="9" t="n">
        <x:v>0</x:v>
      </x:c>
      <x:c r="J306" s="13"/>
      <x:c r="K306" s="9" t="str">
        <x:v>Exportado</x:v>
      </x:c>
      <x:c r="L306" s="9" t="str">
        <x:v>F017, F019, F018</x:v>
      </x:c>
    </x:row>
    <x:row r="307" ht="24" customHeight="1">
      <x:c r="A307" s="9" t="str">
        <x:v>C03</x:v>
      </x:c>
      <x:c r="B307" s="9" t="str">
        <x:v>YT - Arrozes especiais Bahia 03</x:v>
      </x:c>
      <x:c r="C307" s="10" t="d">
        <x:v>2026-09-30T12:00:00.000Z</x:v>
      </x:c>
      <x:c r="D307" s="11" t="n">
        <x:v>0</x:v>
      </x:c>
      <x:c r="E307" s="11" t="n">
        <x:v>0</x:v>
      </x:c>
      <x:c r="F307" s="11"/>
      <x:c r="G307" s="12" t="n">
        <x:v>0</x:v>
      </x:c>
      <x:c r="H307" s="9" t="n">
        <x:v>0</x:v>
      </x:c>
      <x:c r="I307" s="9" t="n">
        <x:v>0</x:v>
      </x:c>
      <x:c r="J307" s="13"/>
      <x:c r="K307" s="9" t="str">
        <x:v>Exportado</x:v>
      </x:c>
      <x:c r="L307" s="9" t="str">
        <x:v>F017, F019, F018</x:v>
      </x:c>
    </x:row>
    <x:row r="308" ht="24" customHeight="1">
      <x:c r="A308" s="9" t="str">
        <x:v>C03</x:v>
      </x:c>
      <x:c r="B308" s="9" t="str">
        <x:v>YT - Arrozes especiais Bahia 03</x:v>
      </x:c>
      <x:c r="C308" s="10" t="d">
        <x:v>2026-10-01T12:00:00.000Z</x:v>
      </x:c>
      <x:c r="D308" s="11" t="n">
        <x:v>2310</x:v>
      </x:c>
      <x:c r="E308" s="11" t="n">
        <x:v>2307</x:v>
      </x:c>
      <x:c r="F308" s="11"/>
      <x:c r="G308" s="12" t="n">
        <x:v>9.8</x:v>
      </x:c>
      <x:c r="H308" s="9" t="n">
        <x:v>0</x:v>
      </x:c>
      <x:c r="I308" s="9" t="n">
        <x:v>0</x:v>
      </x:c>
      <x:c r="J308" s="13"/>
      <x:c r="K308" s="9" t="str">
        <x:v>Exportado</x:v>
      </x:c>
      <x:c r="L308" s="9" t="str">
        <x:v>F017, F019, F018</x:v>
      </x:c>
    </x:row>
    <x:row r="309" ht="24" customHeight="1">
      <x:c r="A309" s="9" t="str">
        <x:v>C03</x:v>
      </x:c>
      <x:c r="B309" s="9" t="str">
        <x:v>YT - Arrozes especiais Bahia 03</x:v>
      </x:c>
      <x:c r="C309" s="10" t="d">
        <x:v>2026-10-02T12:00:00.000Z</x:v>
      </x:c>
      <x:c r="D309" s="11" t="n">
        <x:v>2979</x:v>
      </x:c>
      <x:c r="E309" s="11" t="n">
        <x:v>2969</x:v>
      </x:c>
      <x:c r="F309" s="11"/>
      <x:c r="G309" s="12" t="n">
        <x:v>10.3</x:v>
      </x:c>
      <x:c r="H309" s="9" t="n">
        <x:v>0</x:v>
      </x:c>
      <x:c r="I309" s="9" t="n">
        <x:v>0</x:v>
      </x:c>
      <x:c r="J309" s="13"/>
      <x:c r="K309" s="9" t="str">
        <x:v>Exportado</x:v>
      </x:c>
      <x:c r="L309" s="9" t="str">
        <x:v>F017, F019, F018</x:v>
      </x:c>
    </x:row>
    <x:row r="310" ht="24" customHeight="1">
      <x:c r="A310" s="9" t="str">
        <x:v>C03</x:v>
      </x:c>
      <x:c r="B310" s="9" t="str">
        <x:v>YT - Arrozes especiais Bahia 03</x:v>
      </x:c>
      <x:c r="C310" s="10" t="d">
        <x:v>2026-10-03T12:00:00.000Z</x:v>
      </x:c>
      <x:c r="D310" s="11" t="n">
        <x:v>2763</x:v>
      </x:c>
      <x:c r="E310" s="11" t="n">
        <x:v>2748</x:v>
      </x:c>
      <x:c r="F310" s="11"/>
      <x:c r="G310" s="12" t="n">
        <x:v>10.28</x:v>
      </x:c>
      <x:c r="H310" s="9" t="n">
        <x:v>2</x:v>
      </x:c>
      <x:c r="I310" s="9" t="n">
        <x:v>0</x:v>
      </x:c>
      <x:c r="J310" s="13"/>
      <x:c r="K310" s="9" t="str">
        <x:v>Exportado</x:v>
      </x:c>
      <x:c r="L310" s="9" t="str">
        <x:v>F017, F019, F018</x:v>
      </x:c>
    </x:row>
    <x:row r="311" ht="24" customHeight="1">
      <x:c r="A311" s="9" t="str">
        <x:v>C03</x:v>
      </x:c>
      <x:c r="B311" s="9" t="str">
        <x:v>YT - Arrozes especiais Bahia 03</x:v>
      </x:c>
      <x:c r="C311" s="10" t="d">
        <x:v>2026-10-04T12:00:00.000Z</x:v>
      </x:c>
      <x:c r="D311" s="11" t="n">
        <x:v>2660</x:v>
      </x:c>
      <x:c r="E311" s="11" t="n">
        <x:v>2592</x:v>
      </x:c>
      <x:c r="F311" s="11"/>
      <x:c r="G311" s="12" t="n">
        <x:v>10.29</x:v>
      </x:c>
      <x:c r="H311" s="9" t="n">
        <x:v>1</x:v>
      </x:c>
      <x:c r="I311" s="9" t="n">
        <x:v>0</x:v>
      </x:c>
      <x:c r="J311" s="13"/>
      <x:c r="K311" s="9" t="str">
        <x:v>Exportado</x:v>
      </x:c>
      <x:c r="L311" s="9" t="str">
        <x:v>F017, F019, F018</x:v>
      </x:c>
    </x:row>
    <x:row r="312" ht="24" customHeight="1">
      <x:c r="A312" s="9" t="str">
        <x:v>C03</x:v>
      </x:c>
      <x:c r="B312" s="9" t="str">
        <x:v>YT - Arrozes especiais Bahia 03</x:v>
      </x:c>
      <x:c r="C312" s="10" t="d">
        <x:v>2026-10-05T12:00:00.000Z</x:v>
      </x:c>
      <x:c r="D312" s="11" t="n">
        <x:v>2934</x:v>
      </x:c>
      <x:c r="E312" s="11" t="n">
        <x:v>2907</x:v>
      </x:c>
      <x:c r="F312" s="11"/>
      <x:c r="G312" s="12" t="n">
        <x:v>10.23</x:v>
      </x:c>
      <x:c r="H312" s="9" t="n">
        <x:v>0</x:v>
      </x:c>
      <x:c r="I312" s="9" t="n">
        <x:v>0</x:v>
      </x:c>
      <x:c r="J312" s="13"/>
      <x:c r="K312" s="9" t="str">
        <x:v>Exportado</x:v>
      </x:c>
      <x:c r="L312" s="9" t="str">
        <x:v>F017, F019, F018</x:v>
      </x:c>
    </x:row>
    <x:row r="313" ht="24" customHeight="1">
      <x:c r="A313" s="9" t="str">
        <x:v>C03</x:v>
      </x:c>
      <x:c r="B313" s="9" t="str">
        <x:v>YT - Arrozes especiais Bahia 03</x:v>
      </x:c>
      <x:c r="C313" s="10" t="d">
        <x:v>2026-10-06T12:00:00.000Z</x:v>
      </x:c>
      <x:c r="D313" s="11" t="n">
        <x:v>2853</x:v>
      </x:c>
      <x:c r="E313" s="11" t="n">
        <x:v>2814</x:v>
      </x:c>
      <x:c r="F313" s="11"/>
      <x:c r="G313" s="12" t="n">
        <x:v>10.14</x:v>
      </x:c>
      <x:c r="H313" s="9" t="n">
        <x:v>0</x:v>
      </x:c>
      <x:c r="I313" s="9" t="n">
        <x:v>0</x:v>
      </x:c>
      <x:c r="J313" s="13"/>
      <x:c r="K313" s="9" t="str">
        <x:v>Exportado</x:v>
      </x:c>
      <x:c r="L313" s="9" t="str">
        <x:v>F017, F019, F018</x:v>
      </x:c>
    </x:row>
    <x:row r="314" ht="24" customHeight="1">
      <x:c r="A314" s="9" t="str">
        <x:v>C03</x:v>
      </x:c>
      <x:c r="B314" s="9" t="str">
        <x:v>YT - Arrozes especiais Bahia 03</x:v>
      </x:c>
      <x:c r="C314" s="10" t="d">
        <x:v>2026-10-07T12:00:00.000Z</x:v>
      </x:c>
      <x:c r="D314" s="11" t="n">
        <x:v>2801</x:v>
      </x:c>
      <x:c r="E314" s="11" t="n">
        <x:v>2787</x:v>
      </x:c>
      <x:c r="F314" s="11"/>
      <x:c r="G314" s="12" t="n">
        <x:v>10.21</x:v>
      </x:c>
      <x:c r="H314" s="9" t="n">
        <x:v>0</x:v>
      </x:c>
      <x:c r="I314" s="9" t="n">
        <x:v>0</x:v>
      </x:c>
      <x:c r="J314" s="13"/>
      <x:c r="K314" s="9" t="str">
        <x:v>Exportado</x:v>
      </x:c>
      <x:c r="L314" s="9" t="str">
        <x:v>F017, F019, F018</x:v>
      </x:c>
    </x:row>
    <x:row r="315" ht="24" customHeight="1">
      <x:c r="A315" s="9" t="str">
        <x:v>C03</x:v>
      </x:c>
      <x:c r="B315" s="9" t="str">
        <x:v>YT - Arrozes especiais Bahia 03</x:v>
      </x:c>
      <x:c r="C315" s="10" t="d">
        <x:v>2026-10-08T12:00:00.000Z</x:v>
      </x:c>
      <x:c r="D315" s="11" t="n">
        <x:v>2663</x:v>
      </x:c>
      <x:c r="E315" s="11" t="n">
        <x:v>2656</x:v>
      </x:c>
      <x:c r="F315" s="11"/>
      <x:c r="G315" s="12" t="n">
        <x:v>10.41</x:v>
      </x:c>
      <x:c r="H315" s="9" t="n">
        <x:v>1</x:v>
      </x:c>
      <x:c r="I315" s="9" t="n">
        <x:v>0</x:v>
      </x:c>
      <x:c r="J315" s="13"/>
      <x:c r="K315" s="9" t="str">
        <x:v>Exportado</x:v>
      </x:c>
      <x:c r="L315" s="9" t="str">
        <x:v>F017, F019, F018</x:v>
      </x:c>
    </x:row>
    <x:row r="316" ht="24" customHeight="1">
      <x:c r="A316" s="9" t="str">
        <x:v>C03</x:v>
      </x:c>
      <x:c r="B316" s="9" t="str">
        <x:v>YT - Arrozes especiais Bahia 03</x:v>
      </x:c>
      <x:c r="C316" s="10" t="d">
        <x:v>2026-10-09T12:00:00.000Z</x:v>
      </x:c>
      <x:c r="D316" s="11" t="n">
        <x:v>2758</x:v>
      </x:c>
      <x:c r="E316" s="11" t="n">
        <x:v>2748</x:v>
      </x:c>
      <x:c r="F316" s="11"/>
      <x:c r="G316" s="12" t="n">
        <x:v>10.27</x:v>
      </x:c>
      <x:c r="H316" s="9" t="n">
        <x:v>0</x:v>
      </x:c>
      <x:c r="I316" s="9" t="n">
        <x:v>0</x:v>
      </x:c>
      <x:c r="J316" s="13"/>
      <x:c r="K316" s="9" t="str">
        <x:v>Exportado</x:v>
      </x:c>
      <x:c r="L316" s="9" t="str">
        <x:v>F017, F019, F018</x:v>
      </x:c>
    </x:row>
    <x:row r="317" ht="24" customHeight="1">
      <x:c r="A317" s="9" t="str">
        <x:v>C03</x:v>
      </x:c>
      <x:c r="B317" s="9" t="str">
        <x:v>YT - Arrozes especiais Bahia 03</x:v>
      </x:c>
      <x:c r="C317" s="10" t="d">
        <x:v>2026-10-10T12:00:00.000Z</x:v>
      </x:c>
      <x:c r="D317" s="11" t="n">
        <x:v>2470</x:v>
      </x:c>
      <x:c r="E317" s="11" t="n">
        <x:v>2465</x:v>
      </x:c>
      <x:c r="F317" s="11"/>
      <x:c r="G317" s="12" t="n">
        <x:v>10.18</x:v>
      </x:c>
      <x:c r="H317" s="9" t="n">
        <x:v>0</x:v>
      </x:c>
      <x:c r="I317" s="9" t="n">
        <x:v>0</x:v>
      </x:c>
      <x:c r="J317" s="13"/>
      <x:c r="K317" s="9" t="str">
        <x:v>Exportado</x:v>
      </x:c>
      <x:c r="L317" s="9" t="str">
        <x:v>F017, F019, F018</x:v>
      </x:c>
    </x:row>
    <x:row r="318" ht="24" customHeight="1">
      <x:c r="A318" s="9" t="str">
        <x:v>C03</x:v>
      </x:c>
      <x:c r="B318" s="9" t="str">
        <x:v>YT - Arrozes especiais Bahia 03</x:v>
      </x:c>
      <x:c r="C318" s="10" t="d">
        <x:v>2026-10-11T12:00:00.000Z</x:v>
      </x:c>
      <x:c r="D318" s="11" t="n">
        <x:v>2611</x:v>
      </x:c>
      <x:c r="E318" s="11" t="n">
        <x:v>2588</x:v>
      </x:c>
      <x:c r="F318" s="11"/>
      <x:c r="G318" s="12" t="n">
        <x:v>10.07</x:v>
      </x:c>
      <x:c r="H318" s="9" t="n">
        <x:v>0</x:v>
      </x:c>
      <x:c r="I318" s="9" t="n">
        <x:v>0</x:v>
      </x:c>
      <x:c r="J318" s="13"/>
      <x:c r="K318" s="9" t="str">
        <x:v>Exportado</x:v>
      </x:c>
      <x:c r="L318" s="9" t="str">
        <x:v>F017, F019, F018</x:v>
      </x:c>
    </x:row>
    <x:row r="319" ht="24" customHeight="1">
      <x:c r="A319" s="9" t="str">
        <x:v>C03</x:v>
      </x:c>
      <x:c r="B319" s="9" t="str">
        <x:v>YT - Arrozes especiais Bahia 03</x:v>
      </x:c>
      <x:c r="C319" s="10" t="d">
        <x:v>2026-10-12T12:00:00.000Z</x:v>
      </x:c>
      <x:c r="D319" s="11" t="n">
        <x:v>2742</x:v>
      </x:c>
      <x:c r="E319" s="11" t="n">
        <x:v>2721</x:v>
      </x:c>
      <x:c r="F319" s="11"/>
      <x:c r="G319" s="12" t="n">
        <x:v>10.1</x:v>
      </x:c>
      <x:c r="H319" s="9" t="n">
        <x:v>0</x:v>
      </x:c>
      <x:c r="I319" s="9" t="n">
        <x:v>0</x:v>
      </x:c>
      <x:c r="J319" s="13"/>
      <x:c r="K319" s="9" t="str">
        <x:v>Exportado</x:v>
      </x:c>
      <x:c r="L319" s="9" t="str">
        <x:v>F017, F019, F018</x:v>
      </x:c>
    </x:row>
    <x:row r="320" ht="24" customHeight="1">
      <x:c r="A320" s="9" t="str">
        <x:v>C03</x:v>
      </x:c>
      <x:c r="B320" s="9" t="str">
        <x:v>YT - Arrozes especiais Bahia 03</x:v>
      </x:c>
      <x:c r="C320" s="10" t="d">
        <x:v>2026-10-13T12:00:00.000Z</x:v>
      </x:c>
      <x:c r="D320" s="11" t="n">
        <x:v>3025</x:v>
      </x:c>
      <x:c r="E320" s="11" t="n">
        <x:v>3008</x:v>
      </x:c>
      <x:c r="F320" s="11"/>
      <x:c r="G320" s="12" t="n">
        <x:v>10.07</x:v>
      </x:c>
      <x:c r="H320" s="9" t="n">
        <x:v>0</x:v>
      </x:c>
      <x:c r="I320" s="9" t="n">
        <x:v>0</x:v>
      </x:c>
      <x:c r="J320" s="13"/>
      <x:c r="K320" s="9" t="str">
        <x:v>Exportado</x:v>
      </x:c>
      <x:c r="L320" s="9" t="str">
        <x:v>F017, F019, F018</x:v>
      </x:c>
    </x:row>
    <x:row r="321" ht="24" customHeight="1">
      <x:c r="A321" s="9" t="str">
        <x:v>C04</x:v>
      </x:c>
      <x:c r="B321" s="9" t="str">
        <x:v>Remarketing Caçarola</x:v>
      </x:c>
      <x:c r="C321" s="10" t="d">
        <x:v>2026-07-01T12:00:00.000Z</x:v>
      </x:c>
      <x:c r="D321" s="11"/>
      <x:c r="E321" s="11"/>
      <x:c r="F321" s="11"/>
      <x:c r="G321" s="12"/>
      <x:c r="H321" s="9"/>
      <x:c r="I321" s="9"/>
      <x:c r="J321" s="13"/>
      <x:c r="K321" s="9" t="str">
        <x:v>Sem exportação</x:v>
      </x:c>
      <x:c r="L321" s="9"/>
    </x:row>
    <x:row r="322" ht="24" customHeight="1">
      <x:c r="A322" s="9" t="str">
        <x:v>C04</x:v>
      </x:c>
      <x:c r="B322" s="9" t="str">
        <x:v>Remarketing Caçarola</x:v>
      </x:c>
      <x:c r="C322" s="10" t="d">
        <x:v>2026-07-02T12:00:00.000Z</x:v>
      </x:c>
      <x:c r="D322" s="11"/>
      <x:c r="E322" s="11"/>
      <x:c r="F322" s="11"/>
      <x:c r="G322" s="12"/>
      <x:c r="H322" s="9"/>
      <x:c r="I322" s="9"/>
      <x:c r="J322" s="13"/>
      <x:c r="K322" s="9" t="str">
        <x:v>Sem exportação</x:v>
      </x:c>
      <x:c r="L322" s="9"/>
    </x:row>
    <x:row r="323" ht="24" customHeight="1">
      <x:c r="A323" s="9" t="str">
        <x:v>C04</x:v>
      </x:c>
      <x:c r="B323" s="9" t="str">
        <x:v>Remarketing Caçarola</x:v>
      </x:c>
      <x:c r="C323" s="10" t="d">
        <x:v>2026-07-03T12:00:00.000Z</x:v>
      </x:c>
      <x:c r="D323" s="11"/>
      <x:c r="E323" s="11"/>
      <x:c r="F323" s="11"/>
      <x:c r="G323" s="12"/>
      <x:c r="H323" s="9"/>
      <x:c r="I323" s="9"/>
      <x:c r="J323" s="13"/>
      <x:c r="K323" s="9" t="str">
        <x:v>Sem exportação</x:v>
      </x:c>
      <x:c r="L323" s="9"/>
    </x:row>
    <x:row r="324" ht="24" customHeight="1">
      <x:c r="A324" s="9" t="str">
        <x:v>C04</x:v>
      </x:c>
      <x:c r="B324" s="9" t="str">
        <x:v>Remarketing Caçarola</x:v>
      </x:c>
      <x:c r="C324" s="10" t="d">
        <x:v>2026-07-04T12:00:00.000Z</x:v>
      </x:c>
      <x:c r="D324" s="11"/>
      <x:c r="E324" s="11"/>
      <x:c r="F324" s="11"/>
      <x:c r="G324" s="12"/>
      <x:c r="H324" s="9"/>
      <x:c r="I324" s="9"/>
      <x:c r="J324" s="13"/>
      <x:c r="K324" s="9" t="str">
        <x:v>Sem exportação</x:v>
      </x:c>
      <x:c r="L324" s="9"/>
    </x:row>
    <x:row r="325" ht="24" customHeight="1">
      <x:c r="A325" s="9" t="str">
        <x:v>C04</x:v>
      </x:c>
      <x:c r="B325" s="9" t="str">
        <x:v>Remarketing Caçarola</x:v>
      </x:c>
      <x:c r="C325" s="10" t="d">
        <x:v>2026-07-05T12:00:00.000Z</x:v>
      </x:c>
      <x:c r="D325" s="11"/>
      <x:c r="E325" s="11"/>
      <x:c r="F325" s="11"/>
      <x:c r="G325" s="12"/>
      <x:c r="H325" s="9"/>
      <x:c r="I325" s="9"/>
      <x:c r="J325" s="13"/>
      <x:c r="K325" s="9" t="str">
        <x:v>Sem exportação</x:v>
      </x:c>
      <x:c r="L325" s="9"/>
    </x:row>
    <x:row r="326" ht="24" customHeight="1">
      <x:c r="A326" s="9" t="str">
        <x:v>C04</x:v>
      </x:c>
      <x:c r="B326" s="9" t="str">
        <x:v>Remarketing Caçarola</x:v>
      </x:c>
      <x:c r="C326" s="10" t="d">
        <x:v>2026-07-06T12:00:00.000Z</x:v>
      </x:c>
      <x:c r="D326" s="11"/>
      <x:c r="E326" s="11"/>
      <x:c r="F326" s="11"/>
      <x:c r="G326" s="12"/>
      <x:c r="H326" s="9"/>
      <x:c r="I326" s="9"/>
      <x:c r="J326" s="13"/>
      <x:c r="K326" s="9" t="str">
        <x:v>Sem exportação</x:v>
      </x:c>
      <x:c r="L326" s="9"/>
    </x:row>
    <x:row r="327" ht="24" customHeight="1">
      <x:c r="A327" s="9" t="str">
        <x:v>C04</x:v>
      </x:c>
      <x:c r="B327" s="9" t="str">
        <x:v>Remarketing Caçarola</x:v>
      </x:c>
      <x:c r="C327" s="10" t="d">
        <x:v>2026-07-07T12:00:00.000Z</x:v>
      </x:c>
      <x:c r="D327" s="11"/>
      <x:c r="E327" s="11"/>
      <x:c r="F327" s="11"/>
      <x:c r="G327" s="12"/>
      <x:c r="H327" s="9"/>
      <x:c r="I327" s="9"/>
      <x:c r="J327" s="13"/>
      <x:c r="K327" s="9" t="str">
        <x:v>Sem exportação</x:v>
      </x:c>
      <x:c r="L327" s="9"/>
    </x:row>
    <x:row r="328" ht="24" customHeight="1">
      <x:c r="A328" s="9" t="str">
        <x:v>C04</x:v>
      </x:c>
      <x:c r="B328" s="9" t="str">
        <x:v>Remarketing Caçarola</x:v>
      </x:c>
      <x:c r="C328" s="10" t="d">
        <x:v>2026-07-08T12:00:00.000Z</x:v>
      </x:c>
      <x:c r="D328" s="11"/>
      <x:c r="E328" s="11"/>
      <x:c r="F328" s="11"/>
      <x:c r="G328" s="12"/>
      <x:c r="H328" s="9"/>
      <x:c r="I328" s="9"/>
      <x:c r="J328" s="13"/>
      <x:c r="K328" s="9" t="str">
        <x:v>Sem exportação</x:v>
      </x:c>
      <x:c r="L328" s="9"/>
    </x:row>
    <x:row r="329" ht="24" customHeight="1">
      <x:c r="A329" s="9" t="str">
        <x:v>C04</x:v>
      </x:c>
      <x:c r="B329" s="9" t="str">
        <x:v>Remarketing Caçarola</x:v>
      </x:c>
      <x:c r="C329" s="10" t="d">
        <x:v>2026-07-09T12:00:00.000Z</x:v>
      </x:c>
      <x:c r="D329" s="11"/>
      <x:c r="E329" s="11"/>
      <x:c r="F329" s="11"/>
      <x:c r="G329" s="12"/>
      <x:c r="H329" s="9"/>
      <x:c r="I329" s="9"/>
      <x:c r="J329" s="13"/>
      <x:c r="K329" s="9" t="str">
        <x:v>Sem exportação</x:v>
      </x:c>
      <x:c r="L329" s="9"/>
    </x:row>
    <x:row r="330" ht="24" customHeight="1">
      <x:c r="A330" s="9" t="str">
        <x:v>C04</x:v>
      </x:c>
      <x:c r="B330" s="9" t="str">
        <x:v>Remarketing Caçarola</x:v>
      </x:c>
      <x:c r="C330" s="10" t="d">
        <x:v>2026-07-10T12:00:00.000Z</x:v>
      </x:c>
      <x:c r="D330" s="11"/>
      <x:c r="E330" s="11"/>
      <x:c r="F330" s="11"/>
      <x:c r="G330" s="12"/>
      <x:c r="H330" s="9"/>
      <x:c r="I330" s="9"/>
      <x:c r="J330" s="13"/>
      <x:c r="K330" s="9" t="str">
        <x:v>Sem exportação</x:v>
      </x:c>
      <x:c r="L330" s="9"/>
    </x:row>
    <x:row r="331" ht="24" customHeight="1">
      <x:c r="A331" s="9" t="str">
        <x:v>C04</x:v>
      </x:c>
      <x:c r="B331" s="9" t="str">
        <x:v>Remarketing Caçarola</x:v>
      </x:c>
      <x:c r="C331" s="10" t="d">
        <x:v>2026-07-11T12:00:00.000Z</x:v>
      </x:c>
      <x:c r="D331" s="11"/>
      <x:c r="E331" s="11"/>
      <x:c r="F331" s="11"/>
      <x:c r="G331" s="12"/>
      <x:c r="H331" s="9"/>
      <x:c r="I331" s="9"/>
      <x:c r="J331" s="13"/>
      <x:c r="K331" s="9" t="str">
        <x:v>Sem exportação</x:v>
      </x:c>
      <x:c r="L331" s="9"/>
    </x:row>
    <x:row r="332" ht="24" customHeight="1">
      <x:c r="A332" s="9" t="str">
        <x:v>C04</x:v>
      </x:c>
      <x:c r="B332" s="9" t="str">
        <x:v>Remarketing Caçarola</x:v>
      </x:c>
      <x:c r="C332" s="10" t="d">
        <x:v>2026-07-12T12:00:00.000Z</x:v>
      </x:c>
      <x:c r="D332" s="11"/>
      <x:c r="E332" s="11"/>
      <x:c r="F332" s="11"/>
      <x:c r="G332" s="12"/>
      <x:c r="H332" s="9"/>
      <x:c r="I332" s="9"/>
      <x:c r="J332" s="13"/>
      <x:c r="K332" s="9" t="str">
        <x:v>Sem exportação</x:v>
      </x:c>
      <x:c r="L332" s="9"/>
    </x:row>
    <x:row r="333" ht="24" customHeight="1">
      <x:c r="A333" s="9" t="str">
        <x:v>C04</x:v>
      </x:c>
      <x:c r="B333" s="9" t="str">
        <x:v>Remarketing Caçarola</x:v>
      </x:c>
      <x:c r="C333" s="10" t="d">
        <x:v>2026-07-13T12:00:00.000Z</x:v>
      </x:c>
      <x:c r="D333" s="11"/>
      <x:c r="E333" s="11"/>
      <x:c r="F333" s="11"/>
      <x:c r="G333" s="12"/>
      <x:c r="H333" s="9"/>
      <x:c r="I333" s="9"/>
      <x:c r="J333" s="13"/>
      <x:c r="K333" s="9" t="str">
        <x:v>Sem exportação</x:v>
      </x:c>
      <x:c r="L333" s="9"/>
    </x:row>
    <x:row r="334" ht="24" customHeight="1">
      <x:c r="A334" s="9" t="str">
        <x:v>C04</x:v>
      </x:c>
      <x:c r="B334" s="9" t="str">
        <x:v>Remarketing Caçarola</x:v>
      </x:c>
      <x:c r="C334" s="10" t="d">
        <x:v>2026-07-14T12:00:00.000Z</x:v>
      </x:c>
      <x:c r="D334" s="11"/>
      <x:c r="E334" s="11"/>
      <x:c r="F334" s="11"/>
      <x:c r="G334" s="12"/>
      <x:c r="H334" s="9"/>
      <x:c r="I334" s="9"/>
      <x:c r="J334" s="13"/>
      <x:c r="K334" s="9" t="str">
        <x:v>Sem exportação</x:v>
      </x:c>
      <x:c r="L334" s="9"/>
    </x:row>
    <x:row r="335" ht="24" customHeight="1">
      <x:c r="A335" s="9" t="str">
        <x:v>C04</x:v>
      </x:c>
      <x:c r="B335" s="9" t="str">
        <x:v>Remarketing Caçarola</x:v>
      </x:c>
      <x:c r="C335" s="10" t="d">
        <x:v>2026-07-15T12:00:00.000Z</x:v>
      </x:c>
      <x:c r="D335" s="11"/>
      <x:c r="E335" s="11"/>
      <x:c r="F335" s="11"/>
      <x:c r="G335" s="12"/>
      <x:c r="H335" s="9"/>
      <x:c r="I335" s="9"/>
      <x:c r="J335" s="13"/>
      <x:c r="K335" s="9" t="str">
        <x:v>Sem exportação</x:v>
      </x:c>
      <x:c r="L335" s="9"/>
    </x:row>
    <x:row r="336" ht="24" customHeight="1">
      <x:c r="A336" s="9" t="str">
        <x:v>C04</x:v>
      </x:c>
      <x:c r="B336" s="9" t="str">
        <x:v>Remarketing Caçarola</x:v>
      </x:c>
      <x:c r="C336" s="10" t="d">
        <x:v>2026-07-16T12:00:00.000Z</x:v>
      </x:c>
      <x:c r="D336" s="11"/>
      <x:c r="E336" s="11"/>
      <x:c r="F336" s="11"/>
      <x:c r="G336" s="12"/>
      <x:c r="H336" s="9"/>
      <x:c r="I336" s="9"/>
      <x:c r="J336" s="13"/>
      <x:c r="K336" s="9" t="str">
        <x:v>Sem exportação</x:v>
      </x:c>
      <x:c r="L336" s="9"/>
    </x:row>
    <x:row r="337" ht="24" customHeight="1">
      <x:c r="A337" s="9" t="str">
        <x:v>C04</x:v>
      </x:c>
      <x:c r="B337" s="9" t="str">
        <x:v>Remarketing Caçarola</x:v>
      </x:c>
      <x:c r="C337" s="10" t="d">
        <x:v>2026-07-17T12:00:00.000Z</x:v>
      </x:c>
      <x:c r="D337" s="11"/>
      <x:c r="E337" s="11"/>
      <x:c r="F337" s="11"/>
      <x:c r="G337" s="12"/>
      <x:c r="H337" s="9"/>
      <x:c r="I337" s="9"/>
      <x:c r="J337" s="13"/>
      <x:c r="K337" s="9" t="str">
        <x:v>Sem exportação</x:v>
      </x:c>
      <x:c r="L337" s="9"/>
    </x:row>
    <x:row r="338" ht="24" customHeight="1">
      <x:c r="A338" s="9" t="str">
        <x:v>C04</x:v>
      </x:c>
      <x:c r="B338" s="9" t="str">
        <x:v>Remarketing Caçarola</x:v>
      </x:c>
      <x:c r="C338" s="10" t="d">
        <x:v>2026-07-18T12:00:00.000Z</x:v>
      </x:c>
      <x:c r="D338" s="11"/>
      <x:c r="E338" s="11"/>
      <x:c r="F338" s="11"/>
      <x:c r="G338" s="12"/>
      <x:c r="H338" s="9"/>
      <x:c r="I338" s="9"/>
      <x:c r="J338" s="13"/>
      <x:c r="K338" s="9" t="str">
        <x:v>Sem exportação</x:v>
      </x:c>
      <x:c r="L338" s="9"/>
    </x:row>
    <x:row r="339" ht="24" customHeight="1">
      <x:c r="A339" s="9" t="str">
        <x:v>C04</x:v>
      </x:c>
      <x:c r="B339" s="9" t="str">
        <x:v>Remarketing Caçarola</x:v>
      </x:c>
      <x:c r="C339" s="10" t="d">
        <x:v>2026-07-19T12:00:00.000Z</x:v>
      </x:c>
      <x:c r="D339" s="11"/>
      <x:c r="E339" s="11"/>
      <x:c r="F339" s="11"/>
      <x:c r="G339" s="12"/>
      <x:c r="H339" s="9"/>
      <x:c r="I339" s="9"/>
      <x:c r="J339" s="13"/>
      <x:c r="K339" s="9" t="str">
        <x:v>Sem exportação</x:v>
      </x:c>
      <x:c r="L339" s="9"/>
    </x:row>
    <x:row r="340" ht="24" customHeight="1">
      <x:c r="A340" s="9" t="str">
        <x:v>C04</x:v>
      </x:c>
      <x:c r="B340" s="9" t="str">
        <x:v>Remarketing Caçarola</x:v>
      </x:c>
      <x:c r="C340" s="10" t="d">
        <x:v>2026-07-20T12:00:00.000Z</x:v>
      </x:c>
      <x:c r="D340" s="11"/>
      <x:c r="E340" s="11"/>
      <x:c r="F340" s="11"/>
      <x:c r="G340" s="12"/>
      <x:c r="H340" s="9"/>
      <x:c r="I340" s="9"/>
      <x:c r="J340" s="13"/>
      <x:c r="K340" s="9" t="str">
        <x:v>Sem exportação</x:v>
      </x:c>
      <x:c r="L340" s="9"/>
    </x:row>
    <x:row r="341" ht="24" customHeight="1">
      <x:c r="A341" s="9" t="str">
        <x:v>C04</x:v>
      </x:c>
      <x:c r="B341" s="9" t="str">
        <x:v>Remarketing Caçarola</x:v>
      </x:c>
      <x:c r="C341" s="10" t="d">
        <x:v>2026-07-21T12:00:00.000Z</x:v>
      </x:c>
      <x:c r="D341" s="11"/>
      <x:c r="E341" s="11"/>
      <x:c r="F341" s="11"/>
      <x:c r="G341" s="12"/>
      <x:c r="H341" s="9"/>
      <x:c r="I341" s="9"/>
      <x:c r="J341" s="13"/>
      <x:c r="K341" s="9" t="str">
        <x:v>Sem exportação</x:v>
      </x:c>
      <x:c r="L341" s="9"/>
    </x:row>
    <x:row r="342" ht="24" customHeight="1">
      <x:c r="A342" s="9" t="str">
        <x:v>C04</x:v>
      </x:c>
      <x:c r="B342" s="9" t="str">
        <x:v>Remarketing Caçarola</x:v>
      </x:c>
      <x:c r="C342" s="10" t="d">
        <x:v>2026-07-22T12:00:00.000Z</x:v>
      </x:c>
      <x:c r="D342" s="11"/>
      <x:c r="E342" s="11"/>
      <x:c r="F342" s="11"/>
      <x:c r="G342" s="12"/>
      <x:c r="H342" s="9"/>
      <x:c r="I342" s="9"/>
      <x:c r="J342" s="13"/>
      <x:c r="K342" s="9" t="str">
        <x:v>Sem exportação</x:v>
      </x:c>
      <x:c r="L342" s="9"/>
    </x:row>
    <x:row r="343" ht="24" customHeight="1">
      <x:c r="A343" s="9" t="str">
        <x:v>C04</x:v>
      </x:c>
      <x:c r="B343" s="9" t="str">
        <x:v>Remarketing Caçarola</x:v>
      </x:c>
      <x:c r="C343" s="10" t="d">
        <x:v>2026-07-23T12:00:00.000Z</x:v>
      </x:c>
      <x:c r="D343" s="11"/>
      <x:c r="E343" s="11"/>
      <x:c r="F343" s="11"/>
      <x:c r="G343" s="12"/>
      <x:c r="H343" s="9"/>
      <x:c r="I343" s="9"/>
      <x:c r="J343" s="13"/>
      <x:c r="K343" s="9" t="str">
        <x:v>Sem exportação</x:v>
      </x:c>
      <x:c r="L343" s="9"/>
    </x:row>
    <x:row r="344" ht="24" customHeight="1">
      <x:c r="A344" s="9" t="str">
        <x:v>C04</x:v>
      </x:c>
      <x:c r="B344" s="9" t="str">
        <x:v>Remarketing Caçarola</x:v>
      </x:c>
      <x:c r="C344" s="10" t="d">
        <x:v>2026-07-24T12:00:00.000Z</x:v>
      </x:c>
      <x:c r="D344" s="11"/>
      <x:c r="E344" s="11"/>
      <x:c r="F344" s="11"/>
      <x:c r="G344" s="12"/>
      <x:c r="H344" s="9"/>
      <x:c r="I344" s="9"/>
      <x:c r="J344" s="13"/>
      <x:c r="K344" s="9" t="str">
        <x:v>Sem exportação</x:v>
      </x:c>
      <x:c r="L344" s="9"/>
    </x:row>
    <x:row r="345" ht="24" customHeight="1">
      <x:c r="A345" s="9" t="str">
        <x:v>C04</x:v>
      </x:c>
      <x:c r="B345" s="9" t="str">
        <x:v>Remarketing Caçarola</x:v>
      </x:c>
      <x:c r="C345" s="10" t="d">
        <x:v>2026-07-25T12:00:00.000Z</x:v>
      </x:c>
      <x:c r="D345" s="11"/>
      <x:c r="E345" s="11"/>
      <x:c r="F345" s="11"/>
      <x:c r="G345" s="12"/>
      <x:c r="H345" s="9"/>
      <x:c r="I345" s="9"/>
      <x:c r="J345" s="13"/>
      <x:c r="K345" s="9" t="str">
        <x:v>Sem exportação</x:v>
      </x:c>
      <x:c r="L345" s="9"/>
    </x:row>
    <x:row r="346" ht="24" customHeight="1">
      <x:c r="A346" s="9" t="str">
        <x:v>C04</x:v>
      </x:c>
      <x:c r="B346" s="9" t="str">
        <x:v>Remarketing Caçarola</x:v>
      </x:c>
      <x:c r="C346" s="10" t="d">
        <x:v>2026-07-26T12:00:00.000Z</x:v>
      </x:c>
      <x:c r="D346" s="11"/>
      <x:c r="E346" s="11"/>
      <x:c r="F346" s="11"/>
      <x:c r="G346" s="12"/>
      <x:c r="H346" s="9"/>
      <x:c r="I346" s="9"/>
      <x:c r="J346" s="13"/>
      <x:c r="K346" s="9" t="str">
        <x:v>Sem exportação</x:v>
      </x:c>
      <x:c r="L346" s="9"/>
    </x:row>
    <x:row r="347" ht="24" customHeight="1">
      <x:c r="A347" s="9" t="str">
        <x:v>C04</x:v>
      </x:c>
      <x:c r="B347" s="9" t="str">
        <x:v>Remarketing Caçarola</x:v>
      </x:c>
      <x:c r="C347" s="10" t="d">
        <x:v>2026-07-27T12:00:00.000Z</x:v>
      </x:c>
      <x:c r="D347" s="11"/>
      <x:c r="E347" s="11"/>
      <x:c r="F347" s="11"/>
      <x:c r="G347" s="12"/>
      <x:c r="H347" s="9"/>
      <x:c r="I347" s="9"/>
      <x:c r="J347" s="13"/>
      <x:c r="K347" s="9" t="str">
        <x:v>Sem exportação</x:v>
      </x:c>
      <x:c r="L347" s="9"/>
    </x:row>
    <x:row r="348" ht="24" customHeight="1">
      <x:c r="A348" s="9" t="str">
        <x:v>C04</x:v>
      </x:c>
      <x:c r="B348" s="9" t="str">
        <x:v>Remarketing Caçarola</x:v>
      </x:c>
      <x:c r="C348" s="10" t="d">
        <x:v>2026-07-28T12:00:00.000Z</x:v>
      </x:c>
      <x:c r="D348" s="11"/>
      <x:c r="E348" s="11"/>
      <x:c r="F348" s="11"/>
      <x:c r="G348" s="12"/>
      <x:c r="H348" s="9"/>
      <x:c r="I348" s="9"/>
      <x:c r="J348" s="13"/>
      <x:c r="K348" s="9" t="str">
        <x:v>Sem exportação</x:v>
      </x:c>
      <x:c r="L348" s="9"/>
    </x:row>
    <x:row r="349" ht="24" customHeight="1">
      <x:c r="A349" s="9" t="str">
        <x:v>C04</x:v>
      </x:c>
      <x:c r="B349" s="9" t="str">
        <x:v>Remarketing Caçarola</x:v>
      </x:c>
      <x:c r="C349" s="10" t="d">
        <x:v>2026-07-29T12:00:00.000Z</x:v>
      </x:c>
      <x:c r="D349" s="11"/>
      <x:c r="E349" s="11"/>
      <x:c r="F349" s="11"/>
      <x:c r="G349" s="12"/>
      <x:c r="H349" s="9"/>
      <x:c r="I349" s="9"/>
      <x:c r="J349" s="13"/>
      <x:c r="K349" s="9" t="str">
        <x:v>Sem exportação</x:v>
      </x:c>
      <x:c r="L349" s="9"/>
    </x:row>
    <x:row r="350" ht="24" customHeight="1">
      <x:c r="A350" s="9" t="str">
        <x:v>C04</x:v>
      </x:c>
      <x:c r="B350" s="9" t="str">
        <x:v>Remarketing Caçarola</x:v>
      </x:c>
      <x:c r="C350" s="10" t="d">
        <x:v>2026-07-30T12:00:00.000Z</x:v>
      </x:c>
      <x:c r="D350" s="11"/>
      <x:c r="E350" s="11"/>
      <x:c r="F350" s="11"/>
      <x:c r="G350" s="12"/>
      <x:c r="H350" s="9"/>
      <x:c r="I350" s="9"/>
      <x:c r="J350" s="13"/>
      <x:c r="K350" s="9" t="str">
        <x:v>Sem exportação</x:v>
      </x:c>
      <x:c r="L350" s="9"/>
    </x:row>
    <x:row r="351" ht="24" customHeight="1">
      <x:c r="A351" s="9" t="str">
        <x:v>C04</x:v>
      </x:c>
      <x:c r="B351" s="9" t="str">
        <x:v>Remarketing Caçarola</x:v>
      </x:c>
      <x:c r="C351" s="10" t="d">
        <x:v>2026-07-31T12:00:00.000Z</x:v>
      </x:c>
      <x:c r="D351" s="11"/>
      <x:c r="E351" s="11"/>
      <x:c r="F351" s="11"/>
      <x:c r="G351" s="12"/>
      <x:c r="H351" s="9"/>
      <x:c r="I351" s="9"/>
      <x:c r="J351" s="13"/>
      <x:c r="K351" s="9" t="str">
        <x:v>Sem exportação</x:v>
      </x:c>
      <x:c r="L351" s="9"/>
    </x:row>
    <x:row r="352" ht="24" customHeight="1">
      <x:c r="A352" s="9" t="str">
        <x:v>C04</x:v>
      </x:c>
      <x:c r="B352" s="9" t="str">
        <x:v>Remarketing Caçarola</x:v>
      </x:c>
      <x:c r="C352" s="10" t="d">
        <x:v>2026-08-01T12:00:00.000Z</x:v>
      </x:c>
      <x:c r="D352" s="11"/>
      <x:c r="E352" s="11"/>
      <x:c r="F352" s="11"/>
      <x:c r="G352" s="12"/>
      <x:c r="H352" s="9"/>
      <x:c r="I352" s="9"/>
      <x:c r="J352" s="13"/>
      <x:c r="K352" s="9" t="str">
        <x:v>Sem exportação</x:v>
      </x:c>
      <x:c r="L352" s="9"/>
    </x:row>
    <x:row r="353" ht="24" customHeight="1">
      <x:c r="A353" s="9" t="str">
        <x:v>C04</x:v>
      </x:c>
      <x:c r="B353" s="9" t="str">
        <x:v>Remarketing Caçarola</x:v>
      </x:c>
      <x:c r="C353" s="10" t="d">
        <x:v>2026-08-02T12:00:00.000Z</x:v>
      </x:c>
      <x:c r="D353" s="11"/>
      <x:c r="E353" s="11"/>
      <x:c r="F353" s="11"/>
      <x:c r="G353" s="12"/>
      <x:c r="H353" s="9"/>
      <x:c r="I353" s="9"/>
      <x:c r="J353" s="13"/>
      <x:c r="K353" s="9" t="str">
        <x:v>Sem exportação</x:v>
      </x:c>
      <x:c r="L353" s="9"/>
    </x:row>
    <x:row r="354" ht="24" customHeight="1">
      <x:c r="A354" s="9" t="str">
        <x:v>C04</x:v>
      </x:c>
      <x:c r="B354" s="9" t="str">
        <x:v>Remarketing Caçarola</x:v>
      </x:c>
      <x:c r="C354" s="10" t="d">
        <x:v>2026-08-03T12:00:00.000Z</x:v>
      </x:c>
      <x:c r="D354" s="11"/>
      <x:c r="E354" s="11"/>
      <x:c r="F354" s="11"/>
      <x:c r="G354" s="12"/>
      <x:c r="H354" s="9"/>
      <x:c r="I354" s="9"/>
      <x:c r="J354" s="13"/>
      <x:c r="K354" s="9" t="str">
        <x:v>Sem exportação</x:v>
      </x:c>
      <x:c r="L354" s="9"/>
    </x:row>
    <x:row r="355" ht="24" customHeight="1">
      <x:c r="A355" s="9" t="str">
        <x:v>C04</x:v>
      </x:c>
      <x:c r="B355" s="9" t="str">
        <x:v>Remarketing Caçarola</x:v>
      </x:c>
      <x:c r="C355" s="10" t="d">
        <x:v>2026-08-04T12:00:00.000Z</x:v>
      </x:c>
      <x:c r="D355" s="11"/>
      <x:c r="E355" s="11"/>
      <x:c r="F355" s="11"/>
      <x:c r="G355" s="12"/>
      <x:c r="H355" s="9"/>
      <x:c r="I355" s="9"/>
      <x:c r="J355" s="13"/>
      <x:c r="K355" s="9" t="str">
        <x:v>Sem exportação</x:v>
      </x:c>
      <x:c r="L355" s="9"/>
    </x:row>
    <x:row r="356" ht="24" customHeight="1">
      <x:c r="A356" s="9" t="str">
        <x:v>C04</x:v>
      </x:c>
      <x:c r="B356" s="9" t="str">
        <x:v>Remarketing Caçarola</x:v>
      </x:c>
      <x:c r="C356" s="10" t="d">
        <x:v>2026-08-05T12:00:00.000Z</x:v>
      </x:c>
      <x:c r="D356" s="11"/>
      <x:c r="E356" s="11"/>
      <x:c r="F356" s="11"/>
      <x:c r="G356" s="12"/>
      <x:c r="H356" s="9"/>
      <x:c r="I356" s="9"/>
      <x:c r="J356" s="13"/>
      <x:c r="K356" s="9" t="str">
        <x:v>Sem exportação</x:v>
      </x:c>
      <x:c r="L356" s="9"/>
    </x:row>
    <x:row r="357" ht="24" customHeight="1">
      <x:c r="A357" s="9" t="str">
        <x:v>C04</x:v>
      </x:c>
      <x:c r="B357" s="9" t="str">
        <x:v>Remarketing Caçarola</x:v>
      </x:c>
      <x:c r="C357" s="10" t="d">
        <x:v>2026-08-06T12:00:00.000Z</x:v>
      </x:c>
      <x:c r="D357" s="11"/>
      <x:c r="E357" s="11"/>
      <x:c r="F357" s="11"/>
      <x:c r="G357" s="12"/>
      <x:c r="H357" s="9"/>
      <x:c r="I357" s="9"/>
      <x:c r="J357" s="13"/>
      <x:c r="K357" s="9" t="str">
        <x:v>Sem exportação</x:v>
      </x:c>
      <x:c r="L357" s="9"/>
    </x:row>
    <x:row r="358" ht="24" customHeight="1">
      <x:c r="A358" s="9" t="str">
        <x:v>C04</x:v>
      </x:c>
      <x:c r="B358" s="9" t="str">
        <x:v>Remarketing Caçarola</x:v>
      </x:c>
      <x:c r="C358" s="10" t="d">
        <x:v>2026-08-07T12:00:00.000Z</x:v>
      </x:c>
      <x:c r="D358" s="11"/>
      <x:c r="E358" s="11"/>
      <x:c r="F358" s="11"/>
      <x:c r="G358" s="12"/>
      <x:c r="H358" s="9"/>
      <x:c r="I358" s="9"/>
      <x:c r="J358" s="13"/>
      <x:c r="K358" s="9" t="str">
        <x:v>Sem exportação</x:v>
      </x:c>
      <x:c r="L358" s="9"/>
    </x:row>
    <x:row r="359" ht="24" customHeight="1">
      <x:c r="A359" s="9" t="str">
        <x:v>C04</x:v>
      </x:c>
      <x:c r="B359" s="9" t="str">
        <x:v>Remarketing Caçarola</x:v>
      </x:c>
      <x:c r="C359" s="10" t="d">
        <x:v>2026-08-08T12:00:00.000Z</x:v>
      </x:c>
      <x:c r="D359" s="11"/>
      <x:c r="E359" s="11"/>
      <x:c r="F359" s="11"/>
      <x:c r="G359" s="12"/>
      <x:c r="H359" s="9"/>
      <x:c r="I359" s="9"/>
      <x:c r="J359" s="13"/>
      <x:c r="K359" s="9" t="str">
        <x:v>Sem exportação</x:v>
      </x:c>
      <x:c r="L359" s="9"/>
    </x:row>
    <x:row r="360" ht="24" customHeight="1">
      <x:c r="A360" s="9" t="str">
        <x:v>C04</x:v>
      </x:c>
      <x:c r="B360" s="9" t="str">
        <x:v>Remarketing Caçarola</x:v>
      </x:c>
      <x:c r="C360" s="10" t="d">
        <x:v>2026-08-09T12:00:00.000Z</x:v>
      </x:c>
      <x:c r="D360" s="11"/>
      <x:c r="E360" s="11"/>
      <x:c r="F360" s="11"/>
      <x:c r="G360" s="12"/>
      <x:c r="H360" s="9"/>
      <x:c r="I360" s="9"/>
      <x:c r="J360" s="13"/>
      <x:c r="K360" s="9" t="str">
        <x:v>Sem exportação</x:v>
      </x:c>
      <x:c r="L360" s="9"/>
    </x:row>
    <x:row r="361" ht="24" customHeight="1">
      <x:c r="A361" s="9" t="str">
        <x:v>C04</x:v>
      </x:c>
      <x:c r="B361" s="9" t="str">
        <x:v>Remarketing Caçarola</x:v>
      </x:c>
      <x:c r="C361" s="10" t="d">
        <x:v>2026-08-10T12:00:00.000Z</x:v>
      </x:c>
      <x:c r="D361" s="11"/>
      <x:c r="E361" s="11"/>
      <x:c r="F361" s="11"/>
      <x:c r="G361" s="12"/>
      <x:c r="H361" s="9"/>
      <x:c r="I361" s="9"/>
      <x:c r="J361" s="13"/>
      <x:c r="K361" s="9" t="str">
        <x:v>Sem exportação</x:v>
      </x:c>
      <x:c r="L361" s="9"/>
    </x:row>
    <x:row r="362" ht="24" customHeight="1">
      <x:c r="A362" s="9" t="str">
        <x:v>C04</x:v>
      </x:c>
      <x:c r="B362" s="9" t="str">
        <x:v>Remarketing Caçarola</x:v>
      </x:c>
      <x:c r="C362" s="10" t="d">
        <x:v>2026-08-11T12:00:00.000Z</x:v>
      </x:c>
      <x:c r="D362" s="11"/>
      <x:c r="E362" s="11"/>
      <x:c r="F362" s="11"/>
      <x:c r="G362" s="12"/>
      <x:c r="H362" s="9"/>
      <x:c r="I362" s="9"/>
      <x:c r="J362" s="13"/>
      <x:c r="K362" s="9" t="str">
        <x:v>Sem exportação</x:v>
      </x:c>
      <x:c r="L362" s="9"/>
    </x:row>
    <x:row r="363" ht="24" customHeight="1">
      <x:c r="A363" s="9" t="str">
        <x:v>C04</x:v>
      </x:c>
      <x:c r="B363" s="9" t="str">
        <x:v>Remarketing Caçarola</x:v>
      </x:c>
      <x:c r="C363" s="10" t="d">
        <x:v>2026-08-12T12:00:00.000Z</x:v>
      </x:c>
      <x:c r="D363" s="11"/>
      <x:c r="E363" s="11"/>
      <x:c r="F363" s="11"/>
      <x:c r="G363" s="12"/>
      <x:c r="H363" s="9"/>
      <x:c r="I363" s="9"/>
      <x:c r="J363" s="13"/>
      <x:c r="K363" s="9" t="str">
        <x:v>Sem exportação</x:v>
      </x:c>
      <x:c r="L363" s="9"/>
    </x:row>
    <x:row r="364" ht="24" customHeight="1">
      <x:c r="A364" s="9" t="str">
        <x:v>C04</x:v>
      </x:c>
      <x:c r="B364" s="9" t="str">
        <x:v>Remarketing Caçarola</x:v>
      </x:c>
      <x:c r="C364" s="10" t="d">
        <x:v>2026-08-13T12:00:00.000Z</x:v>
      </x:c>
      <x:c r="D364" s="11"/>
      <x:c r="E364" s="11"/>
      <x:c r="F364" s="11"/>
      <x:c r="G364" s="12"/>
      <x:c r="H364" s="9"/>
      <x:c r="I364" s="9"/>
      <x:c r="J364" s="13"/>
      <x:c r="K364" s="9" t="str">
        <x:v>Sem exportação</x:v>
      </x:c>
      <x:c r="L364" s="9"/>
    </x:row>
    <x:row r="365" ht="24" customHeight="1">
      <x:c r="A365" s="9" t="str">
        <x:v>C04</x:v>
      </x:c>
      <x:c r="B365" s="9" t="str">
        <x:v>Remarketing Caçarola</x:v>
      </x:c>
      <x:c r="C365" s="10" t="d">
        <x:v>2026-08-14T12:00:00.000Z</x:v>
      </x:c>
      <x:c r="D365" s="11"/>
      <x:c r="E365" s="11"/>
      <x:c r="F365" s="11"/>
      <x:c r="G365" s="12"/>
      <x:c r="H365" s="9"/>
      <x:c r="I365" s="9"/>
      <x:c r="J365" s="13"/>
      <x:c r="K365" s="9" t="str">
        <x:v>Sem exportação</x:v>
      </x:c>
      <x:c r="L365" s="9"/>
    </x:row>
    <x:row r="366" ht="24" customHeight="1">
      <x:c r="A366" s="9" t="str">
        <x:v>C04</x:v>
      </x:c>
      <x:c r="B366" s="9" t="str">
        <x:v>Remarketing Caçarola</x:v>
      </x:c>
      <x:c r="C366" s="10" t="d">
        <x:v>2026-08-15T12:00:00.000Z</x:v>
      </x:c>
      <x:c r="D366" s="11"/>
      <x:c r="E366" s="11"/>
      <x:c r="F366" s="11"/>
      <x:c r="G366" s="12"/>
      <x:c r="H366" s="9"/>
      <x:c r="I366" s="9"/>
      <x:c r="J366" s="13"/>
      <x:c r="K366" s="9" t="str">
        <x:v>Sem exportação</x:v>
      </x:c>
      <x:c r="L366" s="9"/>
    </x:row>
    <x:row r="367" ht="24" customHeight="1">
      <x:c r="A367" s="9" t="str">
        <x:v>C04</x:v>
      </x:c>
      <x:c r="B367" s="9" t="str">
        <x:v>Remarketing Caçarola</x:v>
      </x:c>
      <x:c r="C367" s="10" t="d">
        <x:v>2026-08-16T12:00:00.000Z</x:v>
      </x:c>
      <x:c r="D367" s="11"/>
      <x:c r="E367" s="11"/>
      <x:c r="F367" s="11"/>
      <x:c r="G367" s="12"/>
      <x:c r="H367" s="9"/>
      <x:c r="I367" s="9"/>
      <x:c r="J367" s="13"/>
      <x:c r="K367" s="9" t="str">
        <x:v>Sem exportação</x:v>
      </x:c>
      <x:c r="L367" s="9"/>
    </x:row>
    <x:row r="368" ht="24" customHeight="1">
      <x:c r="A368" s="9" t="str">
        <x:v>C04</x:v>
      </x:c>
      <x:c r="B368" s="9" t="str">
        <x:v>Remarketing Caçarola</x:v>
      </x:c>
      <x:c r="C368" s="10" t="d">
        <x:v>2026-08-17T12:00:00.000Z</x:v>
      </x:c>
      <x:c r="D368" s="11"/>
      <x:c r="E368" s="11"/>
      <x:c r="F368" s="11"/>
      <x:c r="G368" s="12"/>
      <x:c r="H368" s="9"/>
      <x:c r="I368" s="9"/>
      <x:c r="J368" s="13"/>
      <x:c r="K368" s="9" t="str">
        <x:v>Sem exportação</x:v>
      </x:c>
      <x:c r="L368" s="9"/>
    </x:row>
    <x:row r="369" ht="24" customHeight="1">
      <x:c r="A369" s="9" t="str">
        <x:v>C04</x:v>
      </x:c>
      <x:c r="B369" s="9" t="str">
        <x:v>Remarketing Caçarola</x:v>
      </x:c>
      <x:c r="C369" s="10" t="d">
        <x:v>2026-08-18T12:00:00.000Z</x:v>
      </x:c>
      <x:c r="D369" s="11"/>
      <x:c r="E369" s="11"/>
      <x:c r="F369" s="11"/>
      <x:c r="G369" s="12"/>
      <x:c r="H369" s="9"/>
      <x:c r="I369" s="9"/>
      <x:c r="J369" s="13"/>
      <x:c r="K369" s="9" t="str">
        <x:v>Sem exportação</x:v>
      </x:c>
      <x:c r="L369" s="9"/>
    </x:row>
    <x:row r="370" ht="24" customHeight="1">
      <x:c r="A370" s="9" t="str">
        <x:v>C04</x:v>
      </x:c>
      <x:c r="B370" s="9" t="str">
        <x:v>Remarketing Caçarola</x:v>
      </x:c>
      <x:c r="C370" s="10" t="d">
        <x:v>2026-08-19T12:00:00.000Z</x:v>
      </x:c>
      <x:c r="D370" s="11"/>
      <x:c r="E370" s="11"/>
      <x:c r="F370" s="11"/>
      <x:c r="G370" s="12"/>
      <x:c r="H370" s="9"/>
      <x:c r="I370" s="9"/>
      <x:c r="J370" s="13"/>
      <x:c r="K370" s="9" t="str">
        <x:v>Sem exportação</x:v>
      </x:c>
      <x:c r="L370" s="9"/>
    </x:row>
    <x:row r="371" ht="24" customHeight="1">
      <x:c r="A371" s="9" t="str">
        <x:v>C04</x:v>
      </x:c>
      <x:c r="B371" s="9" t="str">
        <x:v>Remarketing Caçarola</x:v>
      </x:c>
      <x:c r="C371" s="10" t="d">
        <x:v>2026-08-20T12:00:00.000Z</x:v>
      </x:c>
      <x:c r="D371" s="11"/>
      <x:c r="E371" s="11"/>
      <x:c r="F371" s="11"/>
      <x:c r="G371" s="12"/>
      <x:c r="H371" s="9"/>
      <x:c r="I371" s="9"/>
      <x:c r="J371" s="13"/>
      <x:c r="K371" s="9" t="str">
        <x:v>Sem exportação</x:v>
      </x:c>
      <x:c r="L371" s="9"/>
    </x:row>
    <x:row r="372" ht="24" customHeight="1">
      <x:c r="A372" s="9" t="str">
        <x:v>C04</x:v>
      </x:c>
      <x:c r="B372" s="9" t="str">
        <x:v>Remarketing Caçarola</x:v>
      </x:c>
      <x:c r="C372" s="10" t="d">
        <x:v>2026-08-21T12:00:00.000Z</x:v>
      </x:c>
      <x:c r="D372" s="11"/>
      <x:c r="E372" s="11"/>
      <x:c r="F372" s="11"/>
      <x:c r="G372" s="12"/>
      <x:c r="H372" s="9"/>
      <x:c r="I372" s="9"/>
      <x:c r="J372" s="13"/>
      <x:c r="K372" s="9" t="str">
        <x:v>Sem exportação</x:v>
      </x:c>
      <x:c r="L372" s="9"/>
    </x:row>
    <x:row r="373" ht="24" customHeight="1">
      <x:c r="A373" s="9" t="str">
        <x:v>C04</x:v>
      </x:c>
      <x:c r="B373" s="9" t="str">
        <x:v>Remarketing Caçarola</x:v>
      </x:c>
      <x:c r="C373" s="10" t="d">
        <x:v>2026-08-22T12:00:00.000Z</x:v>
      </x:c>
      <x:c r="D373" s="11"/>
      <x:c r="E373" s="11"/>
      <x:c r="F373" s="11"/>
      <x:c r="G373" s="12"/>
      <x:c r="H373" s="9"/>
      <x:c r="I373" s="9"/>
      <x:c r="J373" s="13"/>
      <x:c r="K373" s="9" t="str">
        <x:v>Sem exportação</x:v>
      </x:c>
      <x:c r="L373" s="9"/>
    </x:row>
    <x:row r="374" ht="24" customHeight="1">
      <x:c r="A374" s="9" t="str">
        <x:v>C04</x:v>
      </x:c>
      <x:c r="B374" s="9" t="str">
        <x:v>Remarketing Caçarola</x:v>
      </x:c>
      <x:c r="C374" s="10" t="d">
        <x:v>2026-08-23T12:00:00.000Z</x:v>
      </x:c>
      <x:c r="D374" s="11"/>
      <x:c r="E374" s="11"/>
      <x:c r="F374" s="11"/>
      <x:c r="G374" s="12"/>
      <x:c r="H374" s="9"/>
      <x:c r="I374" s="9"/>
      <x:c r="J374" s="13"/>
      <x:c r="K374" s="9" t="str">
        <x:v>Sem exportação</x:v>
      </x:c>
      <x:c r="L374" s="9"/>
    </x:row>
    <x:row r="375" ht="24" customHeight="1">
      <x:c r="A375" s="9" t="str">
        <x:v>C04</x:v>
      </x:c>
      <x:c r="B375" s="9" t="str">
        <x:v>Remarketing Caçarola</x:v>
      </x:c>
      <x:c r="C375" s="10" t="d">
        <x:v>2026-08-24T12:00:00.000Z</x:v>
      </x:c>
      <x:c r="D375" s="11"/>
      <x:c r="E375" s="11"/>
      <x:c r="F375" s="11"/>
      <x:c r="G375" s="12"/>
      <x:c r="H375" s="9"/>
      <x:c r="I375" s="9"/>
      <x:c r="J375" s="13"/>
      <x:c r="K375" s="9" t="str">
        <x:v>Sem exportação</x:v>
      </x:c>
      <x:c r="L375" s="9"/>
    </x:row>
    <x:row r="376" ht="24" customHeight="1">
      <x:c r="A376" s="9" t="str">
        <x:v>C04</x:v>
      </x:c>
      <x:c r="B376" s="9" t="str">
        <x:v>Remarketing Caçarola</x:v>
      </x:c>
      <x:c r="C376" s="10" t="d">
        <x:v>2026-08-25T12:00:00.000Z</x:v>
      </x:c>
      <x:c r="D376" s="11"/>
      <x:c r="E376" s="11"/>
      <x:c r="F376" s="11"/>
      <x:c r="G376" s="12"/>
      <x:c r="H376" s="9"/>
      <x:c r="I376" s="9"/>
      <x:c r="J376" s="13"/>
      <x:c r="K376" s="9" t="str">
        <x:v>Sem exportação</x:v>
      </x:c>
      <x:c r="L376" s="9"/>
    </x:row>
    <x:row r="377" ht="24" customHeight="1">
      <x:c r="A377" s="9" t="str">
        <x:v>C04</x:v>
      </x:c>
      <x:c r="B377" s="9" t="str">
        <x:v>Remarketing Caçarola</x:v>
      </x:c>
      <x:c r="C377" s="10" t="d">
        <x:v>2026-08-26T12:00:00.000Z</x:v>
      </x:c>
      <x:c r="D377" s="11"/>
      <x:c r="E377" s="11"/>
      <x:c r="F377" s="11"/>
      <x:c r="G377" s="12"/>
      <x:c r="H377" s="9"/>
      <x:c r="I377" s="9"/>
      <x:c r="J377" s="13"/>
      <x:c r="K377" s="9" t="str">
        <x:v>Sem exportação</x:v>
      </x:c>
      <x:c r="L377" s="9"/>
    </x:row>
    <x:row r="378" ht="24" customHeight="1">
      <x:c r="A378" s="9" t="str">
        <x:v>C04</x:v>
      </x:c>
      <x:c r="B378" s="9" t="str">
        <x:v>Remarketing Caçarola</x:v>
      </x:c>
      <x:c r="C378" s="10" t="d">
        <x:v>2026-08-27T12:00:00.000Z</x:v>
      </x:c>
      <x:c r="D378" s="11" t="n">
        <x:v>0</x:v>
      </x:c>
      <x:c r="E378" s="11" t="n">
        <x:v>0</x:v>
      </x:c>
      <x:c r="F378" s="11" t="n">
        <x:v>0</x:v>
      </x:c>
      <x:c r="G378" s="12" t="n">
        <x:v>0</x:v>
      </x:c>
      <x:c r="H378" s="9" t="n">
        <x:v>0</x:v>
      </x:c>
      <x:c r="I378" s="9"/>
      <x:c r="J378" s="13"/>
      <x:c r="K378" s="9" t="str">
        <x:v>Exportado</x:v>
      </x:c>
      <x:c r="L378" s="9" t="str">
        <x:v>F032, F033, F034</x:v>
      </x:c>
    </x:row>
    <x:row r="379" ht="24" customHeight="1">
      <x:c r="A379" s="9" t="str">
        <x:v>C04</x:v>
      </x:c>
      <x:c r="B379" s="9" t="str">
        <x:v>Remarketing Caçarola</x:v>
      </x:c>
      <x:c r="C379" s="10" t="d">
        <x:v>2026-08-28T12:00:00.000Z</x:v>
      </x:c>
      <x:c r="D379" s="11" t="n">
        <x:v>12</x:v>
      </x:c>
      <x:c r="E379" s="11" t="n">
        <x:v>6</x:v>
      </x:c>
      <x:c r="F379" s="11" t="n">
        <x:v>2</x:v>
      </x:c>
      <x:c r="G379" s="12" t="n">
        <x:v>14.28</x:v>
      </x:c>
      <x:c r="H379" s="9" t="n">
        <x:v>0</x:v>
      </x:c>
      <x:c r="I379" s="9"/>
      <x:c r="J379" s="13"/>
      <x:c r="K379" s="9" t="str">
        <x:v>Exportado</x:v>
      </x:c>
      <x:c r="L379" s="9" t="str">
        <x:v>F032, F033, F034</x:v>
      </x:c>
    </x:row>
    <x:row r="380" ht="24" customHeight="1">
      <x:c r="A380" s="9" t="str">
        <x:v>C04</x:v>
      </x:c>
      <x:c r="B380" s="9" t="str">
        <x:v>Remarketing Caçarola</x:v>
      </x:c>
      <x:c r="C380" s="10" t="d">
        <x:v>2026-08-29T12:00:00.000Z</x:v>
      </x:c>
      <x:c r="D380" s="11" t="n">
        <x:v>3</x:v>
      </x:c>
      <x:c r="E380" s="11" t="n">
        <x:v>0</x:v>
      </x:c>
      <x:c r="F380" s="11" t="n">
        <x:v>2</x:v>
      </x:c>
      <x:c r="G380" s="12" t="n">
        <x:v>10.39</x:v>
      </x:c>
      <x:c r="H380" s="9" t="n">
        <x:v>0</x:v>
      </x:c>
      <x:c r="I380" s="9"/>
      <x:c r="J380" s="13"/>
      <x:c r="K380" s="9" t="str">
        <x:v>Exportado</x:v>
      </x:c>
      <x:c r="L380" s="9" t="str">
        <x:v>F032, F033, F034</x:v>
      </x:c>
    </x:row>
    <x:row r="381" ht="24" customHeight="1">
      <x:c r="A381" s="9" t="str">
        <x:v>C04</x:v>
      </x:c>
      <x:c r="B381" s="9" t="str">
        <x:v>Remarketing Caçarola</x:v>
      </x:c>
      <x:c r="C381" s="10" t="d">
        <x:v>2026-08-30T12:00:00.000Z</x:v>
      </x:c>
      <x:c r="D381" s="11" t="n">
        <x:v>295</x:v>
      </x:c>
      <x:c r="E381" s="11" t="n">
        <x:v>105</x:v>
      </x:c>
      <x:c r="F381" s="11" t="n">
        <x:v>72</x:v>
      </x:c>
      <x:c r="G381" s="12" t="n">
        <x:v>7.82</x:v>
      </x:c>
      <x:c r="H381" s="9" t="n">
        <x:v>0</x:v>
      </x:c>
      <x:c r="I381" s="9"/>
      <x:c r="J381" s="13" t="n">
        <x:v>0</x:v>
      </x:c>
      <x:c r="K381" s="9" t="str">
        <x:v>Exportado</x:v>
      </x:c>
      <x:c r="L381" s="9" t="str">
        <x:v>F032, F033, F034</x:v>
      </x:c>
    </x:row>
    <x:row r="382" ht="24" customHeight="1">
      <x:c r="A382" s="9" t="str">
        <x:v>C04</x:v>
      </x:c>
      <x:c r="B382" s="9" t="str">
        <x:v>Remarketing Caçarola</x:v>
      </x:c>
      <x:c r="C382" s="10" t="d">
        <x:v>2026-08-31T12:00:00.000Z</x:v>
      </x:c>
      <x:c r="D382" s="11" t="n">
        <x:v>31</x:v>
      </x:c>
      <x:c r="E382" s="11" t="n">
        <x:v>2</x:v>
      </x:c>
      <x:c r="F382" s="11" t="n">
        <x:v>8</x:v>
      </x:c>
      <x:c r="G382" s="12" t="n">
        <x:v>9.87</x:v>
      </x:c>
      <x:c r="H382" s="9" t="n">
        <x:v>0</x:v>
      </x:c>
      <x:c r="I382" s="9"/>
      <x:c r="J382" s="13"/>
      <x:c r="K382" s="9" t="str">
        <x:v>Exportado</x:v>
      </x:c>
      <x:c r="L382" s="9" t="str">
        <x:v>F032, F033, F034</x:v>
      </x:c>
    </x:row>
    <x:row r="383" ht="24" customHeight="1">
      <x:c r="A383" s="9" t="str">
        <x:v>C04</x:v>
      </x:c>
      <x:c r="B383" s="9" t="str">
        <x:v>Remarketing Caçarola</x:v>
      </x:c>
      <x:c r="C383" s="10" t="d">
        <x:v>2026-09-01T12:00:00.000Z</x:v>
      </x:c>
      <x:c r="D383" s="11" t="n">
        <x:v>115</x:v>
      </x:c>
      <x:c r="E383" s="11" t="n">
        <x:v>73</x:v>
      </x:c>
      <x:c r="F383" s="11" t="n">
        <x:v>54</x:v>
      </x:c>
      <x:c r="G383" s="12" t="n">
        <x:v>19.62</x:v>
      </x:c>
      <x:c r="H383" s="9" t="n">
        <x:v>2</x:v>
      </x:c>
      <x:c r="I383" s="9"/>
      <x:c r="J383" s="13"/>
      <x:c r="K383" s="9" t="str">
        <x:v>Exportado</x:v>
      </x:c>
      <x:c r="L383" s="9" t="str">
        <x:v>F032, F033, F034</x:v>
      </x:c>
    </x:row>
    <x:row r="384" ht="24" customHeight="1">
      <x:c r="A384" s="9" t="str">
        <x:v>C04</x:v>
      </x:c>
      <x:c r="B384" s="9" t="str">
        <x:v>Remarketing Caçarola</x:v>
      </x:c>
      <x:c r="C384" s="10" t="d">
        <x:v>2026-09-02T12:00:00.000Z</x:v>
      </x:c>
      <x:c r="D384" s="11" t="n">
        <x:v>1013</x:v>
      </x:c>
      <x:c r="E384" s="11" t="n">
        <x:v>600</x:v>
      </x:c>
      <x:c r="F384" s="11" t="n">
        <x:v>611</x:v>
      </x:c>
      <x:c r="G384" s="12" t="n">
        <x:v>10</x:v>
      </x:c>
      <x:c r="H384" s="9" t="n">
        <x:v>1</x:v>
      </x:c>
      <x:c r="I384" s="9"/>
      <x:c r="J384" s="13" t="n">
        <x:v>0</x:v>
      </x:c>
      <x:c r="K384" s="9" t="str">
        <x:v>Exportado</x:v>
      </x:c>
      <x:c r="L384" s="9" t="str">
        <x:v>F032, F033, F034</x:v>
      </x:c>
    </x:row>
    <x:row r="385" ht="24" customHeight="1">
      <x:c r="A385" s="9" t="str">
        <x:v>C04</x:v>
      </x:c>
      <x:c r="B385" s="9" t="str">
        <x:v>Remarketing Caçarola</x:v>
      </x:c>
      <x:c r="C385" s="10" t="d">
        <x:v>2026-09-03T12:00:00.000Z</x:v>
      </x:c>
      <x:c r="D385" s="11" t="n">
        <x:v>470</x:v>
      </x:c>
      <x:c r="E385" s="11" t="n">
        <x:v>176</x:v>
      </x:c>
      <x:c r="F385" s="11" t="n">
        <x:v>241</x:v>
      </x:c>
      <x:c r="G385" s="12" t="n">
        <x:v>9.82</x:v>
      </x:c>
      <x:c r="H385" s="9" t="n">
        <x:v>2</x:v>
      </x:c>
      <x:c r="I385" s="9"/>
      <x:c r="J385" s="13" t="n">
        <x:v>0</x:v>
      </x:c>
      <x:c r="K385" s="9" t="str">
        <x:v>Exportado</x:v>
      </x:c>
      <x:c r="L385" s="9" t="str">
        <x:v>F032, F033, F034</x:v>
      </x:c>
    </x:row>
    <x:row r="386" ht="24" customHeight="1">
      <x:c r="A386" s="9" t="str">
        <x:v>C04</x:v>
      </x:c>
      <x:c r="B386" s="9" t="str">
        <x:v>Remarketing Caçarola</x:v>
      </x:c>
      <x:c r="C386" s="10" t="d">
        <x:v>2026-09-04T12:00:00.000Z</x:v>
      </x:c>
      <x:c r="D386" s="11" t="n">
        <x:v>715</x:v>
      </x:c>
      <x:c r="E386" s="11" t="n">
        <x:v>260</x:v>
      </x:c>
      <x:c r="F386" s="11" t="n">
        <x:v>376</x:v>
      </x:c>
      <x:c r="G386" s="12" t="n">
        <x:v>10.72</x:v>
      </x:c>
      <x:c r="H386" s="9" t="n">
        <x:v>2</x:v>
      </x:c>
      <x:c r="I386" s="9"/>
      <x:c r="J386" s="13" t="n">
        <x:v>0</x:v>
      </x:c>
      <x:c r="K386" s="9" t="str">
        <x:v>Exportado</x:v>
      </x:c>
      <x:c r="L386" s="9" t="str">
        <x:v>F032, F033, F034</x:v>
      </x:c>
    </x:row>
    <x:row r="387" ht="24" customHeight="1">
      <x:c r="A387" s="9" t="str">
        <x:v>C04</x:v>
      </x:c>
      <x:c r="B387" s="9" t="str">
        <x:v>Remarketing Caçarola</x:v>
      </x:c>
      <x:c r="C387" s="10" t="d">
        <x:v>2026-09-05T12:00:00.000Z</x:v>
      </x:c>
      <x:c r="D387" s="11" t="n">
        <x:v>1061</x:v>
      </x:c>
      <x:c r="E387" s="11" t="n">
        <x:v>486</x:v>
      </x:c>
      <x:c r="F387" s="11" t="n">
        <x:v>564</x:v>
      </x:c>
      <x:c r="G387" s="12" t="n">
        <x:v>9.77</x:v>
      </x:c>
      <x:c r="H387" s="9" t="n">
        <x:v>1</x:v>
      </x:c>
      <x:c r="I387" s="9"/>
      <x:c r="J387" s="13" t="n">
        <x:v>0.5</x:v>
      </x:c>
      <x:c r="K387" s="9" t="str">
        <x:v>Exportado</x:v>
      </x:c>
      <x:c r="L387" s="9" t="str">
        <x:v>F032, F033, F034</x:v>
      </x:c>
    </x:row>
    <x:row r="388" ht="24" customHeight="1">
      <x:c r="A388" s="9" t="str">
        <x:v>C04</x:v>
      </x:c>
      <x:c r="B388" s="9" t="str">
        <x:v>Remarketing Caçarola</x:v>
      </x:c>
      <x:c r="C388" s="10" t="d">
        <x:v>2026-09-06T12:00:00.000Z</x:v>
      </x:c>
      <x:c r="D388" s="11" t="n">
        <x:v>1223</x:v>
      </x:c>
      <x:c r="E388" s="11" t="n">
        <x:v>1014</x:v>
      </x:c>
      <x:c r="F388" s="11" t="n">
        <x:v>659</x:v>
      </x:c>
      <x:c r="G388" s="12" t="n">
        <x:v>9.79</x:v>
      </x:c>
      <x:c r="H388" s="9" t="n">
        <x:v>0</x:v>
      </x:c>
      <x:c r="I388" s="9"/>
      <x:c r="J388" s="13"/>
      <x:c r="K388" s="9" t="str">
        <x:v>Exportado</x:v>
      </x:c>
      <x:c r="L388" s="9" t="str">
        <x:v>F032, F033, F034</x:v>
      </x:c>
    </x:row>
    <x:row r="389" ht="24" customHeight="1">
      <x:c r="A389" s="9" t="str">
        <x:v>C04</x:v>
      </x:c>
      <x:c r="B389" s="9" t="str">
        <x:v>Remarketing Caçarola</x:v>
      </x:c>
      <x:c r="C389" s="10" t="d">
        <x:v>2026-09-07T12:00:00.000Z</x:v>
      </x:c>
      <x:c r="D389" s="11" t="n">
        <x:v>1572</x:v>
      </x:c>
      <x:c r="E389" s="11" t="n">
        <x:v>1099</x:v>
      </x:c>
      <x:c r="F389" s="11" t="n">
        <x:v>956</x:v>
      </x:c>
      <x:c r="G389" s="12" t="n">
        <x:v>9.86</x:v>
      </x:c>
      <x:c r="H389" s="9" t="n">
        <x:v>0</x:v>
      </x:c>
      <x:c r="I389" s="9"/>
      <x:c r="J389" s="13"/>
      <x:c r="K389" s="9" t="str">
        <x:v>Exportado</x:v>
      </x:c>
      <x:c r="L389" s="9" t="str">
        <x:v>F032, F033, F034</x:v>
      </x:c>
    </x:row>
    <x:row r="390" ht="24" customHeight="1">
      <x:c r="A390" s="9" t="str">
        <x:v>C04</x:v>
      </x:c>
      <x:c r="B390" s="9" t="str">
        <x:v>Remarketing Caçarola</x:v>
      </x:c>
      <x:c r="C390" s="10" t="d">
        <x:v>2026-09-08T12:00:00.000Z</x:v>
      </x:c>
      <x:c r="D390" s="11" t="n">
        <x:v>651</x:v>
      </x:c>
      <x:c r="E390" s="11" t="n">
        <x:v>388</x:v>
      </x:c>
      <x:c r="F390" s="11" t="n">
        <x:v>367</x:v>
      </x:c>
      <x:c r="G390" s="12" t="n">
        <x:v>15.44</x:v>
      </x:c>
      <x:c r="H390" s="9" t="n">
        <x:v>2</x:v>
      </x:c>
      <x:c r="I390" s="9"/>
      <x:c r="J390" s="13" t="n">
        <x:v>0</x:v>
      </x:c>
      <x:c r="K390" s="9" t="str">
        <x:v>Exportado</x:v>
      </x:c>
      <x:c r="L390" s="9" t="str">
        <x:v>F032, F033, F034</x:v>
      </x:c>
    </x:row>
    <x:row r="391" ht="24" customHeight="1">
      <x:c r="A391" s="9" t="str">
        <x:v>C04</x:v>
      </x:c>
      <x:c r="B391" s="9" t="str">
        <x:v>Remarketing Caçarola</x:v>
      </x:c>
      <x:c r="C391" s="10" t="d">
        <x:v>2026-09-09T12:00:00.000Z</x:v>
      </x:c>
      <x:c r="D391" s="11" t="n">
        <x:v>948</x:v>
      </x:c>
      <x:c r="E391" s="11" t="n">
        <x:v>16</x:v>
      </x:c>
      <x:c r="F391" s="11" t="n">
        <x:v>211</x:v>
      </x:c>
      <x:c r="G391" s="12" t="n">
        <x:v>7.58</x:v>
      </x:c>
      <x:c r="H391" s="9" t="n">
        <x:v>0</x:v>
      </x:c>
      <x:c r="I391" s="9"/>
      <x:c r="J391" s="13"/>
      <x:c r="K391" s="9" t="str">
        <x:v>Exportado</x:v>
      </x:c>
      <x:c r="L391" s="9" t="str">
        <x:v>F032, F033, F034</x:v>
      </x:c>
    </x:row>
    <x:row r="392" ht="24" customHeight="1">
      <x:c r="A392" s="9" t="str">
        <x:v>C04</x:v>
      </x:c>
      <x:c r="B392" s="9" t="str">
        <x:v>Remarketing Caçarola</x:v>
      </x:c>
      <x:c r="C392" s="10" t="d">
        <x:v>2026-09-10T12:00:00.000Z</x:v>
      </x:c>
      <x:c r="D392" s="11" t="n">
        <x:v>414</x:v>
      </x:c>
      <x:c r="E392" s="11" t="n">
        <x:v>51</x:v>
      </x:c>
      <x:c r="F392" s="11" t="n">
        <x:v>185</x:v>
      </x:c>
      <x:c r="G392" s="12" t="n">
        <x:v>10.36</x:v>
      </x:c>
      <x:c r="H392" s="9" t="n">
        <x:v>0</x:v>
      </x:c>
      <x:c r="I392" s="9"/>
      <x:c r="J392" s="13" t="n">
        <x:v>0</x:v>
      </x:c>
      <x:c r="K392" s="9" t="str">
        <x:v>Exportado</x:v>
      </x:c>
      <x:c r="L392" s="9" t="str">
        <x:v>F032, F033, F034</x:v>
      </x:c>
    </x:row>
    <x:row r="393" ht="24" customHeight="1">
      <x:c r="A393" s="9" t="str">
        <x:v>C04</x:v>
      </x:c>
      <x:c r="B393" s="9" t="str">
        <x:v>Remarketing Caçarola</x:v>
      </x:c>
      <x:c r="C393" s="10" t="d">
        <x:v>2026-09-11T12:00:00.000Z</x:v>
      </x:c>
      <x:c r="D393" s="11" t="n">
        <x:v>427</x:v>
      </x:c>
      <x:c r="E393" s="11" t="n">
        <x:v>364</x:v>
      </x:c>
      <x:c r="F393" s="11" t="n">
        <x:v>101</x:v>
      </x:c>
      <x:c r="G393" s="12" t="n">
        <x:v>8.95</x:v>
      </x:c>
      <x:c r="H393" s="9" t="n">
        <x:v>0</x:v>
      </x:c>
      <x:c r="I393" s="9"/>
      <x:c r="J393" s="13"/>
      <x:c r="K393" s="9" t="str">
        <x:v>Exportado</x:v>
      </x:c>
      <x:c r="L393" s="9" t="str">
        <x:v>F032, F033, F034</x:v>
      </x:c>
    </x:row>
    <x:row r="394" ht="24" customHeight="1">
      <x:c r="A394" s="9" t="str">
        <x:v>C04</x:v>
      </x:c>
      <x:c r="B394" s="9" t="str">
        <x:v>Remarketing Caçarola</x:v>
      </x:c>
      <x:c r="C394" s="10" t="d">
        <x:v>2026-09-12T12:00:00.000Z</x:v>
      </x:c>
      <x:c r="D394" s="11" t="n">
        <x:v>554</x:v>
      </x:c>
      <x:c r="E394" s="11" t="n">
        <x:v>518</x:v>
      </x:c>
      <x:c r="F394" s="11" t="n">
        <x:v>224</x:v>
      </x:c>
      <x:c r="G394" s="12" t="n">
        <x:v>9.54</x:v>
      </x:c>
      <x:c r="H394" s="9" t="n">
        <x:v>0</x:v>
      </x:c>
      <x:c r="I394" s="9"/>
      <x:c r="J394" s="13"/>
      <x:c r="K394" s="9" t="str">
        <x:v>Exportado</x:v>
      </x:c>
      <x:c r="L394" s="9" t="str">
        <x:v>F032, F033, F034</x:v>
      </x:c>
    </x:row>
    <x:row r="395" ht="24" customHeight="1">
      <x:c r="A395" s="9" t="str">
        <x:v>C04</x:v>
      </x:c>
      <x:c r="B395" s="9" t="str">
        <x:v>Remarketing Caçarola</x:v>
      </x:c>
      <x:c r="C395" s="10" t="d">
        <x:v>2026-09-13T12:00:00.000Z</x:v>
      </x:c>
      <x:c r="D395" s="11" t="n">
        <x:v>723</x:v>
      </x:c>
      <x:c r="E395" s="11" t="n">
        <x:v>605</x:v>
      </x:c>
      <x:c r="F395" s="11" t="n">
        <x:v>173</x:v>
      </x:c>
      <x:c r="G395" s="12" t="n">
        <x:v>9.95</x:v>
      </x:c>
      <x:c r="H395" s="9" t="n">
        <x:v>3</x:v>
      </x:c>
      <x:c r="I395" s="9"/>
      <x:c r="J395" s="13"/>
      <x:c r="K395" s="9" t="str">
        <x:v>Exportado</x:v>
      </x:c>
      <x:c r="L395" s="9" t="str">
        <x:v>F032, F033, F034</x:v>
      </x:c>
    </x:row>
    <x:row r="396" ht="24" customHeight="1">
      <x:c r="A396" s="9" t="str">
        <x:v>C04</x:v>
      </x:c>
      <x:c r="B396" s="9" t="str">
        <x:v>Remarketing Caçarola</x:v>
      </x:c>
      <x:c r="C396" s="10" t="d">
        <x:v>2026-09-14T12:00:00.000Z</x:v>
      </x:c>
      <x:c r="D396" s="11" t="n">
        <x:v>1480</x:v>
      </x:c>
      <x:c r="E396" s="11" t="n">
        <x:v>1162</x:v>
      </x:c>
      <x:c r="F396" s="11" t="n">
        <x:v>248</x:v>
      </x:c>
      <x:c r="G396" s="12" t="n">
        <x:v>10.45</x:v>
      </x:c>
      <x:c r="H396" s="9" t="n">
        <x:v>1</x:v>
      </x:c>
      <x:c r="I396" s="9"/>
      <x:c r="J396" s="13" t="n">
        <x:v>0</x:v>
      </x:c>
      <x:c r="K396" s="9" t="str">
        <x:v>Exportado</x:v>
      </x:c>
      <x:c r="L396" s="9" t="str">
        <x:v>F032, F033, F034</x:v>
      </x:c>
    </x:row>
    <x:row r="397" ht="24" customHeight="1">
      <x:c r="A397" s="9" t="str">
        <x:v>C04</x:v>
      </x:c>
      <x:c r="B397" s="9" t="str">
        <x:v>Remarketing Caçarola</x:v>
      </x:c>
      <x:c r="C397" s="10" t="d">
        <x:v>2026-09-15T12:00:00.000Z</x:v>
      </x:c>
      <x:c r="D397" s="11" t="n">
        <x:v>1879</x:v>
      </x:c>
      <x:c r="E397" s="11" t="n">
        <x:v>1645</x:v>
      </x:c>
      <x:c r="F397" s="11" t="n">
        <x:v>981</x:v>
      </x:c>
      <x:c r="G397" s="12" t="n">
        <x:v>9.53</x:v>
      </x:c>
      <x:c r="H397" s="9" t="n">
        <x:v>1</x:v>
      </x:c>
      <x:c r="I397" s="9"/>
      <x:c r="J397" s="13" t="n">
        <x:v>0</x:v>
      </x:c>
      <x:c r="K397" s="9" t="str">
        <x:v>Exportado</x:v>
      </x:c>
      <x:c r="L397" s="9" t="str">
        <x:v>F032, F033, F034</x:v>
      </x:c>
    </x:row>
    <x:row r="398" ht="24" customHeight="1">
      <x:c r="A398" s="9" t="str">
        <x:v>C04</x:v>
      </x:c>
      <x:c r="B398" s="9" t="str">
        <x:v>Remarketing Caçarola</x:v>
      </x:c>
      <x:c r="C398" s="10" t="d">
        <x:v>2026-09-16T12:00:00.000Z</x:v>
      </x:c>
      <x:c r="D398" s="11" t="n">
        <x:v>1013</x:v>
      </x:c>
      <x:c r="E398" s="11" t="n">
        <x:v>905</x:v>
      </x:c>
      <x:c r="F398" s="11" t="n">
        <x:v>675</x:v>
      </x:c>
      <x:c r="G398" s="12" t="n">
        <x:v>9.57</x:v>
      </x:c>
      <x:c r="H398" s="9" t="n">
        <x:v>0</x:v>
      </x:c>
      <x:c r="I398" s="9"/>
      <x:c r="J398" s="13" t="n">
        <x:v>0</x:v>
      </x:c>
      <x:c r="K398" s="9" t="str">
        <x:v>Exportado</x:v>
      </x:c>
      <x:c r="L398" s="9" t="str">
        <x:v>F032, F033, F034</x:v>
      </x:c>
    </x:row>
    <x:row r="399" ht="24" customHeight="1">
      <x:c r="A399" s="9" t="str">
        <x:v>C04</x:v>
      </x:c>
      <x:c r="B399" s="9" t="str">
        <x:v>Remarketing Caçarola</x:v>
      </x:c>
      <x:c r="C399" s="10" t="d">
        <x:v>2026-09-17T12:00:00.000Z</x:v>
      </x:c>
      <x:c r="D399" s="11" t="n">
        <x:v>992</x:v>
      </x:c>
      <x:c r="E399" s="11" t="n">
        <x:v>620</x:v>
      </x:c>
      <x:c r="F399" s="11" t="n">
        <x:v>419</x:v>
      </x:c>
      <x:c r="G399" s="12" t="n">
        <x:v>11.49</x:v>
      </x:c>
      <x:c r="H399" s="9" t="n">
        <x:v>0</x:v>
      </x:c>
      <x:c r="I399" s="9"/>
      <x:c r="J399" s="13" t="n">
        <x:v>0</x:v>
      </x:c>
      <x:c r="K399" s="9" t="str">
        <x:v>Exportado</x:v>
      </x:c>
      <x:c r="L399" s="9" t="str">
        <x:v>F032, F033, F034</x:v>
      </x:c>
    </x:row>
    <x:row r="400" ht="24" customHeight="1">
      <x:c r="A400" s="9" t="str">
        <x:v>C04</x:v>
      </x:c>
      <x:c r="B400" s="9" t="str">
        <x:v>Remarketing Caçarola</x:v>
      </x:c>
      <x:c r="C400" s="10" t="d">
        <x:v>2026-09-18T12:00:00.000Z</x:v>
      </x:c>
      <x:c r="D400" s="11" t="n">
        <x:v>543</x:v>
      </x:c>
      <x:c r="E400" s="11" t="n">
        <x:v>447</x:v>
      </x:c>
      <x:c r="F400" s="11" t="n">
        <x:v>119</x:v>
      </x:c>
      <x:c r="G400" s="12" t="n">
        <x:v>9.23</x:v>
      </x:c>
      <x:c r="H400" s="9" t="n">
        <x:v>5</x:v>
      </x:c>
      <x:c r="I400" s="9"/>
      <x:c r="J400" s="13"/>
      <x:c r="K400" s="9" t="str">
        <x:v>Exportado</x:v>
      </x:c>
      <x:c r="L400" s="9" t="str">
        <x:v>F032, F033, F034</x:v>
      </x:c>
    </x:row>
    <x:row r="401" ht="24" customHeight="1">
      <x:c r="A401" s="9" t="str">
        <x:v>C04</x:v>
      </x:c>
      <x:c r="B401" s="9" t="str">
        <x:v>Remarketing Caçarola</x:v>
      </x:c>
      <x:c r="C401" s="10" t="d">
        <x:v>2026-09-19T12:00:00.000Z</x:v>
      </x:c>
      <x:c r="D401" s="11" t="n">
        <x:v>926</x:v>
      </x:c>
      <x:c r="E401" s="11" t="n">
        <x:v>795</x:v>
      </x:c>
      <x:c r="F401" s="11" t="n">
        <x:v>494</x:v>
      </x:c>
      <x:c r="G401" s="12" t="n">
        <x:v>9.34</x:v>
      </x:c>
      <x:c r="H401" s="9" t="n">
        <x:v>0</x:v>
      </x:c>
      <x:c r="I401" s="9"/>
      <x:c r="J401" s="13" t="n">
        <x:v>0</x:v>
      </x:c>
      <x:c r="K401" s="9" t="str">
        <x:v>Exportado</x:v>
      </x:c>
      <x:c r="L401" s="9" t="str">
        <x:v>F032, F033, F034</x:v>
      </x:c>
    </x:row>
    <x:row r="402" ht="24" customHeight="1">
      <x:c r="A402" s="9" t="str">
        <x:v>C04</x:v>
      </x:c>
      <x:c r="B402" s="9" t="str">
        <x:v>Remarketing Caçarola</x:v>
      </x:c>
      <x:c r="C402" s="10" t="d">
        <x:v>2026-09-20T12:00:00.000Z</x:v>
      </x:c>
      <x:c r="D402" s="11" t="n">
        <x:v>1530</x:v>
      </x:c>
      <x:c r="E402" s="11" t="n">
        <x:v>1481</x:v>
      </x:c>
      <x:c r="F402" s="11" t="n">
        <x:v>999</x:v>
      </x:c>
      <x:c r="G402" s="12" t="n">
        <x:v>9.46</x:v>
      </x:c>
      <x:c r="H402" s="9" t="n">
        <x:v>0</x:v>
      </x:c>
      <x:c r="I402" s="9"/>
      <x:c r="J402" s="13" t="n">
        <x:v>0</x:v>
      </x:c>
      <x:c r="K402" s="9" t="str">
        <x:v>Exportado</x:v>
      </x:c>
      <x:c r="L402" s="9" t="str">
        <x:v>F032, F033, F034</x:v>
      </x:c>
    </x:row>
    <x:row r="403" ht="24" customHeight="1">
      <x:c r="A403" s="9" t="str">
        <x:v>C04</x:v>
      </x:c>
      <x:c r="B403" s="9" t="str">
        <x:v>Remarketing Caçarola</x:v>
      </x:c>
      <x:c r="C403" s="10" t="d">
        <x:v>2026-09-21T12:00:00.000Z</x:v>
      </x:c>
      <x:c r="D403" s="11" t="n">
        <x:v>1177</x:v>
      </x:c>
      <x:c r="E403" s="11" t="n">
        <x:v>1155</x:v>
      </x:c>
      <x:c r="F403" s="11" t="n">
        <x:v>869</x:v>
      </x:c>
      <x:c r="G403" s="12" t="n">
        <x:v>9.46</x:v>
      </x:c>
      <x:c r="H403" s="9" t="n">
        <x:v>0</x:v>
      </x:c>
      <x:c r="I403" s="9"/>
      <x:c r="J403" s="13"/>
      <x:c r="K403" s="9" t="str">
        <x:v>Exportado</x:v>
      </x:c>
      <x:c r="L403" s="9" t="str">
        <x:v>F032, F033, F034</x:v>
      </x:c>
    </x:row>
    <x:row r="404" ht="24" customHeight="1">
      <x:c r="A404" s="9" t="str">
        <x:v>C04</x:v>
      </x:c>
      <x:c r="B404" s="9" t="str">
        <x:v>Remarketing Caçarola</x:v>
      </x:c>
      <x:c r="C404" s="10" t="d">
        <x:v>2026-09-22T12:00:00.000Z</x:v>
      </x:c>
      <x:c r="D404" s="11" t="n">
        <x:v>726</x:v>
      </x:c>
      <x:c r="E404" s="11" t="n">
        <x:v>718</x:v>
      </x:c>
      <x:c r="F404" s="11" t="n">
        <x:v>446</x:v>
      </x:c>
      <x:c r="G404" s="12" t="n">
        <x:v>9.87</x:v>
      </x:c>
      <x:c r="H404" s="9" t="n">
        <x:v>0</x:v>
      </x:c>
      <x:c r="I404" s="9"/>
      <x:c r="J404" s="13" t="n">
        <x:v>1</x:v>
      </x:c>
      <x:c r="K404" s="9" t="str">
        <x:v>Exportado</x:v>
      </x:c>
      <x:c r="L404" s="9" t="str">
        <x:v>F032, F033, F034</x:v>
      </x:c>
    </x:row>
    <x:row r="405" ht="24" customHeight="1">
      <x:c r="A405" s="9" t="str">
        <x:v>C04</x:v>
      </x:c>
      <x:c r="B405" s="9" t="str">
        <x:v>Remarketing Caçarola</x:v>
      </x:c>
      <x:c r="C405" s="10" t="d">
        <x:v>2026-09-23T12:00:00.000Z</x:v>
      </x:c>
      <x:c r="D405" s="11" t="n">
        <x:v>1425</x:v>
      </x:c>
      <x:c r="E405" s="11" t="n">
        <x:v>1378</x:v>
      </x:c>
      <x:c r="F405" s="11" t="n">
        <x:v>821</x:v>
      </x:c>
      <x:c r="G405" s="12" t="n">
        <x:v>9.48</x:v>
      </x:c>
      <x:c r="H405" s="9" t="n">
        <x:v>1</x:v>
      </x:c>
      <x:c r="I405" s="9"/>
      <x:c r="J405" s="13"/>
      <x:c r="K405" s="9" t="str">
        <x:v>Exportado</x:v>
      </x:c>
      <x:c r="L405" s="9" t="str">
        <x:v>F032, F033, F034</x:v>
      </x:c>
    </x:row>
    <x:row r="406" ht="24" customHeight="1">
      <x:c r="A406" s="9" t="str">
        <x:v>C04</x:v>
      </x:c>
      <x:c r="B406" s="9" t="str">
        <x:v>Remarketing Caçarola</x:v>
      </x:c>
      <x:c r="C406" s="10" t="d">
        <x:v>2026-09-24T12:00:00.000Z</x:v>
      </x:c>
      <x:c r="D406" s="11" t="n">
        <x:v>903</x:v>
      </x:c>
      <x:c r="E406" s="11" t="n">
        <x:v>873</x:v>
      </x:c>
      <x:c r="F406" s="11" t="n">
        <x:v>552</x:v>
      </x:c>
      <x:c r="G406" s="12" t="n">
        <x:v>4.48</x:v>
      </x:c>
      <x:c r="H406" s="9" t="n">
        <x:v>0</x:v>
      </x:c>
      <x:c r="I406" s="9"/>
      <x:c r="J406" s="13"/>
      <x:c r="K406" s="9" t="str">
        <x:v>Exportado</x:v>
      </x:c>
      <x:c r="L406" s="9" t="str">
        <x:v>F032, F033, F034</x:v>
      </x:c>
    </x:row>
    <x:row r="407" ht="24" customHeight="1">
      <x:c r="A407" s="9" t="str">
        <x:v>C04</x:v>
      </x:c>
      <x:c r="B407" s="9" t="str">
        <x:v>Remarketing Caçarola</x:v>
      </x:c>
      <x:c r="C407" s="10" t="d">
        <x:v>2026-09-25T12:00:00.000Z</x:v>
      </x:c>
      <x:c r="D407" s="11" t="n">
        <x:v>109</x:v>
      </x:c>
      <x:c r="E407" s="11" t="n">
        <x:v>103</x:v>
      </x:c>
      <x:c r="F407" s="11" t="n">
        <x:v>52</x:v>
      </x:c>
      <x:c r="G407" s="12" t="n">
        <x:v>0.64</x:v>
      </x:c>
      <x:c r="H407" s="9" t="n">
        <x:v>0</x:v>
      </x:c>
      <x:c r="I407" s="9"/>
      <x:c r="J407" s="13"/>
      <x:c r="K407" s="9" t="str">
        <x:v>Exportado</x:v>
      </x:c>
      <x:c r="L407" s="9" t="str">
        <x:v>F032, F033, F034</x:v>
      </x:c>
    </x:row>
    <x:row r="408" ht="24" customHeight="1">
      <x:c r="A408" s="9" t="str">
        <x:v>C04</x:v>
      </x:c>
      <x:c r="B408" s="9" t="str">
        <x:v>Remarketing Caçarola</x:v>
      </x:c>
      <x:c r="C408" s="10" t="d">
        <x:v>2026-09-26T12:00:00.000Z</x:v>
      </x:c>
      <x:c r="D408" s="11" t="n">
        <x:v>0</x:v>
      </x:c>
      <x:c r="E408" s="11" t="n">
        <x:v>0</x:v>
      </x:c>
      <x:c r="F408" s="11" t="n">
        <x:v>0</x:v>
      </x:c>
      <x:c r="G408" s="12" t="n">
        <x:v>0</x:v>
      </x:c>
      <x:c r="H408" s="9" t="n">
        <x:v>0</x:v>
      </x:c>
      <x:c r="I408" s="9"/>
      <x:c r="J408" s="13"/>
      <x:c r="K408" s="9" t="str">
        <x:v>Exportado</x:v>
      </x:c>
      <x:c r="L408" s="9" t="str">
        <x:v>F032, F033, F034</x:v>
      </x:c>
    </x:row>
    <x:row r="409" ht="24" customHeight="1">
      <x:c r="A409" s="9" t="str">
        <x:v>C04</x:v>
      </x:c>
      <x:c r="B409" s="9" t="str">
        <x:v>Remarketing Caçarola</x:v>
      </x:c>
      <x:c r="C409" s="10" t="d">
        <x:v>2026-09-27T12:00:00.000Z</x:v>
      </x:c>
      <x:c r="D409" s="11" t="n">
        <x:v>4</x:v>
      </x:c>
      <x:c r="E409" s="11" t="n">
        <x:v>4</x:v>
      </x:c>
      <x:c r="F409" s="11" t="n">
        <x:v>3</x:v>
      </x:c>
      <x:c r="G409" s="12" t="n">
        <x:v>0.04</x:v>
      </x:c>
      <x:c r="H409" s="9" t="n">
        <x:v>0</x:v>
      </x:c>
      <x:c r="I409" s="9"/>
      <x:c r="J409" s="13"/>
      <x:c r="K409" s="9" t="str">
        <x:v>Exportado</x:v>
      </x:c>
      <x:c r="L409" s="9" t="str">
        <x:v>F032, F033, F034</x:v>
      </x:c>
    </x:row>
    <x:row r="410" ht="24" customHeight="1">
      <x:c r="A410" s="9" t="str">
        <x:v>C04</x:v>
      </x:c>
      <x:c r="B410" s="9" t="str">
        <x:v>Remarketing Caçarola</x:v>
      </x:c>
      <x:c r="C410" s="10" t="d">
        <x:v>2026-09-28T12:00:00.000Z</x:v>
      </x:c>
      <x:c r="D410" s="11" t="n">
        <x:v>0</x:v>
      </x:c>
      <x:c r="E410" s="11" t="n">
        <x:v>0</x:v>
      </x:c>
      <x:c r="F410" s="11" t="n">
        <x:v>0</x:v>
      </x:c>
      <x:c r="G410" s="12" t="n">
        <x:v>0</x:v>
      </x:c>
      <x:c r="H410" s="9" t="n">
        <x:v>0</x:v>
      </x:c>
      <x:c r="I410" s="9"/>
      <x:c r="J410" s="13"/>
      <x:c r="K410" s="9" t="str">
        <x:v>Exportado</x:v>
      </x:c>
      <x:c r="L410" s="9" t="str">
        <x:v>F032, F033, F034</x:v>
      </x:c>
    </x:row>
    <x:row r="411" ht="24" customHeight="1">
      <x:c r="A411" s="9" t="str">
        <x:v>C04</x:v>
      </x:c>
      <x:c r="B411" s="9" t="str">
        <x:v>Remarketing Caçarola</x:v>
      </x:c>
      <x:c r="C411" s="10" t="d">
        <x:v>2026-09-29T12:00:00.000Z</x:v>
      </x:c>
      <x:c r="D411" s="11" t="n">
        <x:v>7</x:v>
      </x:c>
      <x:c r="E411" s="11" t="n">
        <x:v>7</x:v>
      </x:c>
      <x:c r="F411" s="11" t="n">
        <x:v>6</x:v>
      </x:c>
      <x:c r="G411" s="12" t="n">
        <x:v>0.07</x:v>
      </x:c>
      <x:c r="H411" s="9" t="n">
        <x:v>0</x:v>
      </x:c>
      <x:c r="I411" s="9"/>
      <x:c r="J411" s="13"/>
      <x:c r="K411" s="9" t="str">
        <x:v>Exportado</x:v>
      </x:c>
      <x:c r="L411" s="9" t="str">
        <x:v>F032, F033, F034</x:v>
      </x:c>
    </x:row>
    <x:row r="412" ht="24" customHeight="1">
      <x:c r="A412" s="9" t="str">
        <x:v>C04</x:v>
      </x:c>
      <x:c r="B412" s="9" t="str">
        <x:v>Remarketing Caçarola</x:v>
      </x:c>
      <x:c r="C412" s="10" t="d">
        <x:v>2026-09-30T12:00:00.000Z</x:v>
      </x:c>
      <x:c r="D412" s="11" t="n">
        <x:v>0</x:v>
      </x:c>
      <x:c r="E412" s="11" t="n">
        <x:v>0</x:v>
      </x:c>
      <x:c r="F412" s="11" t="n">
        <x:v>0</x:v>
      </x:c>
      <x:c r="G412" s="12" t="n">
        <x:v>0</x:v>
      </x:c>
      <x:c r="H412" s="9" t="n">
        <x:v>0</x:v>
      </x:c>
      <x:c r="I412" s="9"/>
      <x:c r="J412" s="13"/>
      <x:c r="K412" s="9" t="str">
        <x:v>Exportado</x:v>
      </x:c>
      <x:c r="L412" s="9" t="str">
        <x:v>F032, F033, F034</x:v>
      </x:c>
    </x:row>
    <x:row r="413" ht="24" customHeight="1">
      <x:c r="A413" s="9" t="str">
        <x:v>C04</x:v>
      </x:c>
      <x:c r="B413" s="9" t="str">
        <x:v>Remarketing Caçarola</x:v>
      </x:c>
      <x:c r="C413" s="10" t="d">
        <x:v>2026-10-01T12:00:00.000Z</x:v>
      </x:c>
      <x:c r="D413" s="11" t="n">
        <x:v>546</x:v>
      </x:c>
      <x:c r="E413" s="11" t="n">
        <x:v>502</x:v>
      </x:c>
      <x:c r="F413" s="11" t="n">
        <x:v>315</x:v>
      </x:c>
      <x:c r="G413" s="12" t="n">
        <x:v>9.81</x:v>
      </x:c>
      <x:c r="H413" s="9" t="n">
        <x:v>0</x:v>
      </x:c>
      <x:c r="I413" s="9"/>
      <x:c r="J413" s="13" t="n">
        <x:v>0</x:v>
      </x:c>
      <x:c r="K413" s="9" t="str">
        <x:v>Exportado</x:v>
      </x:c>
      <x:c r="L413" s="9" t="str">
        <x:v>F032, F033, F034</x:v>
      </x:c>
    </x:row>
    <x:row r="414" ht="24" customHeight="1">
      <x:c r="A414" s="9" t="str">
        <x:v>C04</x:v>
      </x:c>
      <x:c r="B414" s="9" t="str">
        <x:v>Remarketing Caçarola</x:v>
      </x:c>
      <x:c r="C414" s="10" t="d">
        <x:v>2026-10-02T12:00:00.000Z</x:v>
      </x:c>
      <x:c r="D414" s="11" t="n">
        <x:v>829</x:v>
      </x:c>
      <x:c r="E414" s="11" t="n">
        <x:v>822</x:v>
      </x:c>
      <x:c r="F414" s="11" t="n">
        <x:v>654</x:v>
      </x:c>
      <x:c r="G414" s="12" t="n">
        <x:v>10.51</x:v>
      </x:c>
      <x:c r="H414" s="9" t="n">
        <x:v>0</x:v>
      </x:c>
      <x:c r="I414" s="9"/>
      <x:c r="J414" s="13"/>
      <x:c r="K414" s="9" t="str">
        <x:v>Exportado</x:v>
      </x:c>
      <x:c r="L414" s="9" t="str">
        <x:v>F032, F033, F034</x:v>
      </x:c>
    </x:row>
    <x:row r="415" ht="24" customHeight="1">
      <x:c r="A415" s="9" t="str">
        <x:v>C04</x:v>
      </x:c>
      <x:c r="B415" s="9" t="str">
        <x:v>Remarketing Caçarola</x:v>
      </x:c>
      <x:c r="C415" s="10" t="d">
        <x:v>2026-10-03T12:00:00.000Z</x:v>
      </x:c>
      <x:c r="D415" s="11" t="n">
        <x:v>2023</x:v>
      </x:c>
      <x:c r="E415" s="11" t="n">
        <x:v>1577</x:v>
      </x:c>
      <x:c r="F415" s="11" t="n">
        <x:v>474</x:v>
      </x:c>
      <x:c r="G415" s="12" t="n">
        <x:v>10.16</x:v>
      </x:c>
      <x:c r="H415" s="9" t="n">
        <x:v>4</x:v>
      </x:c>
      <x:c r="I415" s="9"/>
      <x:c r="J415" s="13" t="n">
        <x:v>0</x:v>
      </x:c>
      <x:c r="K415" s="9" t="str">
        <x:v>Exportado</x:v>
      </x:c>
      <x:c r="L415" s="9" t="str">
        <x:v>F032, F033, F034</x:v>
      </x:c>
    </x:row>
    <x:row r="416" ht="24" customHeight="1">
      <x:c r="A416" s="9" t="str">
        <x:v>C04</x:v>
      </x:c>
      <x:c r="B416" s="9" t="str">
        <x:v>Remarketing Caçarola</x:v>
      </x:c>
      <x:c r="C416" s="10" t="d">
        <x:v>2026-10-04T12:00:00.000Z</x:v>
      </x:c>
      <x:c r="D416" s="11" t="n">
        <x:v>2320</x:v>
      </x:c>
      <x:c r="E416" s="11" t="n">
        <x:v>1992</x:v>
      </x:c>
      <x:c r="F416" s="11" t="n">
        <x:v>385</x:v>
      </x:c>
      <x:c r="G416" s="12" t="n">
        <x:v>10.17</x:v>
      </x:c>
      <x:c r="H416" s="9" t="n">
        <x:v>10</x:v>
      </x:c>
      <x:c r="I416" s="9"/>
      <x:c r="J416" s="13"/>
      <x:c r="K416" s="9" t="str">
        <x:v>Exportado</x:v>
      </x:c>
      <x:c r="L416" s="9" t="str">
        <x:v>F032, F033, F034</x:v>
      </x:c>
    </x:row>
    <x:row r="417" ht="24" customHeight="1">
      <x:c r="A417" s="9" t="str">
        <x:v>C04</x:v>
      </x:c>
      <x:c r="B417" s="9" t="str">
        <x:v>Remarketing Caçarola</x:v>
      </x:c>
      <x:c r="C417" s="10" t="d">
        <x:v>2026-10-05T12:00:00.000Z</x:v>
      </x:c>
      <x:c r="D417" s="11" t="n">
        <x:v>2153</x:v>
      </x:c>
      <x:c r="E417" s="11" t="n">
        <x:v>1695</x:v>
      </x:c>
      <x:c r="F417" s="11" t="n">
        <x:v>1037</x:v>
      </x:c>
      <x:c r="G417" s="12" t="n">
        <x:v>10.1</x:v>
      </x:c>
      <x:c r="H417" s="9" t="n">
        <x:v>1</x:v>
      </x:c>
      <x:c r="I417" s="9"/>
      <x:c r="J417" s="13" t="n">
        <x:v>0</x:v>
      </x:c>
      <x:c r="K417" s="9" t="str">
        <x:v>Exportado</x:v>
      </x:c>
      <x:c r="L417" s="9" t="str">
        <x:v>F032, F033, F034</x:v>
      </x:c>
    </x:row>
    <x:row r="418" ht="24" customHeight="1">
      <x:c r="A418" s="9" t="str">
        <x:v>C04</x:v>
      </x:c>
      <x:c r="B418" s="9" t="str">
        <x:v>Remarketing Caçarola</x:v>
      </x:c>
      <x:c r="C418" s="10" t="d">
        <x:v>2026-10-06T12:00:00.000Z</x:v>
      </x:c>
      <x:c r="D418" s="11" t="n">
        <x:v>1364</x:v>
      </x:c>
      <x:c r="E418" s="11" t="n">
        <x:v>1185</x:v>
      </x:c>
      <x:c r="F418" s="11" t="n">
        <x:v>447</x:v>
      </x:c>
      <x:c r="G418" s="12" t="n">
        <x:v>5.88</x:v>
      </x:c>
      <x:c r="H418" s="9" t="n">
        <x:v>1</x:v>
      </x:c>
      <x:c r="I418" s="9"/>
      <x:c r="J418" s="13" t="n">
        <x:v>0</x:v>
      </x:c>
      <x:c r="K418" s="9" t="str">
        <x:v>Exportado</x:v>
      </x:c>
      <x:c r="L418" s="9" t="str">
        <x:v>F032, F033, F034</x:v>
      </x:c>
    </x:row>
    <x:row r="419" ht="24" customHeight="1">
      <x:c r="A419" s="9" t="str">
        <x:v>C04</x:v>
      </x:c>
      <x:c r="B419" s="9" t="str">
        <x:v>Remarketing Caçarola</x:v>
      </x:c>
      <x:c r="C419" s="10" t="d">
        <x:v>2026-10-07T12:00:00.000Z</x:v>
      </x:c>
      <x:c r="D419" s="11" t="n">
        <x:v>0</x:v>
      </x:c>
      <x:c r="E419" s="11" t="n">
        <x:v>0</x:v>
      </x:c>
      <x:c r="F419" s="11" t="n">
        <x:v>0</x:v>
      </x:c>
      <x:c r="G419" s="12" t="n">
        <x:v>0</x:v>
      </x:c>
      <x:c r="H419" s="9" t="n">
        <x:v>0</x:v>
      </x:c>
      <x:c r="I419" s="9"/>
      <x:c r="J419" s="13"/>
      <x:c r="K419" s="9" t="str">
        <x:v>Exportado</x:v>
      </x:c>
      <x:c r="L419" s="9" t="str">
        <x:v>F032, F033, F034</x:v>
      </x:c>
    </x:row>
    <x:row r="420" ht="24" customHeight="1">
      <x:c r="A420" s="9" t="str">
        <x:v>C04</x:v>
      </x:c>
      <x:c r="B420" s="9" t="str">
        <x:v>Remarketing Caçarola</x:v>
      </x:c>
      <x:c r="C420" s="10" t="d">
        <x:v>2026-10-08T12:00:00.000Z</x:v>
      </x:c>
      <x:c r="D420" s="11" t="n">
        <x:v>0</x:v>
      </x:c>
      <x:c r="E420" s="11" t="n">
        <x:v>0</x:v>
      </x:c>
      <x:c r="F420" s="11" t="n">
        <x:v>0</x:v>
      </x:c>
      <x:c r="G420" s="12" t="n">
        <x:v>0</x:v>
      </x:c>
      <x:c r="H420" s="9" t="n">
        <x:v>0</x:v>
      </x:c>
      <x:c r="I420" s="9"/>
      <x:c r="J420" s="13"/>
      <x:c r="K420" s="9" t="str">
        <x:v>Exportado</x:v>
      </x:c>
      <x:c r="L420" s="9" t="str">
        <x:v>F032, F033, F034</x:v>
      </x:c>
    </x:row>
    <x:row r="421" ht="24" customHeight="1">
      <x:c r="A421" s="9" t="str">
        <x:v>C04</x:v>
      </x:c>
      <x:c r="B421" s="9" t="str">
        <x:v>Remarketing Caçarola</x:v>
      </x:c>
      <x:c r="C421" s="10" t="d">
        <x:v>2026-10-09T12:00:00.000Z</x:v>
      </x:c>
      <x:c r="D421" s="11" t="n">
        <x:v>0</x:v>
      </x:c>
      <x:c r="E421" s="11" t="n">
        <x:v>0</x:v>
      </x:c>
      <x:c r="F421" s="11" t="n">
        <x:v>0</x:v>
      </x:c>
      <x:c r="G421" s="12" t="n">
        <x:v>0</x:v>
      </x:c>
      <x:c r="H421" s="9" t="n">
        <x:v>0</x:v>
      </x:c>
      <x:c r="I421" s="9"/>
      <x:c r="J421" s="13"/>
      <x:c r="K421" s="9" t="str">
        <x:v>Exportado</x:v>
      </x:c>
      <x:c r="L421" s="9" t="str">
        <x:v>F032, F033, F034</x:v>
      </x:c>
    </x:row>
    <x:row r="422" ht="24" customHeight="1">
      <x:c r="A422" s="9" t="str">
        <x:v>C04</x:v>
      </x:c>
      <x:c r="B422" s="9" t="str">
        <x:v>Remarketing Caçarola</x:v>
      </x:c>
      <x:c r="C422" s="10" t="d">
        <x:v>2026-10-10T12:00:00.000Z</x:v>
      </x:c>
      <x:c r="D422" s="11" t="n">
        <x:v>0</x:v>
      </x:c>
      <x:c r="E422" s="11" t="n">
        <x:v>0</x:v>
      </x:c>
      <x:c r="F422" s="11" t="n">
        <x:v>0</x:v>
      </x:c>
      <x:c r="G422" s="12" t="n">
        <x:v>0</x:v>
      </x:c>
      <x:c r="H422" s="9" t="n">
        <x:v>0</x:v>
      </x:c>
      <x:c r="I422" s="9"/>
      <x:c r="J422" s="13"/>
      <x:c r="K422" s="9" t="str">
        <x:v>Exportado</x:v>
      </x:c>
      <x:c r="L422" s="9" t="str">
        <x:v>F032, F033, F034</x:v>
      </x:c>
    </x:row>
    <x:row r="423" ht="24" customHeight="1">
      <x:c r="A423" s="9" t="str">
        <x:v>C04</x:v>
      </x:c>
      <x:c r="B423" s="9" t="str">
        <x:v>Remarketing Caçarola</x:v>
      </x:c>
      <x:c r="C423" s="10" t="d">
        <x:v>2026-10-11T12:00:00.000Z</x:v>
      </x:c>
      <x:c r="D423" s="11" t="n">
        <x:v>0</x:v>
      </x:c>
      <x:c r="E423" s="11" t="n">
        <x:v>0</x:v>
      </x:c>
      <x:c r="F423" s="11" t="n">
        <x:v>0</x:v>
      </x:c>
      <x:c r="G423" s="12" t="n">
        <x:v>0</x:v>
      </x:c>
      <x:c r="H423" s="9" t="n">
        <x:v>0</x:v>
      </x:c>
      <x:c r="I423" s="9"/>
      <x:c r="J423" s="13"/>
      <x:c r="K423" s="9" t="str">
        <x:v>Exportado</x:v>
      </x:c>
      <x:c r="L423" s="9" t="str">
        <x:v>F032, F033, F034</x:v>
      </x:c>
    </x:row>
    <x:row r="424" ht="24" customHeight="1">
      <x:c r="A424" s="9" t="str">
        <x:v>C04</x:v>
      </x:c>
      <x:c r="B424" s="9" t="str">
        <x:v>Remarketing Caçarola</x:v>
      </x:c>
      <x:c r="C424" s="10" t="d">
        <x:v>2026-10-12T12:00:00.000Z</x:v>
      </x:c>
      <x:c r="D424" s="11" t="n">
        <x:v>0</x:v>
      </x:c>
      <x:c r="E424" s="11" t="n">
        <x:v>0</x:v>
      </x:c>
      <x:c r="F424" s="11" t="n">
        <x:v>0</x:v>
      </x:c>
      <x:c r="G424" s="12" t="n">
        <x:v>0</x:v>
      </x:c>
      <x:c r="H424" s="9" t="n">
        <x:v>0</x:v>
      </x:c>
      <x:c r="I424" s="9"/>
      <x:c r="J424" s="13"/>
      <x:c r="K424" s="9" t="str">
        <x:v>Exportado</x:v>
      </x:c>
      <x:c r="L424" s="9" t="str">
        <x:v>F032, F033, F034</x:v>
      </x:c>
    </x:row>
    <x:row r="425" ht="24" customHeight="1">
      <x:c r="A425" s="9" t="str">
        <x:v>C04</x:v>
      </x:c>
      <x:c r="B425" s="9" t="str">
        <x:v>Remarketing Caçarola</x:v>
      </x:c>
      <x:c r="C425" s="10" t="d">
        <x:v>2026-10-13T12:00:00.000Z</x:v>
      </x:c>
      <x:c r="D425" s="11" t="n">
        <x:v>0</x:v>
      </x:c>
      <x:c r="E425" s="11" t="n">
        <x:v>0</x:v>
      </x:c>
      <x:c r="F425" s="11" t="n">
        <x:v>0</x:v>
      </x:c>
      <x:c r="G425" s="12" t="n">
        <x:v>0</x:v>
      </x:c>
      <x:c r="H425" s="9" t="n">
        <x:v>0</x:v>
      </x:c>
      <x:c r="I425" s="9"/>
      <x:c r="J425" s="13"/>
      <x:c r="K425" s="9" t="str">
        <x:v>Exportado</x:v>
      </x:c>
      <x:c r="L425" s="9" t="str">
        <x:v>F032, F033, F034</x:v>
      </x:c>
    </x:row>
    <x:row r="426" ht="24" customHeight="1">
      <x:c r="A426" s="9" t="str">
        <x:v>C05</x:v>
      </x:c>
      <x:c r="B426" s="9" t="str">
        <x:v>[TRON] - YouTube 01 -  VT 5 Seg - {Reg SC} - 07/10</x:v>
      </x:c>
      <x:c r="C426" s="10" t="d">
        <x:v>2026-07-01T12:00:00.000Z</x:v>
      </x:c>
      <x:c r="D426" s="11"/>
      <x:c r="E426" s="11"/>
      <x:c r="F426" s="11"/>
      <x:c r="G426" s="12"/>
      <x:c r="H426" s="9"/>
      <x:c r="I426" s="9"/>
      <x:c r="J426" s="13"/>
      <x:c r="K426" s="9" t="str">
        <x:v>Sem exportação</x:v>
      </x:c>
      <x:c r="L426" s="9"/>
    </x:row>
    <x:row r="427" ht="24" customHeight="1">
      <x:c r="A427" s="9" t="str">
        <x:v>C05</x:v>
      </x:c>
      <x:c r="B427" s="9" t="str">
        <x:v>[TRON] - YouTube 01 -  VT 5 Seg - {Reg SC} - 07/10</x:v>
      </x:c>
      <x:c r="C427" s="10" t="d">
        <x:v>2026-07-02T12:00:00.000Z</x:v>
      </x:c>
      <x:c r="D427" s="11"/>
      <x:c r="E427" s="11"/>
      <x:c r="F427" s="11"/>
      <x:c r="G427" s="12"/>
      <x:c r="H427" s="9"/>
      <x:c r="I427" s="9"/>
      <x:c r="J427" s="13"/>
      <x:c r="K427" s="9" t="str">
        <x:v>Sem exportação</x:v>
      </x:c>
      <x:c r="L427" s="9"/>
    </x:row>
    <x:row r="428" ht="24" customHeight="1">
      <x:c r="A428" s="9" t="str">
        <x:v>C05</x:v>
      </x:c>
      <x:c r="B428" s="9" t="str">
        <x:v>[TRON] - YouTube 01 -  VT 5 Seg - {Reg SC} - 07/10</x:v>
      </x:c>
      <x:c r="C428" s="10" t="d">
        <x:v>2026-07-03T12:00:00.000Z</x:v>
      </x:c>
      <x:c r="D428" s="11"/>
      <x:c r="E428" s="11"/>
      <x:c r="F428" s="11"/>
      <x:c r="G428" s="12"/>
      <x:c r="H428" s="9"/>
      <x:c r="I428" s="9"/>
      <x:c r="J428" s="13"/>
      <x:c r="K428" s="9" t="str">
        <x:v>Sem exportação</x:v>
      </x:c>
      <x:c r="L428" s="9"/>
    </x:row>
    <x:row r="429" ht="24" customHeight="1">
      <x:c r="A429" s="9" t="str">
        <x:v>C05</x:v>
      </x:c>
      <x:c r="B429" s="9" t="str">
        <x:v>[TRON] - YouTube 01 -  VT 5 Seg - {Reg SC} - 07/10</x:v>
      </x:c>
      <x:c r="C429" s="10" t="d">
        <x:v>2026-07-04T12:00:00.000Z</x:v>
      </x:c>
      <x:c r="D429" s="11"/>
      <x:c r="E429" s="11"/>
      <x:c r="F429" s="11"/>
      <x:c r="G429" s="12"/>
      <x:c r="H429" s="9"/>
      <x:c r="I429" s="9"/>
      <x:c r="J429" s="13"/>
      <x:c r="K429" s="9" t="str">
        <x:v>Sem exportação</x:v>
      </x:c>
      <x:c r="L429" s="9"/>
    </x:row>
    <x:row r="430" ht="24" customHeight="1">
      <x:c r="A430" s="9" t="str">
        <x:v>C05</x:v>
      </x:c>
      <x:c r="B430" s="9" t="str">
        <x:v>[TRON] - YouTube 01 -  VT 5 Seg - {Reg SC} - 07/10</x:v>
      </x:c>
      <x:c r="C430" s="10" t="d">
        <x:v>2026-07-05T12:00:00.000Z</x:v>
      </x:c>
      <x:c r="D430" s="11"/>
      <x:c r="E430" s="11"/>
      <x:c r="F430" s="11"/>
      <x:c r="G430" s="12"/>
      <x:c r="H430" s="9"/>
      <x:c r="I430" s="9"/>
      <x:c r="J430" s="13"/>
      <x:c r="K430" s="9" t="str">
        <x:v>Sem exportação</x:v>
      </x:c>
      <x:c r="L430" s="9"/>
    </x:row>
    <x:row r="431" ht="24" customHeight="1">
      <x:c r="A431" s="9" t="str">
        <x:v>C05</x:v>
      </x:c>
      <x:c r="B431" s="9" t="str">
        <x:v>[TRON] - YouTube 01 -  VT 5 Seg - {Reg SC} - 07/10</x:v>
      </x:c>
      <x:c r="C431" s="10" t="d">
        <x:v>2026-07-06T12:00:00.000Z</x:v>
      </x:c>
      <x:c r="D431" s="11"/>
      <x:c r="E431" s="11"/>
      <x:c r="F431" s="11"/>
      <x:c r="G431" s="12"/>
      <x:c r="H431" s="9"/>
      <x:c r="I431" s="9"/>
      <x:c r="J431" s="13"/>
      <x:c r="K431" s="9" t="str">
        <x:v>Sem exportação</x:v>
      </x:c>
      <x:c r="L431" s="9"/>
    </x:row>
    <x:row r="432" ht="24" customHeight="1">
      <x:c r="A432" s="9" t="str">
        <x:v>C05</x:v>
      </x:c>
      <x:c r="B432" s="9" t="str">
        <x:v>[TRON] - YouTube 01 -  VT 5 Seg - {Reg SC} - 07/10</x:v>
      </x:c>
      <x:c r="C432" s="10" t="d">
        <x:v>2026-07-07T12:00:00.000Z</x:v>
      </x:c>
      <x:c r="D432" s="11"/>
      <x:c r="E432" s="11"/>
      <x:c r="F432" s="11"/>
      <x:c r="G432" s="12"/>
      <x:c r="H432" s="9"/>
      <x:c r="I432" s="9"/>
      <x:c r="J432" s="13"/>
      <x:c r="K432" s="9" t="str">
        <x:v>Sem exportação</x:v>
      </x:c>
      <x:c r="L432" s="9"/>
    </x:row>
    <x:row r="433" ht="24" customHeight="1">
      <x:c r="A433" s="9" t="str">
        <x:v>C05</x:v>
      </x:c>
      <x:c r="B433" s="9" t="str">
        <x:v>[TRON] - YouTube 01 -  VT 5 Seg - {Reg SC} - 07/10</x:v>
      </x:c>
      <x:c r="C433" s="10" t="d">
        <x:v>2026-07-08T12:00:00.000Z</x:v>
      </x:c>
      <x:c r="D433" s="11"/>
      <x:c r="E433" s="11"/>
      <x:c r="F433" s="11"/>
      <x:c r="G433" s="12"/>
      <x:c r="H433" s="9"/>
      <x:c r="I433" s="9"/>
      <x:c r="J433" s="13"/>
      <x:c r="K433" s="9" t="str">
        <x:v>Sem exportação</x:v>
      </x:c>
      <x:c r="L433" s="9"/>
    </x:row>
    <x:row r="434" ht="24" customHeight="1">
      <x:c r="A434" s="9" t="str">
        <x:v>C05</x:v>
      </x:c>
      <x:c r="B434" s="9" t="str">
        <x:v>[TRON] - YouTube 01 -  VT 5 Seg - {Reg SC} - 07/10</x:v>
      </x:c>
      <x:c r="C434" s="10" t="d">
        <x:v>2026-07-09T12:00:00.000Z</x:v>
      </x:c>
      <x:c r="D434" s="11"/>
      <x:c r="E434" s="11"/>
      <x:c r="F434" s="11"/>
      <x:c r="G434" s="12"/>
      <x:c r="H434" s="9"/>
      <x:c r="I434" s="9"/>
      <x:c r="J434" s="13"/>
      <x:c r="K434" s="9" t="str">
        <x:v>Sem exportação</x:v>
      </x:c>
      <x:c r="L434" s="9"/>
    </x:row>
    <x:row r="435" ht="24" customHeight="1">
      <x:c r="A435" s="9" t="str">
        <x:v>C05</x:v>
      </x:c>
      <x:c r="B435" s="9" t="str">
        <x:v>[TRON] - YouTube 01 -  VT 5 Seg - {Reg SC} - 07/10</x:v>
      </x:c>
      <x:c r="C435" s="10" t="d">
        <x:v>2026-07-10T12:00:00.000Z</x:v>
      </x:c>
      <x:c r="D435" s="11"/>
      <x:c r="E435" s="11"/>
      <x:c r="F435" s="11"/>
      <x:c r="G435" s="12"/>
      <x:c r="H435" s="9"/>
      <x:c r="I435" s="9"/>
      <x:c r="J435" s="13"/>
      <x:c r="K435" s="9" t="str">
        <x:v>Sem exportação</x:v>
      </x:c>
      <x:c r="L435" s="9"/>
    </x:row>
    <x:row r="436" ht="24" customHeight="1">
      <x:c r="A436" s="9" t="str">
        <x:v>C05</x:v>
      </x:c>
      <x:c r="B436" s="9" t="str">
        <x:v>[TRON] - YouTube 01 -  VT 5 Seg - {Reg SC} - 07/10</x:v>
      </x:c>
      <x:c r="C436" s="10" t="d">
        <x:v>2026-07-11T12:00:00.000Z</x:v>
      </x:c>
      <x:c r="D436" s="11"/>
      <x:c r="E436" s="11"/>
      <x:c r="F436" s="11"/>
      <x:c r="G436" s="12"/>
      <x:c r="H436" s="9"/>
      <x:c r="I436" s="9"/>
      <x:c r="J436" s="13"/>
      <x:c r="K436" s="9" t="str">
        <x:v>Sem exportação</x:v>
      </x:c>
      <x:c r="L436" s="9"/>
    </x:row>
    <x:row r="437" ht="24" customHeight="1">
      <x:c r="A437" s="9" t="str">
        <x:v>C05</x:v>
      </x:c>
      <x:c r="B437" s="9" t="str">
        <x:v>[TRON] - YouTube 01 -  VT 5 Seg - {Reg SC} - 07/10</x:v>
      </x:c>
      <x:c r="C437" s="10" t="d">
        <x:v>2026-07-12T12:00:00.000Z</x:v>
      </x:c>
      <x:c r="D437" s="11"/>
      <x:c r="E437" s="11"/>
      <x:c r="F437" s="11"/>
      <x:c r="G437" s="12"/>
      <x:c r="H437" s="9"/>
      <x:c r="I437" s="9"/>
      <x:c r="J437" s="13"/>
      <x:c r="K437" s="9" t="str">
        <x:v>Sem exportação</x:v>
      </x:c>
      <x:c r="L437" s="9"/>
    </x:row>
    <x:row r="438" ht="24" customHeight="1">
      <x:c r="A438" s="9" t="str">
        <x:v>C05</x:v>
      </x:c>
      <x:c r="B438" s="9" t="str">
        <x:v>[TRON] - YouTube 01 -  VT 5 Seg - {Reg SC} - 07/10</x:v>
      </x:c>
      <x:c r="C438" s="10" t="d">
        <x:v>2026-07-13T12:00:00.000Z</x:v>
      </x:c>
      <x:c r="D438" s="11"/>
      <x:c r="E438" s="11"/>
      <x:c r="F438" s="11"/>
      <x:c r="G438" s="12"/>
      <x:c r="H438" s="9"/>
      <x:c r="I438" s="9"/>
      <x:c r="J438" s="13"/>
      <x:c r="K438" s="9" t="str">
        <x:v>Sem exportação</x:v>
      </x:c>
      <x:c r="L438" s="9"/>
    </x:row>
    <x:row r="439" ht="24" customHeight="1">
      <x:c r="A439" s="9" t="str">
        <x:v>C05</x:v>
      </x:c>
      <x:c r="B439" s="9" t="str">
        <x:v>[TRON] - YouTube 01 -  VT 5 Seg - {Reg SC} - 07/10</x:v>
      </x:c>
      <x:c r="C439" s="10" t="d">
        <x:v>2026-07-14T12:00:00.000Z</x:v>
      </x:c>
      <x:c r="D439" s="11"/>
      <x:c r="E439" s="11"/>
      <x:c r="F439" s="11"/>
      <x:c r="G439" s="12"/>
      <x:c r="H439" s="9"/>
      <x:c r="I439" s="9"/>
      <x:c r="J439" s="13"/>
      <x:c r="K439" s="9" t="str">
        <x:v>Sem exportação</x:v>
      </x:c>
      <x:c r="L439" s="9"/>
    </x:row>
    <x:row r="440" ht="24" customHeight="1">
      <x:c r="A440" s="9" t="str">
        <x:v>C05</x:v>
      </x:c>
      <x:c r="B440" s="9" t="str">
        <x:v>[TRON] - YouTube 01 -  VT 5 Seg - {Reg SC} - 07/10</x:v>
      </x:c>
      <x:c r="C440" s="10" t="d">
        <x:v>2026-07-15T12:00:00.000Z</x:v>
      </x:c>
      <x:c r="D440" s="11"/>
      <x:c r="E440" s="11"/>
      <x:c r="F440" s="11"/>
      <x:c r="G440" s="12"/>
      <x:c r="H440" s="9"/>
      <x:c r="I440" s="9"/>
      <x:c r="J440" s="13"/>
      <x:c r="K440" s="9" t="str">
        <x:v>Sem exportação</x:v>
      </x:c>
      <x:c r="L440" s="9"/>
    </x:row>
    <x:row r="441" ht="24" customHeight="1">
      <x:c r="A441" s="9" t="str">
        <x:v>C05</x:v>
      </x:c>
      <x:c r="B441" s="9" t="str">
        <x:v>[TRON] - YouTube 01 -  VT 5 Seg - {Reg SC} - 07/10</x:v>
      </x:c>
      <x:c r="C441" s="10" t="d">
        <x:v>2026-07-16T12:00:00.000Z</x:v>
      </x:c>
      <x:c r="D441" s="11"/>
      <x:c r="E441" s="11"/>
      <x:c r="F441" s="11"/>
      <x:c r="G441" s="12"/>
      <x:c r="H441" s="9"/>
      <x:c r="I441" s="9"/>
      <x:c r="J441" s="13"/>
      <x:c r="K441" s="9" t="str">
        <x:v>Sem exportação</x:v>
      </x:c>
      <x:c r="L441" s="9"/>
    </x:row>
    <x:row r="442" ht="24" customHeight="1">
      <x:c r="A442" s="9" t="str">
        <x:v>C05</x:v>
      </x:c>
      <x:c r="B442" s="9" t="str">
        <x:v>[TRON] - YouTube 01 -  VT 5 Seg - {Reg SC} - 07/10</x:v>
      </x:c>
      <x:c r="C442" s="10" t="d">
        <x:v>2026-07-17T12:00:00.000Z</x:v>
      </x:c>
      <x:c r="D442" s="11"/>
      <x:c r="E442" s="11"/>
      <x:c r="F442" s="11"/>
      <x:c r="G442" s="12"/>
      <x:c r="H442" s="9"/>
      <x:c r="I442" s="9"/>
      <x:c r="J442" s="13"/>
      <x:c r="K442" s="9" t="str">
        <x:v>Sem exportação</x:v>
      </x:c>
      <x:c r="L442" s="9"/>
    </x:row>
    <x:row r="443" ht="24" customHeight="1">
      <x:c r="A443" s="9" t="str">
        <x:v>C05</x:v>
      </x:c>
      <x:c r="B443" s="9" t="str">
        <x:v>[TRON] - YouTube 01 -  VT 5 Seg - {Reg SC} - 07/10</x:v>
      </x:c>
      <x:c r="C443" s="10" t="d">
        <x:v>2026-07-18T12:00:00.000Z</x:v>
      </x:c>
      <x:c r="D443" s="11"/>
      <x:c r="E443" s="11"/>
      <x:c r="F443" s="11"/>
      <x:c r="G443" s="12"/>
      <x:c r="H443" s="9"/>
      <x:c r="I443" s="9"/>
      <x:c r="J443" s="13"/>
      <x:c r="K443" s="9" t="str">
        <x:v>Sem exportação</x:v>
      </x:c>
      <x:c r="L443" s="9"/>
    </x:row>
    <x:row r="444" ht="24" customHeight="1">
      <x:c r="A444" s="9" t="str">
        <x:v>C05</x:v>
      </x:c>
      <x:c r="B444" s="9" t="str">
        <x:v>[TRON] - YouTube 01 -  VT 5 Seg - {Reg SC} - 07/10</x:v>
      </x:c>
      <x:c r="C444" s="10" t="d">
        <x:v>2026-07-19T12:00:00.000Z</x:v>
      </x:c>
      <x:c r="D444" s="11"/>
      <x:c r="E444" s="11"/>
      <x:c r="F444" s="11"/>
      <x:c r="G444" s="12"/>
      <x:c r="H444" s="9"/>
      <x:c r="I444" s="9"/>
      <x:c r="J444" s="13"/>
      <x:c r="K444" s="9" t="str">
        <x:v>Sem exportação</x:v>
      </x:c>
      <x:c r="L444" s="9"/>
    </x:row>
    <x:row r="445" ht="24" customHeight="1">
      <x:c r="A445" s="9" t="str">
        <x:v>C05</x:v>
      </x:c>
      <x:c r="B445" s="9" t="str">
        <x:v>[TRON] - YouTube 01 -  VT 5 Seg - {Reg SC} - 07/10</x:v>
      </x:c>
      <x:c r="C445" s="10" t="d">
        <x:v>2026-07-20T12:00:00.000Z</x:v>
      </x:c>
      <x:c r="D445" s="11"/>
      <x:c r="E445" s="11"/>
      <x:c r="F445" s="11"/>
      <x:c r="G445" s="12"/>
      <x:c r="H445" s="9"/>
      <x:c r="I445" s="9"/>
      <x:c r="J445" s="13"/>
      <x:c r="K445" s="9" t="str">
        <x:v>Sem exportação</x:v>
      </x:c>
      <x:c r="L445" s="9"/>
    </x:row>
    <x:row r="446" ht="24" customHeight="1">
      <x:c r="A446" s="9" t="str">
        <x:v>C05</x:v>
      </x:c>
      <x:c r="B446" s="9" t="str">
        <x:v>[TRON] - YouTube 01 -  VT 5 Seg - {Reg SC} - 07/10</x:v>
      </x:c>
      <x:c r="C446" s="10" t="d">
        <x:v>2026-07-21T12:00:00.000Z</x:v>
      </x:c>
      <x:c r="D446" s="11"/>
      <x:c r="E446" s="11"/>
      <x:c r="F446" s="11"/>
      <x:c r="G446" s="12"/>
      <x:c r="H446" s="9"/>
      <x:c r="I446" s="9"/>
      <x:c r="J446" s="13"/>
      <x:c r="K446" s="9" t="str">
        <x:v>Sem exportação</x:v>
      </x:c>
      <x:c r="L446" s="9"/>
    </x:row>
    <x:row r="447" ht="24" customHeight="1">
      <x:c r="A447" s="9" t="str">
        <x:v>C05</x:v>
      </x:c>
      <x:c r="B447" s="9" t="str">
        <x:v>[TRON] - YouTube 01 -  VT 5 Seg - {Reg SC} - 07/10</x:v>
      </x:c>
      <x:c r="C447" s="10" t="d">
        <x:v>2026-07-22T12:00:00.000Z</x:v>
      </x:c>
      <x:c r="D447" s="11"/>
      <x:c r="E447" s="11"/>
      <x:c r="F447" s="11"/>
      <x:c r="G447" s="12"/>
      <x:c r="H447" s="9"/>
      <x:c r="I447" s="9"/>
      <x:c r="J447" s="13"/>
      <x:c r="K447" s="9" t="str">
        <x:v>Sem exportação</x:v>
      </x:c>
      <x:c r="L447" s="9"/>
    </x:row>
    <x:row r="448" ht="24" customHeight="1">
      <x:c r="A448" s="9" t="str">
        <x:v>C05</x:v>
      </x:c>
      <x:c r="B448" s="9" t="str">
        <x:v>[TRON] - YouTube 01 -  VT 5 Seg - {Reg SC} - 07/10</x:v>
      </x:c>
      <x:c r="C448" s="10" t="d">
        <x:v>2026-07-23T12:00:00.000Z</x:v>
      </x:c>
      <x:c r="D448" s="11"/>
      <x:c r="E448" s="11"/>
      <x:c r="F448" s="11"/>
      <x:c r="G448" s="12"/>
      <x:c r="H448" s="9"/>
      <x:c r="I448" s="9"/>
      <x:c r="J448" s="13"/>
      <x:c r="K448" s="9" t="str">
        <x:v>Sem exportação</x:v>
      </x:c>
      <x:c r="L448" s="9"/>
    </x:row>
    <x:row r="449" ht="24" customHeight="1">
      <x:c r="A449" s="9" t="str">
        <x:v>C05</x:v>
      </x:c>
      <x:c r="B449" s="9" t="str">
        <x:v>[TRON] - YouTube 01 -  VT 5 Seg - {Reg SC} - 07/10</x:v>
      </x:c>
      <x:c r="C449" s="10" t="d">
        <x:v>2026-07-24T12:00:00.000Z</x:v>
      </x:c>
      <x:c r="D449" s="11"/>
      <x:c r="E449" s="11"/>
      <x:c r="F449" s="11"/>
      <x:c r="G449" s="12"/>
      <x:c r="H449" s="9"/>
      <x:c r="I449" s="9"/>
      <x:c r="J449" s="13"/>
      <x:c r="K449" s="9" t="str">
        <x:v>Sem exportação</x:v>
      </x:c>
      <x:c r="L449" s="9"/>
    </x:row>
    <x:row r="450" ht="24" customHeight="1">
      <x:c r="A450" s="9" t="str">
        <x:v>C05</x:v>
      </x:c>
      <x:c r="B450" s="9" t="str">
        <x:v>[TRON] - YouTube 01 -  VT 5 Seg - {Reg SC} - 07/10</x:v>
      </x:c>
      <x:c r="C450" s="10" t="d">
        <x:v>2026-07-25T12:00:00.000Z</x:v>
      </x:c>
      <x:c r="D450" s="11"/>
      <x:c r="E450" s="11"/>
      <x:c r="F450" s="11"/>
      <x:c r="G450" s="12"/>
      <x:c r="H450" s="9"/>
      <x:c r="I450" s="9"/>
      <x:c r="J450" s="13"/>
      <x:c r="K450" s="9" t="str">
        <x:v>Sem exportação</x:v>
      </x:c>
      <x:c r="L450" s="9"/>
    </x:row>
    <x:row r="451" ht="24" customHeight="1">
      <x:c r="A451" s="9" t="str">
        <x:v>C05</x:v>
      </x:c>
      <x:c r="B451" s="9" t="str">
        <x:v>[TRON] - YouTube 01 -  VT 5 Seg - {Reg SC} - 07/10</x:v>
      </x:c>
      <x:c r="C451" s="10" t="d">
        <x:v>2026-07-26T12:00:00.000Z</x:v>
      </x:c>
      <x:c r="D451" s="11"/>
      <x:c r="E451" s="11"/>
      <x:c r="F451" s="11"/>
      <x:c r="G451" s="12"/>
      <x:c r="H451" s="9"/>
      <x:c r="I451" s="9"/>
      <x:c r="J451" s="13"/>
      <x:c r="K451" s="9" t="str">
        <x:v>Sem exportação</x:v>
      </x:c>
      <x:c r="L451" s="9"/>
    </x:row>
    <x:row r="452" ht="24" customHeight="1">
      <x:c r="A452" s="9" t="str">
        <x:v>C05</x:v>
      </x:c>
      <x:c r="B452" s="9" t="str">
        <x:v>[TRON] - YouTube 01 -  VT 5 Seg - {Reg SC} - 07/10</x:v>
      </x:c>
      <x:c r="C452" s="10" t="d">
        <x:v>2026-07-27T12:00:00.000Z</x:v>
      </x:c>
      <x:c r="D452" s="11"/>
      <x:c r="E452" s="11"/>
      <x:c r="F452" s="11"/>
      <x:c r="G452" s="12"/>
      <x:c r="H452" s="9"/>
      <x:c r="I452" s="9"/>
      <x:c r="J452" s="13"/>
      <x:c r="K452" s="9" t="str">
        <x:v>Sem exportação</x:v>
      </x:c>
      <x:c r="L452" s="9"/>
    </x:row>
    <x:row r="453" ht="24" customHeight="1">
      <x:c r="A453" s="9" t="str">
        <x:v>C05</x:v>
      </x:c>
      <x:c r="B453" s="9" t="str">
        <x:v>[TRON] - YouTube 01 -  VT 5 Seg - {Reg SC} - 07/10</x:v>
      </x:c>
      <x:c r="C453" s="10" t="d">
        <x:v>2026-07-28T12:00:00.000Z</x:v>
      </x:c>
      <x:c r="D453" s="11"/>
      <x:c r="E453" s="11"/>
      <x:c r="F453" s="11"/>
      <x:c r="G453" s="12"/>
      <x:c r="H453" s="9"/>
      <x:c r="I453" s="9"/>
      <x:c r="J453" s="13"/>
      <x:c r="K453" s="9" t="str">
        <x:v>Sem exportação</x:v>
      </x:c>
      <x:c r="L453" s="9"/>
    </x:row>
    <x:row r="454" ht="24" customHeight="1">
      <x:c r="A454" s="9" t="str">
        <x:v>C05</x:v>
      </x:c>
      <x:c r="B454" s="9" t="str">
        <x:v>[TRON] - YouTube 01 -  VT 5 Seg - {Reg SC} - 07/10</x:v>
      </x:c>
      <x:c r="C454" s="10" t="d">
        <x:v>2026-07-29T12:00:00.000Z</x:v>
      </x:c>
      <x:c r="D454" s="11"/>
      <x:c r="E454" s="11"/>
      <x:c r="F454" s="11"/>
      <x:c r="G454" s="12"/>
      <x:c r="H454" s="9"/>
      <x:c r="I454" s="9"/>
      <x:c r="J454" s="13"/>
      <x:c r="K454" s="9" t="str">
        <x:v>Sem exportação</x:v>
      </x:c>
      <x:c r="L454" s="9"/>
    </x:row>
    <x:row r="455" ht="24" customHeight="1">
      <x:c r="A455" s="9" t="str">
        <x:v>C05</x:v>
      </x:c>
      <x:c r="B455" s="9" t="str">
        <x:v>[TRON] - YouTube 01 -  VT 5 Seg - {Reg SC} - 07/10</x:v>
      </x:c>
      <x:c r="C455" s="10" t="d">
        <x:v>2026-07-30T12:00:00.000Z</x:v>
      </x:c>
      <x:c r="D455" s="11"/>
      <x:c r="E455" s="11"/>
      <x:c r="F455" s="11"/>
      <x:c r="G455" s="12"/>
      <x:c r="H455" s="9"/>
      <x:c r="I455" s="9"/>
      <x:c r="J455" s="13"/>
      <x:c r="K455" s="9" t="str">
        <x:v>Sem exportação</x:v>
      </x:c>
      <x:c r="L455" s="9"/>
    </x:row>
    <x:row r="456" ht="24" customHeight="1">
      <x:c r="A456" s="9" t="str">
        <x:v>C05</x:v>
      </x:c>
      <x:c r="B456" s="9" t="str">
        <x:v>[TRON] - YouTube 01 -  VT 5 Seg - {Reg SC} - 07/10</x:v>
      </x:c>
      <x:c r="C456" s="10" t="d">
        <x:v>2026-07-31T12:00:00.000Z</x:v>
      </x:c>
      <x:c r="D456" s="11"/>
      <x:c r="E456" s="11"/>
      <x:c r="F456" s="11"/>
      <x:c r="G456" s="12"/>
      <x:c r="H456" s="9"/>
      <x:c r="I456" s="9"/>
      <x:c r="J456" s="13"/>
      <x:c r="K456" s="9" t="str">
        <x:v>Sem exportação</x:v>
      </x:c>
      <x:c r="L456" s="9"/>
    </x:row>
    <x:row r="457" ht="24" customHeight="1">
      <x:c r="A457" s="9" t="str">
        <x:v>C05</x:v>
      </x:c>
      <x:c r="B457" s="9" t="str">
        <x:v>[TRON] - YouTube 01 -  VT 5 Seg - {Reg SC} - 07/10</x:v>
      </x:c>
      <x:c r="C457" s="10" t="d">
        <x:v>2026-08-01T12:00:00.000Z</x:v>
      </x:c>
      <x:c r="D457" s="11"/>
      <x:c r="E457" s="11"/>
      <x:c r="F457" s="11"/>
      <x:c r="G457" s="12"/>
      <x:c r="H457" s="9"/>
      <x:c r="I457" s="9"/>
      <x:c r="J457" s="13"/>
      <x:c r="K457" s="9" t="str">
        <x:v>Sem exportação</x:v>
      </x:c>
      <x:c r="L457" s="9"/>
    </x:row>
    <x:row r="458" ht="24" customHeight="1">
      <x:c r="A458" s="9" t="str">
        <x:v>C05</x:v>
      </x:c>
      <x:c r="B458" s="9" t="str">
        <x:v>[TRON] - YouTube 01 -  VT 5 Seg - {Reg SC} - 07/10</x:v>
      </x:c>
      <x:c r="C458" s="10" t="d">
        <x:v>2026-08-02T12:00:00.000Z</x:v>
      </x:c>
      <x:c r="D458" s="11"/>
      <x:c r="E458" s="11"/>
      <x:c r="F458" s="11"/>
      <x:c r="G458" s="12"/>
      <x:c r="H458" s="9"/>
      <x:c r="I458" s="9"/>
      <x:c r="J458" s="13"/>
      <x:c r="K458" s="9" t="str">
        <x:v>Sem exportação</x:v>
      </x:c>
      <x:c r="L458" s="9"/>
    </x:row>
    <x:row r="459" ht="24" customHeight="1">
      <x:c r="A459" s="9" t="str">
        <x:v>C05</x:v>
      </x:c>
      <x:c r="B459" s="9" t="str">
        <x:v>[TRON] - YouTube 01 -  VT 5 Seg - {Reg SC} - 07/10</x:v>
      </x:c>
      <x:c r="C459" s="10" t="d">
        <x:v>2026-08-03T12:00:00.000Z</x:v>
      </x:c>
      <x:c r="D459" s="11"/>
      <x:c r="E459" s="11"/>
      <x:c r="F459" s="11"/>
      <x:c r="G459" s="12"/>
      <x:c r="H459" s="9"/>
      <x:c r="I459" s="9"/>
      <x:c r="J459" s="13"/>
      <x:c r="K459" s="9" t="str">
        <x:v>Sem exportação</x:v>
      </x:c>
      <x:c r="L459" s="9"/>
    </x:row>
    <x:row r="460" ht="24" customHeight="1">
      <x:c r="A460" s="9" t="str">
        <x:v>C05</x:v>
      </x:c>
      <x:c r="B460" s="9" t="str">
        <x:v>[TRON] - YouTube 01 -  VT 5 Seg - {Reg SC} - 07/10</x:v>
      </x:c>
      <x:c r="C460" s="10" t="d">
        <x:v>2026-08-04T12:00:00.000Z</x:v>
      </x:c>
      <x:c r="D460" s="11"/>
      <x:c r="E460" s="11"/>
      <x:c r="F460" s="11"/>
      <x:c r="G460" s="12"/>
      <x:c r="H460" s="9"/>
      <x:c r="I460" s="9"/>
      <x:c r="J460" s="13"/>
      <x:c r="K460" s="9" t="str">
        <x:v>Sem exportação</x:v>
      </x:c>
      <x:c r="L460" s="9"/>
    </x:row>
    <x:row r="461" ht="24" customHeight="1">
      <x:c r="A461" s="9" t="str">
        <x:v>C05</x:v>
      </x:c>
      <x:c r="B461" s="9" t="str">
        <x:v>[TRON] - YouTube 01 -  VT 5 Seg - {Reg SC} - 07/10</x:v>
      </x:c>
      <x:c r="C461" s="10" t="d">
        <x:v>2026-08-05T12:00:00.000Z</x:v>
      </x:c>
      <x:c r="D461" s="11"/>
      <x:c r="E461" s="11"/>
      <x:c r="F461" s="11"/>
      <x:c r="G461" s="12"/>
      <x:c r="H461" s="9"/>
      <x:c r="I461" s="9"/>
      <x:c r="J461" s="13"/>
      <x:c r="K461" s="9" t="str">
        <x:v>Sem exportação</x:v>
      </x:c>
      <x:c r="L461" s="9"/>
    </x:row>
    <x:row r="462" ht="24" customHeight="1">
      <x:c r="A462" s="9" t="str">
        <x:v>C05</x:v>
      </x:c>
      <x:c r="B462" s="9" t="str">
        <x:v>[TRON] - YouTube 01 -  VT 5 Seg - {Reg SC} - 07/10</x:v>
      </x:c>
      <x:c r="C462" s="10" t="d">
        <x:v>2026-08-06T12:00:00.000Z</x:v>
      </x:c>
      <x:c r="D462" s="11"/>
      <x:c r="E462" s="11"/>
      <x:c r="F462" s="11"/>
      <x:c r="G462" s="12"/>
      <x:c r="H462" s="9"/>
      <x:c r="I462" s="9"/>
      <x:c r="J462" s="13"/>
      <x:c r="K462" s="9" t="str">
        <x:v>Sem exportação</x:v>
      </x:c>
      <x:c r="L462" s="9"/>
    </x:row>
    <x:row r="463" ht="24" customHeight="1">
      <x:c r="A463" s="9" t="str">
        <x:v>C05</x:v>
      </x:c>
      <x:c r="B463" s="9" t="str">
        <x:v>[TRON] - YouTube 01 -  VT 5 Seg - {Reg SC} - 07/10</x:v>
      </x:c>
      <x:c r="C463" s="10" t="d">
        <x:v>2026-08-07T12:00:00.000Z</x:v>
      </x:c>
      <x:c r="D463" s="11"/>
      <x:c r="E463" s="11"/>
      <x:c r="F463" s="11"/>
      <x:c r="G463" s="12"/>
      <x:c r="H463" s="9"/>
      <x:c r="I463" s="9"/>
      <x:c r="J463" s="13"/>
      <x:c r="K463" s="9" t="str">
        <x:v>Sem exportação</x:v>
      </x:c>
      <x:c r="L463" s="9"/>
    </x:row>
    <x:row r="464" ht="24" customHeight="1">
      <x:c r="A464" s="9" t="str">
        <x:v>C05</x:v>
      </x:c>
      <x:c r="B464" s="9" t="str">
        <x:v>[TRON] - YouTube 01 -  VT 5 Seg - {Reg SC} - 07/10</x:v>
      </x:c>
      <x:c r="C464" s="10" t="d">
        <x:v>2026-08-08T12:00:00.000Z</x:v>
      </x:c>
      <x:c r="D464" s="11"/>
      <x:c r="E464" s="11"/>
      <x:c r="F464" s="11"/>
      <x:c r="G464" s="12"/>
      <x:c r="H464" s="9"/>
      <x:c r="I464" s="9"/>
      <x:c r="J464" s="13"/>
      <x:c r="K464" s="9" t="str">
        <x:v>Sem exportação</x:v>
      </x:c>
      <x:c r="L464" s="9"/>
    </x:row>
    <x:row r="465" ht="24" customHeight="1">
      <x:c r="A465" s="9" t="str">
        <x:v>C05</x:v>
      </x:c>
      <x:c r="B465" s="9" t="str">
        <x:v>[TRON] - YouTube 01 -  VT 5 Seg - {Reg SC} - 07/10</x:v>
      </x:c>
      <x:c r="C465" s="10" t="d">
        <x:v>2026-08-09T12:00:00.000Z</x:v>
      </x:c>
      <x:c r="D465" s="11"/>
      <x:c r="E465" s="11"/>
      <x:c r="F465" s="11"/>
      <x:c r="G465" s="12"/>
      <x:c r="H465" s="9"/>
      <x:c r="I465" s="9"/>
      <x:c r="J465" s="13"/>
      <x:c r="K465" s="9" t="str">
        <x:v>Sem exportação</x:v>
      </x:c>
      <x:c r="L465" s="9"/>
    </x:row>
    <x:row r="466" ht="24" customHeight="1">
      <x:c r="A466" s="9" t="str">
        <x:v>C05</x:v>
      </x:c>
      <x:c r="B466" s="9" t="str">
        <x:v>[TRON] - YouTube 01 -  VT 5 Seg - {Reg SC} - 07/10</x:v>
      </x:c>
      <x:c r="C466" s="10" t="d">
        <x:v>2026-08-10T12:00:00.000Z</x:v>
      </x:c>
      <x:c r="D466" s="11"/>
      <x:c r="E466" s="11"/>
      <x:c r="F466" s="11"/>
      <x:c r="G466" s="12"/>
      <x:c r="H466" s="9"/>
      <x:c r="I466" s="9"/>
      <x:c r="J466" s="13"/>
      <x:c r="K466" s="9" t="str">
        <x:v>Sem exportação</x:v>
      </x:c>
      <x:c r="L466" s="9"/>
    </x:row>
    <x:row r="467" ht="24" customHeight="1">
      <x:c r="A467" s="9" t="str">
        <x:v>C05</x:v>
      </x:c>
      <x:c r="B467" s="9" t="str">
        <x:v>[TRON] - YouTube 01 -  VT 5 Seg - {Reg SC} - 07/10</x:v>
      </x:c>
      <x:c r="C467" s="10" t="d">
        <x:v>2026-08-11T12:00:00.000Z</x:v>
      </x:c>
      <x:c r="D467" s="11"/>
      <x:c r="E467" s="11"/>
      <x:c r="F467" s="11"/>
      <x:c r="G467" s="12"/>
      <x:c r="H467" s="9"/>
      <x:c r="I467" s="9"/>
      <x:c r="J467" s="13"/>
      <x:c r="K467" s="9" t="str">
        <x:v>Sem exportação</x:v>
      </x:c>
      <x:c r="L467" s="9"/>
    </x:row>
    <x:row r="468" ht="24" customHeight="1">
      <x:c r="A468" s="9" t="str">
        <x:v>C05</x:v>
      </x:c>
      <x:c r="B468" s="9" t="str">
        <x:v>[TRON] - YouTube 01 -  VT 5 Seg - {Reg SC} - 07/10</x:v>
      </x:c>
      <x:c r="C468" s="10" t="d">
        <x:v>2026-08-12T12:00:00.000Z</x:v>
      </x:c>
      <x:c r="D468" s="11"/>
      <x:c r="E468" s="11"/>
      <x:c r="F468" s="11"/>
      <x:c r="G468" s="12"/>
      <x:c r="H468" s="9"/>
      <x:c r="I468" s="9"/>
      <x:c r="J468" s="13"/>
      <x:c r="K468" s="9" t="str">
        <x:v>Sem exportação</x:v>
      </x:c>
      <x:c r="L468" s="9"/>
    </x:row>
    <x:row r="469" ht="24" customHeight="1">
      <x:c r="A469" s="9" t="str">
        <x:v>C05</x:v>
      </x:c>
      <x:c r="B469" s="9" t="str">
        <x:v>[TRON] - YouTube 01 -  VT 5 Seg - {Reg SC} - 07/10</x:v>
      </x:c>
      <x:c r="C469" s="10" t="d">
        <x:v>2026-08-13T12:00:00.000Z</x:v>
      </x:c>
      <x:c r="D469" s="11"/>
      <x:c r="E469" s="11"/>
      <x:c r="F469" s="11"/>
      <x:c r="G469" s="12"/>
      <x:c r="H469" s="9"/>
      <x:c r="I469" s="9"/>
      <x:c r="J469" s="13"/>
      <x:c r="K469" s="9" t="str">
        <x:v>Sem exportação</x:v>
      </x:c>
      <x:c r="L469" s="9"/>
    </x:row>
    <x:row r="470" ht="24" customHeight="1">
      <x:c r="A470" s="9" t="str">
        <x:v>C05</x:v>
      </x:c>
      <x:c r="B470" s="9" t="str">
        <x:v>[TRON] - YouTube 01 -  VT 5 Seg - {Reg SC} - 07/10</x:v>
      </x:c>
      <x:c r="C470" s="10" t="d">
        <x:v>2026-08-14T12:00:00.000Z</x:v>
      </x:c>
      <x:c r="D470" s="11"/>
      <x:c r="E470" s="11"/>
      <x:c r="F470" s="11"/>
      <x:c r="G470" s="12"/>
      <x:c r="H470" s="9"/>
      <x:c r="I470" s="9"/>
      <x:c r="J470" s="13"/>
      <x:c r="K470" s="9" t="str">
        <x:v>Sem exportação</x:v>
      </x:c>
      <x:c r="L470" s="9"/>
    </x:row>
    <x:row r="471" ht="24" customHeight="1">
      <x:c r="A471" s="9" t="str">
        <x:v>C05</x:v>
      </x:c>
      <x:c r="B471" s="9" t="str">
        <x:v>[TRON] - YouTube 01 -  VT 5 Seg - {Reg SC} - 07/10</x:v>
      </x:c>
      <x:c r="C471" s="10" t="d">
        <x:v>2026-08-15T12:00:00.000Z</x:v>
      </x:c>
      <x:c r="D471" s="11"/>
      <x:c r="E471" s="11"/>
      <x:c r="F471" s="11"/>
      <x:c r="G471" s="12"/>
      <x:c r="H471" s="9"/>
      <x:c r="I471" s="9"/>
      <x:c r="J471" s="13"/>
      <x:c r="K471" s="9" t="str">
        <x:v>Sem exportação</x:v>
      </x:c>
      <x:c r="L471" s="9"/>
    </x:row>
    <x:row r="472" ht="24" customHeight="1">
      <x:c r="A472" s="9" t="str">
        <x:v>C05</x:v>
      </x:c>
      <x:c r="B472" s="9" t="str">
        <x:v>[TRON] - YouTube 01 -  VT 5 Seg - {Reg SC} - 07/10</x:v>
      </x:c>
      <x:c r="C472" s="10" t="d">
        <x:v>2026-08-16T12:00:00.000Z</x:v>
      </x:c>
      <x:c r="D472" s="11"/>
      <x:c r="E472" s="11"/>
      <x:c r="F472" s="11"/>
      <x:c r="G472" s="12"/>
      <x:c r="H472" s="9"/>
      <x:c r="I472" s="9"/>
      <x:c r="J472" s="13"/>
      <x:c r="K472" s="9" t="str">
        <x:v>Sem exportação</x:v>
      </x:c>
      <x:c r="L472" s="9"/>
    </x:row>
    <x:row r="473" ht="24" customHeight="1">
      <x:c r="A473" s="9" t="str">
        <x:v>C05</x:v>
      </x:c>
      <x:c r="B473" s="9" t="str">
        <x:v>[TRON] - YouTube 01 -  VT 5 Seg - {Reg SC} - 07/10</x:v>
      </x:c>
      <x:c r="C473" s="10" t="d">
        <x:v>2026-08-17T12:00:00.000Z</x:v>
      </x:c>
      <x:c r="D473" s="11"/>
      <x:c r="E473" s="11"/>
      <x:c r="F473" s="11"/>
      <x:c r="G473" s="12"/>
      <x:c r="H473" s="9"/>
      <x:c r="I473" s="9"/>
      <x:c r="J473" s="13"/>
      <x:c r="K473" s="9" t="str">
        <x:v>Sem exportação</x:v>
      </x:c>
      <x:c r="L473" s="9"/>
    </x:row>
    <x:row r="474" ht="24" customHeight="1">
      <x:c r="A474" s="9" t="str">
        <x:v>C05</x:v>
      </x:c>
      <x:c r="B474" s="9" t="str">
        <x:v>[TRON] - YouTube 01 -  VT 5 Seg - {Reg SC} - 07/10</x:v>
      </x:c>
      <x:c r="C474" s="10" t="d">
        <x:v>2026-08-18T12:00:00.000Z</x:v>
      </x:c>
      <x:c r="D474" s="11"/>
      <x:c r="E474" s="11"/>
      <x:c r="F474" s="11"/>
      <x:c r="G474" s="12"/>
      <x:c r="H474" s="9"/>
      <x:c r="I474" s="9"/>
      <x:c r="J474" s="13"/>
      <x:c r="K474" s="9" t="str">
        <x:v>Sem exportação</x:v>
      </x:c>
      <x:c r="L474" s="9"/>
    </x:row>
    <x:row r="475" ht="24" customHeight="1">
      <x:c r="A475" s="9" t="str">
        <x:v>C05</x:v>
      </x:c>
      <x:c r="B475" s="9" t="str">
        <x:v>[TRON] - YouTube 01 -  VT 5 Seg - {Reg SC} - 07/10</x:v>
      </x:c>
      <x:c r="C475" s="10" t="d">
        <x:v>2026-08-19T12:00:00.000Z</x:v>
      </x:c>
      <x:c r="D475" s="11"/>
      <x:c r="E475" s="11"/>
      <x:c r="F475" s="11"/>
      <x:c r="G475" s="12"/>
      <x:c r="H475" s="9"/>
      <x:c r="I475" s="9"/>
      <x:c r="J475" s="13"/>
      <x:c r="K475" s="9" t="str">
        <x:v>Sem exportação</x:v>
      </x:c>
      <x:c r="L475" s="9"/>
    </x:row>
    <x:row r="476" ht="24" customHeight="1">
      <x:c r="A476" s="9" t="str">
        <x:v>C05</x:v>
      </x:c>
      <x:c r="B476" s="9" t="str">
        <x:v>[TRON] - YouTube 01 -  VT 5 Seg - {Reg SC} - 07/10</x:v>
      </x:c>
      <x:c r="C476" s="10" t="d">
        <x:v>2026-08-20T12:00:00.000Z</x:v>
      </x:c>
      <x:c r="D476" s="11"/>
      <x:c r="E476" s="11"/>
      <x:c r="F476" s="11"/>
      <x:c r="G476" s="12"/>
      <x:c r="H476" s="9"/>
      <x:c r="I476" s="9"/>
      <x:c r="J476" s="13"/>
      <x:c r="K476" s="9" t="str">
        <x:v>Sem exportação</x:v>
      </x:c>
      <x:c r="L476" s="9"/>
    </x:row>
    <x:row r="477" ht="24" customHeight="1">
      <x:c r="A477" s="9" t="str">
        <x:v>C05</x:v>
      </x:c>
      <x:c r="B477" s="9" t="str">
        <x:v>[TRON] - YouTube 01 -  VT 5 Seg - {Reg SC} - 07/10</x:v>
      </x:c>
      <x:c r="C477" s="10" t="d">
        <x:v>2026-08-21T12:00:00.000Z</x:v>
      </x:c>
      <x:c r="D477" s="11"/>
      <x:c r="E477" s="11"/>
      <x:c r="F477" s="11"/>
      <x:c r="G477" s="12"/>
      <x:c r="H477" s="9"/>
      <x:c r="I477" s="9"/>
      <x:c r="J477" s="13"/>
      <x:c r="K477" s="9" t="str">
        <x:v>Sem exportação</x:v>
      </x:c>
      <x:c r="L477" s="9"/>
    </x:row>
    <x:row r="478" ht="24" customHeight="1">
      <x:c r="A478" s="9" t="str">
        <x:v>C05</x:v>
      </x:c>
      <x:c r="B478" s="9" t="str">
        <x:v>[TRON] - YouTube 01 -  VT 5 Seg - {Reg SC} - 07/10</x:v>
      </x:c>
      <x:c r="C478" s="10" t="d">
        <x:v>2026-08-22T12:00:00.000Z</x:v>
      </x:c>
      <x:c r="D478" s="11"/>
      <x:c r="E478" s="11"/>
      <x:c r="F478" s="11"/>
      <x:c r="G478" s="12"/>
      <x:c r="H478" s="9"/>
      <x:c r="I478" s="9"/>
      <x:c r="J478" s="13"/>
      <x:c r="K478" s="9" t="str">
        <x:v>Sem exportação</x:v>
      </x:c>
      <x:c r="L478" s="9"/>
    </x:row>
    <x:row r="479" ht="24" customHeight="1">
      <x:c r="A479" s="9" t="str">
        <x:v>C05</x:v>
      </x:c>
      <x:c r="B479" s="9" t="str">
        <x:v>[TRON] - YouTube 01 -  VT 5 Seg - {Reg SC} - 07/10</x:v>
      </x:c>
      <x:c r="C479" s="10" t="d">
        <x:v>2026-08-23T12:00:00.000Z</x:v>
      </x:c>
      <x:c r="D479" s="11"/>
      <x:c r="E479" s="11"/>
      <x:c r="F479" s="11"/>
      <x:c r="G479" s="12"/>
      <x:c r="H479" s="9"/>
      <x:c r="I479" s="9"/>
      <x:c r="J479" s="13"/>
      <x:c r="K479" s="9" t="str">
        <x:v>Sem exportação</x:v>
      </x:c>
      <x:c r="L479" s="9"/>
    </x:row>
    <x:row r="480" ht="24" customHeight="1">
      <x:c r="A480" s="9" t="str">
        <x:v>C05</x:v>
      </x:c>
      <x:c r="B480" s="9" t="str">
        <x:v>[TRON] - YouTube 01 -  VT 5 Seg - {Reg SC} - 07/10</x:v>
      </x:c>
      <x:c r="C480" s="10" t="d">
        <x:v>2026-08-24T12:00:00.000Z</x:v>
      </x:c>
      <x:c r="D480" s="11"/>
      <x:c r="E480" s="11"/>
      <x:c r="F480" s="11"/>
      <x:c r="G480" s="12"/>
      <x:c r="H480" s="9"/>
      <x:c r="I480" s="9"/>
      <x:c r="J480" s="13"/>
      <x:c r="K480" s="9" t="str">
        <x:v>Sem exportação</x:v>
      </x:c>
      <x:c r="L480" s="9"/>
    </x:row>
    <x:row r="481" ht="24" customHeight="1">
      <x:c r="A481" s="9" t="str">
        <x:v>C05</x:v>
      </x:c>
      <x:c r="B481" s="9" t="str">
        <x:v>[TRON] - YouTube 01 -  VT 5 Seg - {Reg SC} - 07/10</x:v>
      </x:c>
      <x:c r="C481" s="10" t="d">
        <x:v>2026-08-25T12:00:00.000Z</x:v>
      </x:c>
      <x:c r="D481" s="11"/>
      <x:c r="E481" s="11"/>
      <x:c r="F481" s="11"/>
      <x:c r="G481" s="12"/>
      <x:c r="H481" s="9"/>
      <x:c r="I481" s="9"/>
      <x:c r="J481" s="13"/>
      <x:c r="K481" s="9" t="str">
        <x:v>Sem exportação</x:v>
      </x:c>
      <x:c r="L481" s="9"/>
    </x:row>
    <x:row r="482" ht="24" customHeight="1">
      <x:c r="A482" s="9" t="str">
        <x:v>C05</x:v>
      </x:c>
      <x:c r="B482" s="9" t="str">
        <x:v>[TRON] - YouTube 01 -  VT 5 Seg - {Reg SC} - 07/10</x:v>
      </x:c>
      <x:c r="C482" s="10" t="d">
        <x:v>2026-08-26T12:00:00.000Z</x:v>
      </x:c>
      <x:c r="D482" s="11"/>
      <x:c r="E482" s="11"/>
      <x:c r="F482" s="11"/>
      <x:c r="G482" s="12"/>
      <x:c r="H482" s="9"/>
      <x:c r="I482" s="9"/>
      <x:c r="J482" s="13"/>
      <x:c r="K482" s="9" t="str">
        <x:v>Sem exportação</x:v>
      </x:c>
      <x:c r="L482" s="9"/>
    </x:row>
    <x:row r="483" ht="24" customHeight="1">
      <x:c r="A483" s="9" t="str">
        <x:v>C05</x:v>
      </x:c>
      <x:c r="B483" s="9" t="str">
        <x:v>[TRON] - YouTube 01 -  VT 5 Seg - {Reg SC} - 07/10</x:v>
      </x:c>
      <x:c r="C483" s="10" t="d">
        <x:v>2026-08-27T12:00:00.000Z</x:v>
      </x:c>
      <x:c r="D483" s="11"/>
      <x:c r="E483" s="11"/>
      <x:c r="F483" s="11"/>
      <x:c r="G483" s="12"/>
      <x:c r="H483" s="9"/>
      <x:c r="I483" s="9"/>
      <x:c r="J483" s="13"/>
      <x:c r="K483" s="9" t="str">
        <x:v>Sem exportação</x:v>
      </x:c>
      <x:c r="L483" s="9"/>
    </x:row>
    <x:row r="484" ht="24" customHeight="1">
      <x:c r="A484" s="9" t="str">
        <x:v>C05</x:v>
      </x:c>
      <x:c r="B484" s="9" t="str">
        <x:v>[TRON] - YouTube 01 -  VT 5 Seg - {Reg SC} - 07/10</x:v>
      </x:c>
      <x:c r="C484" s="10" t="d">
        <x:v>2026-08-28T12:00:00.000Z</x:v>
      </x:c>
      <x:c r="D484" s="11"/>
      <x:c r="E484" s="11"/>
      <x:c r="F484" s="11"/>
      <x:c r="G484" s="12"/>
      <x:c r="H484" s="9"/>
      <x:c r="I484" s="9"/>
      <x:c r="J484" s="13"/>
      <x:c r="K484" s="9" t="str">
        <x:v>Sem exportação</x:v>
      </x:c>
      <x:c r="L484" s="9"/>
    </x:row>
    <x:row r="485" ht="24" customHeight="1">
      <x:c r="A485" s="9" t="str">
        <x:v>C05</x:v>
      </x:c>
      <x:c r="B485" s="9" t="str">
        <x:v>[TRON] - YouTube 01 -  VT 5 Seg - {Reg SC} - 07/10</x:v>
      </x:c>
      <x:c r="C485" s="10" t="d">
        <x:v>2026-08-29T12:00:00.000Z</x:v>
      </x:c>
      <x:c r="D485" s="11"/>
      <x:c r="E485" s="11"/>
      <x:c r="F485" s="11"/>
      <x:c r="G485" s="12"/>
      <x:c r="H485" s="9"/>
      <x:c r="I485" s="9"/>
      <x:c r="J485" s="13"/>
      <x:c r="K485" s="9" t="str">
        <x:v>Sem exportação</x:v>
      </x:c>
      <x:c r="L485" s="9"/>
    </x:row>
    <x:row r="486" ht="24" customHeight="1">
      <x:c r="A486" s="9" t="str">
        <x:v>C05</x:v>
      </x:c>
      <x:c r="B486" s="9" t="str">
        <x:v>[TRON] - YouTube 01 -  VT 5 Seg - {Reg SC} - 07/10</x:v>
      </x:c>
      <x:c r="C486" s="10" t="d">
        <x:v>2026-08-30T12:00:00.000Z</x:v>
      </x:c>
      <x:c r="D486" s="11"/>
      <x:c r="E486" s="11"/>
      <x:c r="F486" s="11"/>
      <x:c r="G486" s="12"/>
      <x:c r="H486" s="9"/>
      <x:c r="I486" s="9"/>
      <x:c r="J486" s="13"/>
      <x:c r="K486" s="9" t="str">
        <x:v>Sem exportação</x:v>
      </x:c>
      <x:c r="L486" s="9"/>
    </x:row>
    <x:row r="487" ht="24" customHeight="1">
      <x:c r="A487" s="9" t="str">
        <x:v>C05</x:v>
      </x:c>
      <x:c r="B487" s="9" t="str">
        <x:v>[TRON] - YouTube 01 -  VT 5 Seg - {Reg SC} - 07/10</x:v>
      </x:c>
      <x:c r="C487" s="10" t="d">
        <x:v>2026-08-31T12:00:00.000Z</x:v>
      </x:c>
      <x:c r="D487" s="11"/>
      <x:c r="E487" s="11"/>
      <x:c r="F487" s="11"/>
      <x:c r="G487" s="12"/>
      <x:c r="H487" s="9"/>
      <x:c r="I487" s="9"/>
      <x:c r="J487" s="13"/>
      <x:c r="K487" s="9" t="str">
        <x:v>Sem exportação</x:v>
      </x:c>
      <x:c r="L487" s="9"/>
    </x:row>
    <x:row r="488" ht="24" customHeight="1">
      <x:c r="A488" s="9" t="str">
        <x:v>C05</x:v>
      </x:c>
      <x:c r="B488" s="9" t="str">
        <x:v>[TRON] - YouTube 01 -  VT 5 Seg - {Reg SC} - 07/10</x:v>
      </x:c>
      <x:c r="C488" s="10" t="d">
        <x:v>2026-09-01T12:00:00.000Z</x:v>
      </x:c>
      <x:c r="D488" s="11" t="n">
        <x:v>0</x:v>
      </x:c>
      <x:c r="E488" s="11" t="n">
        <x:v>0</x:v>
      </x:c>
      <x:c r="F488" s="11"/>
      <x:c r="G488" s="12" t="n">
        <x:v>0</x:v>
      </x:c>
      <x:c r="H488" s="9" t="n">
        <x:v>0</x:v>
      </x:c>
      <x:c r="I488" s="9" t="n">
        <x:v>0</x:v>
      </x:c>
      <x:c r="J488" s="13"/>
      <x:c r="K488" s="9" t="str">
        <x:v>Exportado</x:v>
      </x:c>
      <x:c r="L488" s="9" t="str">
        <x:v>F047, F049, F048</x:v>
      </x:c>
    </x:row>
    <x:row r="489" ht="24" customHeight="1">
      <x:c r="A489" s="9" t="str">
        <x:v>C05</x:v>
      </x:c>
      <x:c r="B489" s="9" t="str">
        <x:v>[TRON] - YouTube 01 -  VT 5 Seg - {Reg SC} - 07/10</x:v>
      </x:c>
      <x:c r="C489" s="10" t="d">
        <x:v>2026-09-02T12:00:00.000Z</x:v>
      </x:c>
      <x:c r="D489" s="11" t="n">
        <x:v>0</x:v>
      </x:c>
      <x:c r="E489" s="11" t="n">
        <x:v>0</x:v>
      </x:c>
      <x:c r="F489" s="11"/>
      <x:c r="G489" s="12" t="n">
        <x:v>0</x:v>
      </x:c>
      <x:c r="H489" s="9" t="n">
        <x:v>0</x:v>
      </x:c>
      <x:c r="I489" s="9" t="n">
        <x:v>0</x:v>
      </x:c>
      <x:c r="J489" s="13"/>
      <x:c r="K489" s="9" t="str">
        <x:v>Exportado</x:v>
      </x:c>
      <x:c r="L489" s="9" t="str">
        <x:v>F047, F049, F048</x:v>
      </x:c>
    </x:row>
    <x:row r="490" ht="24" customHeight="1">
      <x:c r="A490" s="9" t="str">
        <x:v>C05</x:v>
      </x:c>
      <x:c r="B490" s="9" t="str">
        <x:v>[TRON] - YouTube 01 -  VT 5 Seg - {Reg SC} - 07/10</x:v>
      </x:c>
      <x:c r="C490" s="10" t="d">
        <x:v>2026-09-03T12:00:00.000Z</x:v>
      </x:c>
      <x:c r="D490" s="11" t="n">
        <x:v>0</x:v>
      </x:c>
      <x:c r="E490" s="11" t="n">
        <x:v>0</x:v>
      </x:c>
      <x:c r="F490" s="11"/>
      <x:c r="G490" s="12" t="n">
        <x:v>0</x:v>
      </x:c>
      <x:c r="H490" s="9" t="n">
        <x:v>0</x:v>
      </x:c>
      <x:c r="I490" s="9" t="n">
        <x:v>0</x:v>
      </x:c>
      <x:c r="J490" s="13"/>
      <x:c r="K490" s="9" t="str">
        <x:v>Exportado</x:v>
      </x:c>
      <x:c r="L490" s="9" t="str">
        <x:v>F047, F049, F048</x:v>
      </x:c>
    </x:row>
    <x:row r="491" ht="24" customHeight="1">
      <x:c r="A491" s="9" t="str">
        <x:v>C05</x:v>
      </x:c>
      <x:c r="B491" s="9" t="str">
        <x:v>[TRON] - YouTube 01 -  VT 5 Seg - {Reg SC} - 07/10</x:v>
      </x:c>
      <x:c r="C491" s="10" t="d">
        <x:v>2026-09-04T12:00:00.000Z</x:v>
      </x:c>
      <x:c r="D491" s="11" t="n">
        <x:v>0</x:v>
      </x:c>
      <x:c r="E491" s="11" t="n">
        <x:v>0</x:v>
      </x:c>
      <x:c r="F491" s="11"/>
      <x:c r="G491" s="12" t="n">
        <x:v>0</x:v>
      </x:c>
      <x:c r="H491" s="9" t="n">
        <x:v>0</x:v>
      </x:c>
      <x:c r="I491" s="9" t="n">
        <x:v>0</x:v>
      </x:c>
      <x:c r="J491" s="13"/>
      <x:c r="K491" s="9" t="str">
        <x:v>Exportado</x:v>
      </x:c>
      <x:c r="L491" s="9" t="str">
        <x:v>F047, F049, F048</x:v>
      </x:c>
    </x:row>
    <x:row r="492" ht="24" customHeight="1">
      <x:c r="A492" s="9" t="str">
        <x:v>C05</x:v>
      </x:c>
      <x:c r="B492" s="9" t="str">
        <x:v>[TRON] - YouTube 01 -  VT 5 Seg - {Reg SC} - 07/10</x:v>
      </x:c>
      <x:c r="C492" s="10" t="d">
        <x:v>2026-09-05T12:00:00.000Z</x:v>
      </x:c>
      <x:c r="D492" s="11" t="n">
        <x:v>0</x:v>
      </x:c>
      <x:c r="E492" s="11" t="n">
        <x:v>0</x:v>
      </x:c>
      <x:c r="F492" s="11"/>
      <x:c r="G492" s="12" t="n">
        <x:v>0</x:v>
      </x:c>
      <x:c r="H492" s="9" t="n">
        <x:v>0</x:v>
      </x:c>
      <x:c r="I492" s="9" t="n">
        <x:v>0</x:v>
      </x:c>
      <x:c r="J492" s="13"/>
      <x:c r="K492" s="9" t="str">
        <x:v>Exportado</x:v>
      </x:c>
      <x:c r="L492" s="9" t="str">
        <x:v>F047, F049, F048</x:v>
      </x:c>
    </x:row>
    <x:row r="493" ht="24" customHeight="1">
      <x:c r="A493" s="9" t="str">
        <x:v>C05</x:v>
      </x:c>
      <x:c r="B493" s="9" t="str">
        <x:v>[TRON] - YouTube 01 -  VT 5 Seg - {Reg SC} - 07/10</x:v>
      </x:c>
      <x:c r="C493" s="10" t="d">
        <x:v>2026-09-06T12:00:00.000Z</x:v>
      </x:c>
      <x:c r="D493" s="11" t="n">
        <x:v>0</x:v>
      </x:c>
      <x:c r="E493" s="11" t="n">
        <x:v>0</x:v>
      </x:c>
      <x:c r="F493" s="11"/>
      <x:c r="G493" s="12" t="n">
        <x:v>0</x:v>
      </x:c>
      <x:c r="H493" s="9" t="n">
        <x:v>0</x:v>
      </x:c>
      <x:c r="I493" s="9" t="n">
        <x:v>0</x:v>
      </x:c>
      <x:c r="J493" s="13"/>
      <x:c r="K493" s="9" t="str">
        <x:v>Exportado</x:v>
      </x:c>
      <x:c r="L493" s="9" t="str">
        <x:v>F047, F049, F048</x:v>
      </x:c>
    </x:row>
    <x:row r="494" ht="24" customHeight="1">
      <x:c r="A494" s="9" t="str">
        <x:v>C05</x:v>
      </x:c>
      <x:c r="B494" s="9" t="str">
        <x:v>[TRON] - YouTube 01 -  VT 5 Seg - {Reg SC} - 07/10</x:v>
      </x:c>
      <x:c r="C494" s="10" t="d">
        <x:v>2026-09-07T12:00:00.000Z</x:v>
      </x:c>
      <x:c r="D494" s="11" t="n">
        <x:v>0</x:v>
      </x:c>
      <x:c r="E494" s="11" t="n">
        <x:v>0</x:v>
      </x:c>
      <x:c r="F494" s="11"/>
      <x:c r="G494" s="12" t="n">
        <x:v>0</x:v>
      </x:c>
      <x:c r="H494" s="9" t="n">
        <x:v>0</x:v>
      </x:c>
      <x:c r="I494" s="9" t="n">
        <x:v>0</x:v>
      </x:c>
      <x:c r="J494" s="13"/>
      <x:c r="K494" s="9" t="str">
        <x:v>Exportado</x:v>
      </x:c>
      <x:c r="L494" s="9" t="str">
        <x:v>F047, F049, F048</x:v>
      </x:c>
    </x:row>
    <x:row r="495" ht="24" customHeight="1">
      <x:c r="A495" s="9" t="str">
        <x:v>C05</x:v>
      </x:c>
      <x:c r="B495" s="9" t="str">
        <x:v>[TRON] - YouTube 01 -  VT 5 Seg - {Reg SC} - 07/10</x:v>
      </x:c>
      <x:c r="C495" s="10" t="d">
        <x:v>2026-09-08T12:00:00.000Z</x:v>
      </x:c>
      <x:c r="D495" s="11" t="n">
        <x:v>0</x:v>
      </x:c>
      <x:c r="E495" s="11" t="n">
        <x:v>0</x:v>
      </x:c>
      <x:c r="F495" s="11"/>
      <x:c r="G495" s="12" t="n">
        <x:v>0</x:v>
      </x:c>
      <x:c r="H495" s="9" t="n">
        <x:v>0</x:v>
      </x:c>
      <x:c r="I495" s="9" t="n">
        <x:v>0</x:v>
      </x:c>
      <x:c r="J495" s="13"/>
      <x:c r="K495" s="9" t="str">
        <x:v>Exportado</x:v>
      </x:c>
      <x:c r="L495" s="9" t="str">
        <x:v>F047, F049, F048</x:v>
      </x:c>
    </x:row>
    <x:row r="496" ht="24" customHeight="1">
      <x:c r="A496" s="9" t="str">
        <x:v>C05</x:v>
      </x:c>
      <x:c r="B496" s="9" t="str">
        <x:v>[TRON] - YouTube 01 -  VT 5 Seg - {Reg SC} - 07/10</x:v>
      </x:c>
      <x:c r="C496" s="10" t="d">
        <x:v>2026-09-09T12:00:00.000Z</x:v>
      </x:c>
      <x:c r="D496" s="11" t="n">
        <x:v>0</x:v>
      </x:c>
      <x:c r="E496" s="11" t="n">
        <x:v>0</x:v>
      </x:c>
      <x:c r="F496" s="11"/>
      <x:c r="G496" s="12" t="n">
        <x:v>0</x:v>
      </x:c>
      <x:c r="H496" s="9" t="n">
        <x:v>0</x:v>
      </x:c>
      <x:c r="I496" s="9" t="n">
        <x:v>0</x:v>
      </x:c>
      <x:c r="J496" s="13"/>
      <x:c r="K496" s="9" t="str">
        <x:v>Exportado</x:v>
      </x:c>
      <x:c r="L496" s="9" t="str">
        <x:v>F047, F049, F048</x:v>
      </x:c>
    </x:row>
    <x:row r="497" ht="24" customHeight="1">
      <x:c r="A497" s="9" t="str">
        <x:v>C05</x:v>
      </x:c>
      <x:c r="B497" s="9" t="str">
        <x:v>[TRON] - YouTube 01 -  VT 5 Seg - {Reg SC} - 07/10</x:v>
      </x:c>
      <x:c r="C497" s="10" t="d">
        <x:v>2026-09-10T12:00:00.000Z</x:v>
      </x:c>
      <x:c r="D497" s="11" t="n">
        <x:v>0</x:v>
      </x:c>
      <x:c r="E497" s="11" t="n">
        <x:v>0</x:v>
      </x:c>
      <x:c r="F497" s="11"/>
      <x:c r="G497" s="12" t="n">
        <x:v>0</x:v>
      </x:c>
      <x:c r="H497" s="9" t="n">
        <x:v>0</x:v>
      </x:c>
      <x:c r="I497" s="9" t="n">
        <x:v>0</x:v>
      </x:c>
      <x:c r="J497" s="13"/>
      <x:c r="K497" s="9" t="str">
        <x:v>Exportado</x:v>
      </x:c>
      <x:c r="L497" s="9" t="str">
        <x:v>F047, F049, F048</x:v>
      </x:c>
    </x:row>
    <x:row r="498" ht="24" customHeight="1">
      <x:c r="A498" s="9" t="str">
        <x:v>C05</x:v>
      </x:c>
      <x:c r="B498" s="9" t="str">
        <x:v>[TRON] - YouTube 01 -  VT 5 Seg - {Reg SC} - 07/10</x:v>
      </x:c>
      <x:c r="C498" s="10" t="d">
        <x:v>2026-09-11T12:00:00.000Z</x:v>
      </x:c>
      <x:c r="D498" s="11" t="n">
        <x:v>0</x:v>
      </x:c>
      <x:c r="E498" s="11" t="n">
        <x:v>0</x:v>
      </x:c>
      <x:c r="F498" s="11"/>
      <x:c r="G498" s="12" t="n">
        <x:v>0</x:v>
      </x:c>
      <x:c r="H498" s="9" t="n">
        <x:v>0</x:v>
      </x:c>
      <x:c r="I498" s="9" t="n">
        <x:v>0</x:v>
      </x:c>
      <x:c r="J498" s="13"/>
      <x:c r="K498" s="9" t="str">
        <x:v>Exportado</x:v>
      </x:c>
      <x:c r="L498" s="9" t="str">
        <x:v>F047, F049, F048</x:v>
      </x:c>
    </x:row>
    <x:row r="499" ht="24" customHeight="1">
      <x:c r="A499" s="9" t="str">
        <x:v>C05</x:v>
      </x:c>
      <x:c r="B499" s="9" t="str">
        <x:v>[TRON] - YouTube 01 -  VT 5 Seg - {Reg SC} - 07/10</x:v>
      </x:c>
      <x:c r="C499" s="10" t="d">
        <x:v>2026-09-12T12:00:00.000Z</x:v>
      </x:c>
      <x:c r="D499" s="11" t="n">
        <x:v>0</x:v>
      </x:c>
      <x:c r="E499" s="11" t="n">
        <x:v>0</x:v>
      </x:c>
      <x:c r="F499" s="11"/>
      <x:c r="G499" s="12" t="n">
        <x:v>0</x:v>
      </x:c>
      <x:c r="H499" s="9" t="n">
        <x:v>0</x:v>
      </x:c>
      <x:c r="I499" s="9" t="n">
        <x:v>0</x:v>
      </x:c>
      <x:c r="J499" s="13"/>
      <x:c r="K499" s="9" t="str">
        <x:v>Exportado</x:v>
      </x:c>
      <x:c r="L499" s="9" t="str">
        <x:v>F047, F049, F048</x:v>
      </x:c>
    </x:row>
    <x:row r="500" ht="24" customHeight="1">
      <x:c r="A500" s="9" t="str">
        <x:v>C05</x:v>
      </x:c>
      <x:c r="B500" s="9" t="str">
        <x:v>[TRON] - YouTube 01 -  VT 5 Seg - {Reg SC} - 07/10</x:v>
      </x:c>
      <x:c r="C500" s="10" t="d">
        <x:v>2026-09-13T12:00:00.000Z</x:v>
      </x:c>
      <x:c r="D500" s="11" t="n">
        <x:v>0</x:v>
      </x:c>
      <x:c r="E500" s="11" t="n">
        <x:v>0</x:v>
      </x:c>
      <x:c r="F500" s="11"/>
      <x:c r="G500" s="12" t="n">
        <x:v>0</x:v>
      </x:c>
      <x:c r="H500" s="9" t="n">
        <x:v>0</x:v>
      </x:c>
      <x:c r="I500" s="9" t="n">
        <x:v>0</x:v>
      </x:c>
      <x:c r="J500" s="13"/>
      <x:c r="K500" s="9" t="str">
        <x:v>Exportado</x:v>
      </x:c>
      <x:c r="L500" s="9" t="str">
        <x:v>F047, F049, F048</x:v>
      </x:c>
    </x:row>
    <x:row r="501" ht="24" customHeight="1">
      <x:c r="A501" s="9" t="str">
        <x:v>C05</x:v>
      </x:c>
      <x:c r="B501" s="9" t="str">
        <x:v>[TRON] - YouTube 01 -  VT 5 Seg - {Reg SC} - 07/10</x:v>
      </x:c>
      <x:c r="C501" s="10" t="d">
        <x:v>2026-09-14T12:00:00.000Z</x:v>
      </x:c>
      <x:c r="D501" s="11" t="n">
        <x:v>0</x:v>
      </x:c>
      <x:c r="E501" s="11" t="n">
        <x:v>0</x:v>
      </x:c>
      <x:c r="F501" s="11"/>
      <x:c r="G501" s="12" t="n">
        <x:v>0</x:v>
      </x:c>
      <x:c r="H501" s="9" t="n">
        <x:v>0</x:v>
      </x:c>
      <x:c r="I501" s="9" t="n">
        <x:v>0</x:v>
      </x:c>
      <x:c r="J501" s="13"/>
      <x:c r="K501" s="9" t="str">
        <x:v>Exportado</x:v>
      </x:c>
      <x:c r="L501" s="9" t="str">
        <x:v>F047, F049, F048</x:v>
      </x:c>
    </x:row>
    <x:row r="502" ht="24" customHeight="1">
      <x:c r="A502" s="9" t="str">
        <x:v>C05</x:v>
      </x:c>
      <x:c r="B502" s="9" t="str">
        <x:v>[TRON] - YouTube 01 -  VT 5 Seg - {Reg SC} - 07/10</x:v>
      </x:c>
      <x:c r="C502" s="10" t="d">
        <x:v>2026-09-15T12:00:00.000Z</x:v>
      </x:c>
      <x:c r="D502" s="11" t="n">
        <x:v>0</x:v>
      </x:c>
      <x:c r="E502" s="11" t="n">
        <x:v>0</x:v>
      </x:c>
      <x:c r="F502" s="11"/>
      <x:c r="G502" s="12" t="n">
        <x:v>0</x:v>
      </x:c>
      <x:c r="H502" s="9" t="n">
        <x:v>0</x:v>
      </x:c>
      <x:c r="I502" s="9" t="n">
        <x:v>0</x:v>
      </x:c>
      <x:c r="J502" s="13"/>
      <x:c r="K502" s="9" t="str">
        <x:v>Exportado</x:v>
      </x:c>
      <x:c r="L502" s="9" t="str">
        <x:v>F047, F049, F048</x:v>
      </x:c>
    </x:row>
    <x:row r="503" ht="24" customHeight="1">
      <x:c r="A503" s="9" t="str">
        <x:v>C05</x:v>
      </x:c>
      <x:c r="B503" s="9" t="str">
        <x:v>[TRON] - YouTube 01 -  VT 5 Seg - {Reg SC} - 07/10</x:v>
      </x:c>
      <x:c r="C503" s="10" t="d">
        <x:v>2026-09-16T12:00:00.000Z</x:v>
      </x:c>
      <x:c r="D503" s="11" t="n">
        <x:v>0</x:v>
      </x:c>
      <x:c r="E503" s="11" t="n">
        <x:v>0</x:v>
      </x:c>
      <x:c r="F503" s="11"/>
      <x:c r="G503" s="12" t="n">
        <x:v>0</x:v>
      </x:c>
      <x:c r="H503" s="9" t="n">
        <x:v>0</x:v>
      </x:c>
      <x:c r="I503" s="9" t="n">
        <x:v>0</x:v>
      </x:c>
      <x:c r="J503" s="13"/>
      <x:c r="K503" s="9" t="str">
        <x:v>Exportado</x:v>
      </x:c>
      <x:c r="L503" s="9" t="str">
        <x:v>F047, F049, F048</x:v>
      </x:c>
    </x:row>
    <x:row r="504" ht="24" customHeight="1">
      <x:c r="A504" s="9" t="str">
        <x:v>C05</x:v>
      </x:c>
      <x:c r="B504" s="9" t="str">
        <x:v>[TRON] - YouTube 01 -  VT 5 Seg - {Reg SC} - 07/10</x:v>
      </x:c>
      <x:c r="C504" s="10" t="d">
        <x:v>2026-09-17T12:00:00.000Z</x:v>
      </x:c>
      <x:c r="D504" s="11" t="n">
        <x:v>0</x:v>
      </x:c>
      <x:c r="E504" s="11" t="n">
        <x:v>0</x:v>
      </x:c>
      <x:c r="F504" s="11"/>
      <x:c r="G504" s="12" t="n">
        <x:v>0</x:v>
      </x:c>
      <x:c r="H504" s="9" t="n">
        <x:v>0</x:v>
      </x:c>
      <x:c r="I504" s="9" t="n">
        <x:v>0</x:v>
      </x:c>
      <x:c r="J504" s="13"/>
      <x:c r="K504" s="9" t="str">
        <x:v>Exportado</x:v>
      </x:c>
      <x:c r="L504" s="9" t="str">
        <x:v>F047, F049, F048</x:v>
      </x:c>
    </x:row>
    <x:row r="505" ht="24" customHeight="1">
      <x:c r="A505" s="9" t="str">
        <x:v>C05</x:v>
      </x:c>
      <x:c r="B505" s="9" t="str">
        <x:v>[TRON] - YouTube 01 -  VT 5 Seg - {Reg SC} - 07/10</x:v>
      </x:c>
      <x:c r="C505" s="10" t="d">
        <x:v>2026-09-18T12:00:00.000Z</x:v>
      </x:c>
      <x:c r="D505" s="11" t="n">
        <x:v>0</x:v>
      </x:c>
      <x:c r="E505" s="11" t="n">
        <x:v>0</x:v>
      </x:c>
      <x:c r="F505" s="11"/>
      <x:c r="G505" s="12" t="n">
        <x:v>0</x:v>
      </x:c>
      <x:c r="H505" s="9" t="n">
        <x:v>0</x:v>
      </x:c>
      <x:c r="I505" s="9" t="n">
        <x:v>0</x:v>
      </x:c>
      <x:c r="J505" s="13"/>
      <x:c r="K505" s="9" t="str">
        <x:v>Exportado</x:v>
      </x:c>
      <x:c r="L505" s="9" t="str">
        <x:v>F047, F049, F048</x:v>
      </x:c>
    </x:row>
    <x:row r="506" ht="24" customHeight="1">
      <x:c r="A506" s="9" t="str">
        <x:v>C05</x:v>
      </x:c>
      <x:c r="B506" s="9" t="str">
        <x:v>[TRON] - YouTube 01 -  VT 5 Seg - {Reg SC} - 07/10</x:v>
      </x:c>
      <x:c r="C506" s="10" t="d">
        <x:v>2026-09-19T12:00:00.000Z</x:v>
      </x:c>
      <x:c r="D506" s="11" t="n">
        <x:v>0</x:v>
      </x:c>
      <x:c r="E506" s="11" t="n">
        <x:v>0</x:v>
      </x:c>
      <x:c r="F506" s="11"/>
      <x:c r="G506" s="12" t="n">
        <x:v>0</x:v>
      </x:c>
      <x:c r="H506" s="9" t="n">
        <x:v>0</x:v>
      </x:c>
      <x:c r="I506" s="9" t="n">
        <x:v>0</x:v>
      </x:c>
      <x:c r="J506" s="13"/>
      <x:c r="K506" s="9" t="str">
        <x:v>Exportado</x:v>
      </x:c>
      <x:c r="L506" s="9" t="str">
        <x:v>F047, F049, F048</x:v>
      </x:c>
    </x:row>
    <x:row r="507" ht="24" customHeight="1">
      <x:c r="A507" s="9" t="str">
        <x:v>C05</x:v>
      </x:c>
      <x:c r="B507" s="9" t="str">
        <x:v>[TRON] - YouTube 01 -  VT 5 Seg - {Reg SC} - 07/10</x:v>
      </x:c>
      <x:c r="C507" s="10" t="d">
        <x:v>2026-09-20T12:00:00.000Z</x:v>
      </x:c>
      <x:c r="D507" s="11" t="n">
        <x:v>0</x:v>
      </x:c>
      <x:c r="E507" s="11" t="n">
        <x:v>0</x:v>
      </x:c>
      <x:c r="F507" s="11"/>
      <x:c r="G507" s="12" t="n">
        <x:v>0</x:v>
      </x:c>
      <x:c r="H507" s="9" t="n">
        <x:v>0</x:v>
      </x:c>
      <x:c r="I507" s="9" t="n">
        <x:v>0</x:v>
      </x:c>
      <x:c r="J507" s="13"/>
      <x:c r="K507" s="9" t="str">
        <x:v>Exportado</x:v>
      </x:c>
      <x:c r="L507" s="9" t="str">
        <x:v>F047, F049, F048</x:v>
      </x:c>
    </x:row>
    <x:row r="508" ht="24" customHeight="1">
      <x:c r="A508" s="9" t="str">
        <x:v>C05</x:v>
      </x:c>
      <x:c r="B508" s="9" t="str">
        <x:v>[TRON] - YouTube 01 -  VT 5 Seg - {Reg SC} - 07/10</x:v>
      </x:c>
      <x:c r="C508" s="10" t="d">
        <x:v>2026-09-21T12:00:00.000Z</x:v>
      </x:c>
      <x:c r="D508" s="11" t="n">
        <x:v>0</x:v>
      </x:c>
      <x:c r="E508" s="11" t="n">
        <x:v>0</x:v>
      </x:c>
      <x:c r="F508" s="11"/>
      <x:c r="G508" s="12" t="n">
        <x:v>0</x:v>
      </x:c>
      <x:c r="H508" s="9" t="n">
        <x:v>0</x:v>
      </x:c>
      <x:c r="I508" s="9" t="n">
        <x:v>0</x:v>
      </x:c>
      <x:c r="J508" s="13"/>
      <x:c r="K508" s="9" t="str">
        <x:v>Exportado</x:v>
      </x:c>
      <x:c r="L508" s="9" t="str">
        <x:v>F047, F049, F048</x:v>
      </x:c>
    </x:row>
    <x:row r="509" ht="24" customHeight="1">
      <x:c r="A509" s="9" t="str">
        <x:v>C05</x:v>
      </x:c>
      <x:c r="B509" s="9" t="str">
        <x:v>[TRON] - YouTube 01 -  VT 5 Seg - {Reg SC} - 07/10</x:v>
      </x:c>
      <x:c r="C509" s="10" t="d">
        <x:v>2026-09-22T12:00:00.000Z</x:v>
      </x:c>
      <x:c r="D509" s="11" t="n">
        <x:v>0</x:v>
      </x:c>
      <x:c r="E509" s="11" t="n">
        <x:v>0</x:v>
      </x:c>
      <x:c r="F509" s="11"/>
      <x:c r="G509" s="12" t="n">
        <x:v>0</x:v>
      </x:c>
      <x:c r="H509" s="9" t="n">
        <x:v>0</x:v>
      </x:c>
      <x:c r="I509" s="9" t="n">
        <x:v>0</x:v>
      </x:c>
      <x:c r="J509" s="13"/>
      <x:c r="K509" s="9" t="str">
        <x:v>Exportado</x:v>
      </x:c>
      <x:c r="L509" s="9" t="str">
        <x:v>F047, F049, F048</x:v>
      </x:c>
    </x:row>
    <x:row r="510" ht="24" customHeight="1">
      <x:c r="A510" s="9" t="str">
        <x:v>C05</x:v>
      </x:c>
      <x:c r="B510" s="9" t="str">
        <x:v>[TRON] - YouTube 01 -  VT 5 Seg - {Reg SC} - 07/10</x:v>
      </x:c>
      <x:c r="C510" s="10" t="d">
        <x:v>2026-09-23T12:00:00.000Z</x:v>
      </x:c>
      <x:c r="D510" s="11" t="n">
        <x:v>0</x:v>
      </x:c>
      <x:c r="E510" s="11" t="n">
        <x:v>0</x:v>
      </x:c>
      <x:c r="F510" s="11"/>
      <x:c r="G510" s="12" t="n">
        <x:v>0</x:v>
      </x:c>
      <x:c r="H510" s="9" t="n">
        <x:v>0</x:v>
      </x:c>
      <x:c r="I510" s="9" t="n">
        <x:v>0</x:v>
      </x:c>
      <x:c r="J510" s="13"/>
      <x:c r="K510" s="9" t="str">
        <x:v>Exportado</x:v>
      </x:c>
      <x:c r="L510" s="9" t="str">
        <x:v>F047, F049, F048</x:v>
      </x:c>
    </x:row>
    <x:row r="511" ht="24" customHeight="1">
      <x:c r="A511" s="9" t="str">
        <x:v>C05</x:v>
      </x:c>
      <x:c r="B511" s="9" t="str">
        <x:v>[TRON] - YouTube 01 -  VT 5 Seg - {Reg SC} - 07/10</x:v>
      </x:c>
      <x:c r="C511" s="10" t="d">
        <x:v>2026-09-24T12:00:00.000Z</x:v>
      </x:c>
      <x:c r="D511" s="11" t="n">
        <x:v>0</x:v>
      </x:c>
      <x:c r="E511" s="11" t="n">
        <x:v>0</x:v>
      </x:c>
      <x:c r="F511" s="11"/>
      <x:c r="G511" s="12" t="n">
        <x:v>0</x:v>
      </x:c>
      <x:c r="H511" s="9" t="n">
        <x:v>0</x:v>
      </x:c>
      <x:c r="I511" s="9" t="n">
        <x:v>0</x:v>
      </x:c>
      <x:c r="J511" s="13"/>
      <x:c r="K511" s="9" t="str">
        <x:v>Exportado</x:v>
      </x:c>
      <x:c r="L511" s="9" t="str">
        <x:v>F047, F049, F048</x:v>
      </x:c>
    </x:row>
    <x:row r="512" ht="24" customHeight="1">
      <x:c r="A512" s="9" t="str">
        <x:v>C05</x:v>
      </x:c>
      <x:c r="B512" s="9" t="str">
        <x:v>[TRON] - YouTube 01 -  VT 5 Seg - {Reg SC} - 07/10</x:v>
      </x:c>
      <x:c r="C512" s="10" t="d">
        <x:v>2026-09-25T12:00:00.000Z</x:v>
      </x:c>
      <x:c r="D512" s="11" t="n">
        <x:v>0</x:v>
      </x:c>
      <x:c r="E512" s="11" t="n">
        <x:v>0</x:v>
      </x:c>
      <x:c r="F512" s="11"/>
      <x:c r="G512" s="12" t="n">
        <x:v>0</x:v>
      </x:c>
      <x:c r="H512" s="9" t="n">
        <x:v>0</x:v>
      </x:c>
      <x:c r="I512" s="9" t="n">
        <x:v>0</x:v>
      </x:c>
      <x:c r="J512" s="13"/>
      <x:c r="K512" s="9" t="str">
        <x:v>Exportado</x:v>
      </x:c>
      <x:c r="L512" s="9" t="str">
        <x:v>F047, F049, F048</x:v>
      </x:c>
    </x:row>
    <x:row r="513" ht="24" customHeight="1">
      <x:c r="A513" s="9" t="str">
        <x:v>C05</x:v>
      </x:c>
      <x:c r="B513" s="9" t="str">
        <x:v>[TRON] - YouTube 01 -  VT 5 Seg - {Reg SC} - 07/10</x:v>
      </x:c>
      <x:c r="C513" s="10" t="d">
        <x:v>2026-09-26T12:00:00.000Z</x:v>
      </x:c>
      <x:c r="D513" s="11" t="n">
        <x:v>0</x:v>
      </x:c>
      <x:c r="E513" s="11" t="n">
        <x:v>0</x:v>
      </x:c>
      <x:c r="F513" s="11"/>
      <x:c r="G513" s="12" t="n">
        <x:v>0</x:v>
      </x:c>
      <x:c r="H513" s="9" t="n">
        <x:v>0</x:v>
      </x:c>
      <x:c r="I513" s="9" t="n">
        <x:v>0</x:v>
      </x:c>
      <x:c r="J513" s="13"/>
      <x:c r="K513" s="9" t="str">
        <x:v>Exportado</x:v>
      </x:c>
      <x:c r="L513" s="9" t="str">
        <x:v>F047, F049, F048</x:v>
      </x:c>
    </x:row>
    <x:row r="514" ht="24" customHeight="1">
      <x:c r="A514" s="9" t="str">
        <x:v>C05</x:v>
      </x:c>
      <x:c r="B514" s="9" t="str">
        <x:v>[TRON] - YouTube 01 -  VT 5 Seg - {Reg SC} - 07/10</x:v>
      </x:c>
      <x:c r="C514" s="10" t="d">
        <x:v>2026-09-27T12:00:00.000Z</x:v>
      </x:c>
      <x:c r="D514" s="11" t="n">
        <x:v>0</x:v>
      </x:c>
      <x:c r="E514" s="11" t="n">
        <x:v>0</x:v>
      </x:c>
      <x:c r="F514" s="11"/>
      <x:c r="G514" s="12" t="n">
        <x:v>0</x:v>
      </x:c>
      <x:c r="H514" s="9" t="n">
        <x:v>0</x:v>
      </x:c>
      <x:c r="I514" s="9" t="n">
        <x:v>0</x:v>
      </x:c>
      <x:c r="J514" s="13"/>
      <x:c r="K514" s="9" t="str">
        <x:v>Exportado</x:v>
      </x:c>
      <x:c r="L514" s="9" t="str">
        <x:v>F047, F049, F048</x:v>
      </x:c>
    </x:row>
    <x:row r="515" ht="24" customHeight="1">
      <x:c r="A515" s="9" t="str">
        <x:v>C05</x:v>
      </x:c>
      <x:c r="B515" s="9" t="str">
        <x:v>[TRON] - YouTube 01 -  VT 5 Seg - {Reg SC} - 07/10</x:v>
      </x:c>
      <x:c r="C515" s="10" t="d">
        <x:v>2026-09-28T12:00:00.000Z</x:v>
      </x:c>
      <x:c r="D515" s="11" t="n">
        <x:v>0</x:v>
      </x:c>
      <x:c r="E515" s="11" t="n">
        <x:v>0</x:v>
      </x:c>
      <x:c r="F515" s="11"/>
      <x:c r="G515" s="12" t="n">
        <x:v>0</x:v>
      </x:c>
      <x:c r="H515" s="9" t="n">
        <x:v>0</x:v>
      </x:c>
      <x:c r="I515" s="9" t="n">
        <x:v>0</x:v>
      </x:c>
      <x:c r="J515" s="13"/>
      <x:c r="K515" s="9" t="str">
        <x:v>Exportado</x:v>
      </x:c>
      <x:c r="L515" s="9" t="str">
        <x:v>F047, F049, F048</x:v>
      </x:c>
    </x:row>
    <x:row r="516" ht="24" customHeight="1">
      <x:c r="A516" s="9" t="str">
        <x:v>C05</x:v>
      </x:c>
      <x:c r="B516" s="9" t="str">
        <x:v>[TRON] - YouTube 01 -  VT 5 Seg - {Reg SC} - 07/10</x:v>
      </x:c>
      <x:c r="C516" s="10" t="d">
        <x:v>2026-09-29T12:00:00.000Z</x:v>
      </x:c>
      <x:c r="D516" s="11" t="n">
        <x:v>0</x:v>
      </x:c>
      <x:c r="E516" s="11" t="n">
        <x:v>0</x:v>
      </x:c>
      <x:c r="F516" s="11"/>
      <x:c r="G516" s="12" t="n">
        <x:v>0</x:v>
      </x:c>
      <x:c r="H516" s="9" t="n">
        <x:v>0</x:v>
      </x:c>
      <x:c r="I516" s="9" t="n">
        <x:v>0</x:v>
      </x:c>
      <x:c r="J516" s="13"/>
      <x:c r="K516" s="9" t="str">
        <x:v>Exportado</x:v>
      </x:c>
      <x:c r="L516" s="9" t="str">
        <x:v>F047, F049, F048</x:v>
      </x:c>
    </x:row>
    <x:row r="517" ht="24" customHeight="1">
      <x:c r="A517" s="9" t="str">
        <x:v>C05</x:v>
      </x:c>
      <x:c r="B517" s="9" t="str">
        <x:v>[TRON] - YouTube 01 -  VT 5 Seg - {Reg SC} - 07/10</x:v>
      </x:c>
      <x:c r="C517" s="10" t="d">
        <x:v>2026-09-30T12:00:00.000Z</x:v>
      </x:c>
      <x:c r="D517" s="11" t="n">
        <x:v>0</x:v>
      </x:c>
      <x:c r="E517" s="11" t="n">
        <x:v>0</x:v>
      </x:c>
      <x:c r="F517" s="11"/>
      <x:c r="G517" s="12" t="n">
        <x:v>0</x:v>
      </x:c>
      <x:c r="H517" s="9" t="n">
        <x:v>0</x:v>
      </x:c>
      <x:c r="I517" s="9" t="n">
        <x:v>0</x:v>
      </x:c>
      <x:c r="J517" s="13"/>
      <x:c r="K517" s="9" t="str">
        <x:v>Exportado</x:v>
      </x:c>
      <x:c r="L517" s="9" t="str">
        <x:v>F047, F049, F048</x:v>
      </x:c>
    </x:row>
    <x:row r="518" ht="24" customHeight="1">
      <x:c r="A518" s="9" t="str">
        <x:v>C05</x:v>
      </x:c>
      <x:c r="B518" s="9" t="str">
        <x:v>[TRON] - YouTube 01 -  VT 5 Seg - {Reg SC} - 07/10</x:v>
      </x:c>
      <x:c r="C518" s="10" t="d">
        <x:v>2026-10-01T12:00:00.000Z</x:v>
      </x:c>
      <x:c r="D518" s="11" t="n">
        <x:v>0</x:v>
      </x:c>
      <x:c r="E518" s="11" t="n">
        <x:v>0</x:v>
      </x:c>
      <x:c r="F518" s="11"/>
      <x:c r="G518" s="12" t="n">
        <x:v>0</x:v>
      </x:c>
      <x:c r="H518" s="9" t="n">
        <x:v>0</x:v>
      </x:c>
      <x:c r="I518" s="9" t="n">
        <x:v>0</x:v>
      </x:c>
      <x:c r="J518" s="13"/>
      <x:c r="K518" s="9" t="str">
        <x:v>Exportado</x:v>
      </x:c>
      <x:c r="L518" s="9" t="str">
        <x:v>F047, F049, F048</x:v>
      </x:c>
    </x:row>
    <x:row r="519" ht="24" customHeight="1">
      <x:c r="A519" s="9" t="str">
        <x:v>C05</x:v>
      </x:c>
      <x:c r="B519" s="9" t="str">
        <x:v>[TRON] - YouTube 01 -  VT 5 Seg - {Reg SC} - 07/10</x:v>
      </x:c>
      <x:c r="C519" s="10" t="d">
        <x:v>2026-10-02T12:00:00.000Z</x:v>
      </x:c>
      <x:c r="D519" s="11" t="n">
        <x:v>0</x:v>
      </x:c>
      <x:c r="E519" s="11" t="n">
        <x:v>0</x:v>
      </x:c>
      <x:c r="F519" s="11"/>
      <x:c r="G519" s="12" t="n">
        <x:v>0</x:v>
      </x:c>
      <x:c r="H519" s="9" t="n">
        <x:v>0</x:v>
      </x:c>
      <x:c r="I519" s="9" t="n">
        <x:v>0</x:v>
      </x:c>
      <x:c r="J519" s="13"/>
      <x:c r="K519" s="9" t="str">
        <x:v>Exportado</x:v>
      </x:c>
      <x:c r="L519" s="9" t="str">
        <x:v>F047, F049, F048</x:v>
      </x:c>
    </x:row>
    <x:row r="520" ht="24" customHeight="1">
      <x:c r="A520" s="9" t="str">
        <x:v>C05</x:v>
      </x:c>
      <x:c r="B520" s="9" t="str">
        <x:v>[TRON] - YouTube 01 -  VT 5 Seg - {Reg SC} - 07/10</x:v>
      </x:c>
      <x:c r="C520" s="10" t="d">
        <x:v>2026-10-03T12:00:00.000Z</x:v>
      </x:c>
      <x:c r="D520" s="11" t="n">
        <x:v>0</x:v>
      </x:c>
      <x:c r="E520" s="11" t="n">
        <x:v>0</x:v>
      </x:c>
      <x:c r="F520" s="11"/>
      <x:c r="G520" s="12" t="n">
        <x:v>0</x:v>
      </x:c>
      <x:c r="H520" s="9" t="n">
        <x:v>0</x:v>
      </x:c>
      <x:c r="I520" s="9" t="n">
        <x:v>0</x:v>
      </x:c>
      <x:c r="J520" s="13"/>
      <x:c r="K520" s="9" t="str">
        <x:v>Exportado</x:v>
      </x:c>
      <x:c r="L520" s="9" t="str">
        <x:v>F047, F049, F048</x:v>
      </x:c>
    </x:row>
    <x:row r="521" ht="24" customHeight="1">
      <x:c r="A521" s="9" t="str">
        <x:v>C05</x:v>
      </x:c>
      <x:c r="B521" s="9" t="str">
        <x:v>[TRON] - YouTube 01 -  VT 5 Seg - {Reg SC} - 07/10</x:v>
      </x:c>
      <x:c r="C521" s="10" t="d">
        <x:v>2026-10-04T12:00:00.000Z</x:v>
      </x:c>
      <x:c r="D521" s="11" t="n">
        <x:v>0</x:v>
      </x:c>
      <x:c r="E521" s="11" t="n">
        <x:v>0</x:v>
      </x:c>
      <x:c r="F521" s="11"/>
      <x:c r="G521" s="12" t="n">
        <x:v>0</x:v>
      </x:c>
      <x:c r="H521" s="9" t="n">
        <x:v>0</x:v>
      </x:c>
      <x:c r="I521" s="9" t="n">
        <x:v>0</x:v>
      </x:c>
      <x:c r="J521" s="13"/>
      <x:c r="K521" s="9" t="str">
        <x:v>Exportado</x:v>
      </x:c>
      <x:c r="L521" s="9" t="str">
        <x:v>F047, F049, F048</x:v>
      </x:c>
    </x:row>
    <x:row r="522" ht="24" customHeight="1">
      <x:c r="A522" s="9" t="str">
        <x:v>C05</x:v>
      </x:c>
      <x:c r="B522" s="9" t="str">
        <x:v>[TRON] - YouTube 01 -  VT 5 Seg - {Reg SC} - 07/10</x:v>
      </x:c>
      <x:c r="C522" s="10" t="d">
        <x:v>2026-10-05T12:00:00.000Z</x:v>
      </x:c>
      <x:c r="D522" s="11" t="n">
        <x:v>0</x:v>
      </x:c>
      <x:c r="E522" s="11" t="n">
        <x:v>0</x:v>
      </x:c>
      <x:c r="F522" s="11"/>
      <x:c r="G522" s="12" t="n">
        <x:v>0</x:v>
      </x:c>
      <x:c r="H522" s="9" t="n">
        <x:v>0</x:v>
      </x:c>
      <x:c r="I522" s="9" t="n">
        <x:v>0</x:v>
      </x:c>
      <x:c r="J522" s="13"/>
      <x:c r="K522" s="9" t="str">
        <x:v>Exportado</x:v>
      </x:c>
      <x:c r="L522" s="9" t="str">
        <x:v>F047, F049, F048</x:v>
      </x:c>
    </x:row>
    <x:row r="523" ht="24" customHeight="1">
      <x:c r="A523" s="9" t="str">
        <x:v>C05</x:v>
      </x:c>
      <x:c r="B523" s="9" t="str">
        <x:v>[TRON] - YouTube 01 -  VT 5 Seg - {Reg SC} - 07/10</x:v>
      </x:c>
      <x:c r="C523" s="10" t="d">
        <x:v>2026-10-06T12:00:00.000Z</x:v>
      </x:c>
      <x:c r="D523" s="11" t="n">
        <x:v>0</x:v>
      </x:c>
      <x:c r="E523" s="11" t="n">
        <x:v>0</x:v>
      </x:c>
      <x:c r="F523" s="11"/>
      <x:c r="G523" s="12" t="n">
        <x:v>0</x:v>
      </x:c>
      <x:c r="H523" s="9" t="n">
        <x:v>0</x:v>
      </x:c>
      <x:c r="I523" s="9" t="n">
        <x:v>0</x:v>
      </x:c>
      <x:c r="J523" s="13"/>
      <x:c r="K523" s="9" t="str">
        <x:v>Exportado</x:v>
      </x:c>
      <x:c r="L523" s="9" t="str">
        <x:v>F047, F049, F048</x:v>
      </x:c>
    </x:row>
    <x:row r="524" ht="24" customHeight="1">
      <x:c r="A524" s="9" t="str">
        <x:v>C05</x:v>
      </x:c>
      <x:c r="B524" s="9" t="str">
        <x:v>[TRON] - YouTube 01 -  VT 5 Seg - {Reg SC} - 07/10</x:v>
      </x:c>
      <x:c r="C524" s="10" t="d">
        <x:v>2026-10-07T12:00:00.000Z</x:v>
      </x:c>
      <x:c r="D524" s="11" t="n">
        <x:v>40</x:v>
      </x:c>
      <x:c r="E524" s="11" t="n">
        <x:v>21</x:v>
      </x:c>
      <x:c r="F524" s="11"/>
      <x:c r="G524" s="12" t="n">
        <x:v>0.18</x:v>
      </x:c>
      <x:c r="H524" s="9" t="n">
        <x:v>0</x:v>
      </x:c>
      <x:c r="I524" s="9" t="n">
        <x:v>0</x:v>
      </x:c>
      <x:c r="J524" s="13" t="n">
        <x:v>0</x:v>
      </x:c>
      <x:c r="K524" s="9" t="str">
        <x:v>Exportado</x:v>
      </x:c>
      <x:c r="L524" s="9" t="str">
        <x:v>F047, F049, F048</x:v>
      </x:c>
    </x:row>
    <x:row r="525" ht="24" customHeight="1">
      <x:c r="A525" s="9" t="str">
        <x:v>C05</x:v>
      </x:c>
      <x:c r="B525" s="9" t="str">
        <x:v>[TRON] - YouTube 01 -  VT 5 Seg - {Reg SC} - 07/10</x:v>
      </x:c>
      <x:c r="C525" s="10" t="d">
        <x:v>2026-10-08T12:00:00.000Z</x:v>
      </x:c>
      <x:c r="D525" s="11" t="n">
        <x:v>49</x:v>
      </x:c>
      <x:c r="E525" s="11" t="n">
        <x:v>13</x:v>
      </x:c>
      <x:c r="F525" s="11"/>
      <x:c r="G525" s="12" t="n">
        <x:v>0.17</x:v>
      </x:c>
      <x:c r="H525" s="9" t="n">
        <x:v>0</x:v>
      </x:c>
      <x:c r="I525" s="9" t="n">
        <x:v>0</x:v>
      </x:c>
      <x:c r="J525" s="13" t="n">
        <x:v>0</x:v>
      </x:c>
      <x:c r="K525" s="9" t="str">
        <x:v>Exportado</x:v>
      </x:c>
      <x:c r="L525" s="9" t="str">
        <x:v>F047, F049, F048</x:v>
      </x:c>
    </x:row>
    <x:row r="526" ht="24" customHeight="1">
      <x:c r="A526" s="9" t="str">
        <x:v>C05</x:v>
      </x:c>
      <x:c r="B526" s="9" t="str">
        <x:v>[TRON] - YouTube 01 -  VT 5 Seg - {Reg SC} - 07/10</x:v>
      </x:c>
      <x:c r="C526" s="10" t="d">
        <x:v>2026-10-09T12:00:00.000Z</x:v>
      </x:c>
      <x:c r="D526" s="11" t="n">
        <x:v>76</x:v>
      </x:c>
      <x:c r="E526" s="11" t="n">
        <x:v>26</x:v>
      </x:c>
      <x:c r="F526" s="11"/>
      <x:c r="G526" s="12" t="n">
        <x:v>0.17</x:v>
      </x:c>
      <x:c r="H526" s="9" t="n">
        <x:v>0</x:v>
      </x:c>
      <x:c r="I526" s="9" t="n">
        <x:v>0</x:v>
      </x:c>
      <x:c r="J526" s="13" t="n">
        <x:v>0</x:v>
      </x:c>
      <x:c r="K526" s="9" t="str">
        <x:v>Exportado</x:v>
      </x:c>
      <x:c r="L526" s="9" t="str">
        <x:v>F047, F049, F048</x:v>
      </x:c>
    </x:row>
    <x:row r="527" ht="24" customHeight="1">
      <x:c r="A527" s="9" t="str">
        <x:v>C05</x:v>
      </x:c>
      <x:c r="B527" s="9" t="str">
        <x:v>[TRON] - YouTube 01 -  VT 5 Seg - {Reg SC} - 07/10</x:v>
      </x:c>
      <x:c r="C527" s="10" t="d">
        <x:v>2026-10-10T12:00:00.000Z</x:v>
      </x:c>
      <x:c r="D527" s="11" t="n">
        <x:v>149</x:v>
      </x:c>
      <x:c r="E527" s="11" t="n">
        <x:v>50</x:v>
      </x:c>
      <x:c r="F527" s="11"/>
      <x:c r="G527" s="12" t="n">
        <x:v>0.18</x:v>
      </x:c>
      <x:c r="H527" s="9" t="n">
        <x:v>0</x:v>
      </x:c>
      <x:c r="I527" s="9" t="n">
        <x:v>0</x:v>
      </x:c>
      <x:c r="J527" s="13" t="n">
        <x:v>0</x:v>
      </x:c>
      <x:c r="K527" s="9" t="str">
        <x:v>Exportado</x:v>
      </x:c>
      <x:c r="L527" s="9" t="str">
        <x:v>F047, F049, F048</x:v>
      </x:c>
    </x:row>
    <x:row r="528" ht="24" customHeight="1">
      <x:c r="A528" s="9" t="str">
        <x:v>C05</x:v>
      </x:c>
      <x:c r="B528" s="9" t="str">
        <x:v>[TRON] - YouTube 01 -  VT 5 Seg - {Reg SC} - 07/10</x:v>
      </x:c>
      <x:c r="C528" s="10" t="d">
        <x:v>2026-10-11T12:00:00.000Z</x:v>
      </x:c>
      <x:c r="D528" s="11" t="n">
        <x:v>103</x:v>
      </x:c>
      <x:c r="E528" s="11" t="n">
        <x:v>20</x:v>
      </x:c>
      <x:c r="F528" s="11"/>
      <x:c r="G528" s="12" t="n">
        <x:v>0.17</x:v>
      </x:c>
      <x:c r="H528" s="9" t="n">
        <x:v>0</x:v>
      </x:c>
      <x:c r="I528" s="9" t="n">
        <x:v>0</x:v>
      </x:c>
      <x:c r="J528" s="13" t="n">
        <x:v>0</x:v>
      </x:c>
      <x:c r="K528" s="9" t="str">
        <x:v>Exportado</x:v>
      </x:c>
      <x:c r="L528" s="9" t="str">
        <x:v>F047, F049, F048</x:v>
      </x:c>
    </x:row>
    <x:row r="529" ht="24" customHeight="1">
      <x:c r="A529" s="9" t="str">
        <x:v>C05</x:v>
      </x:c>
      <x:c r="B529" s="9" t="str">
        <x:v>[TRON] - YouTube 01 -  VT 5 Seg - {Reg SC} - 07/10</x:v>
      </x:c>
      <x:c r="C529" s="10" t="d">
        <x:v>2026-10-12T12:00:00.000Z</x:v>
      </x:c>
      <x:c r="D529" s="11" t="n">
        <x:v>105</x:v>
      </x:c>
      <x:c r="E529" s="11" t="n">
        <x:v>13</x:v>
      </x:c>
      <x:c r="F529" s="11"/>
      <x:c r="G529" s="12" t="n">
        <x:v>0.17</x:v>
      </x:c>
      <x:c r="H529" s="9" t="n">
        <x:v>0</x:v>
      </x:c>
      <x:c r="I529" s="9" t="n">
        <x:v>0</x:v>
      </x:c>
      <x:c r="J529" s="13" t="n">
        <x:v>0</x:v>
      </x:c>
      <x:c r="K529" s="9" t="str">
        <x:v>Exportado</x:v>
      </x:c>
      <x:c r="L529" s="9" t="str">
        <x:v>F047, F049, F048</x:v>
      </x:c>
    </x:row>
    <x:row r="530" ht="24" customHeight="1">
      <x:c r="A530" s="9" t="str">
        <x:v>C05</x:v>
      </x:c>
      <x:c r="B530" s="9" t="str">
        <x:v>[TRON] - YouTube 01 -  VT 5 Seg - {Reg SC} - 07/10</x:v>
      </x:c>
      <x:c r="C530" s="10" t="d">
        <x:v>2026-10-13T12:00:00.000Z</x:v>
      </x:c>
      <x:c r="D530" s="11" t="n">
        <x:v>69</x:v>
      </x:c>
      <x:c r="E530" s="11" t="n">
        <x:v>18</x:v>
      </x:c>
      <x:c r="F530" s="11"/>
      <x:c r="G530" s="12" t="n">
        <x:v>0.19</x:v>
      </x:c>
      <x:c r="H530" s="9" t="n">
        <x:v>0</x:v>
      </x:c>
      <x:c r="I530" s="9" t="n">
        <x:v>0</x:v>
      </x:c>
      <x:c r="J530" s="13" t="n">
        <x:v>0</x:v>
      </x:c>
      <x:c r="K530" s="9" t="str">
        <x:v>Exportado</x:v>
      </x:c>
      <x:c r="L530" s="9" t="str">
        <x:v>F047, F049, F048</x:v>
      </x:c>
    </x:row>
    <x:row r="531" ht="24" customHeight="1">
      <x:c r="A531" s="9" t="str">
        <x:v>C06</x:v>
      </x:c>
      <x:c r="B531" s="9" t="str">
        <x:v>[TRON] - YouTube 02 -  VT 5 Seg - {Reg SC} - 07/10</x:v>
      </x:c>
      <x:c r="C531" s="10" t="d">
        <x:v>2026-07-01T12:00:00.000Z</x:v>
      </x:c>
      <x:c r="D531" s="11"/>
      <x:c r="E531" s="11"/>
      <x:c r="F531" s="11"/>
      <x:c r="G531" s="12"/>
      <x:c r="H531" s="9"/>
      <x:c r="I531" s="9"/>
      <x:c r="J531" s="13"/>
      <x:c r="K531" s="9" t="str">
        <x:v>Sem exportação</x:v>
      </x:c>
      <x:c r="L531" s="9"/>
    </x:row>
    <x:row r="532" ht="24" customHeight="1">
      <x:c r="A532" s="9" t="str">
        <x:v>C06</x:v>
      </x:c>
      <x:c r="B532" s="9" t="str">
        <x:v>[TRON] - YouTube 02 -  VT 5 Seg - {Reg SC} - 07/10</x:v>
      </x:c>
      <x:c r="C532" s="10" t="d">
        <x:v>2026-07-02T12:00:00.000Z</x:v>
      </x:c>
      <x:c r="D532" s="11"/>
      <x:c r="E532" s="11"/>
      <x:c r="F532" s="11"/>
      <x:c r="G532" s="12"/>
      <x:c r="H532" s="9"/>
      <x:c r="I532" s="9"/>
      <x:c r="J532" s="13"/>
      <x:c r="K532" s="9" t="str">
        <x:v>Sem exportação</x:v>
      </x:c>
      <x:c r="L532" s="9"/>
    </x:row>
    <x:row r="533" ht="24" customHeight="1">
      <x:c r="A533" s="9" t="str">
        <x:v>C06</x:v>
      </x:c>
      <x:c r="B533" s="9" t="str">
        <x:v>[TRON] - YouTube 02 -  VT 5 Seg - {Reg SC} - 07/10</x:v>
      </x:c>
      <x:c r="C533" s="10" t="d">
        <x:v>2026-07-03T12:00:00.000Z</x:v>
      </x:c>
      <x:c r="D533" s="11"/>
      <x:c r="E533" s="11"/>
      <x:c r="F533" s="11"/>
      <x:c r="G533" s="12"/>
      <x:c r="H533" s="9"/>
      <x:c r="I533" s="9"/>
      <x:c r="J533" s="13"/>
      <x:c r="K533" s="9" t="str">
        <x:v>Sem exportação</x:v>
      </x:c>
      <x:c r="L533" s="9"/>
    </x:row>
    <x:row r="534" ht="24" customHeight="1">
      <x:c r="A534" s="9" t="str">
        <x:v>C06</x:v>
      </x:c>
      <x:c r="B534" s="9" t="str">
        <x:v>[TRON] - YouTube 02 -  VT 5 Seg - {Reg SC} - 07/10</x:v>
      </x:c>
      <x:c r="C534" s="10" t="d">
        <x:v>2026-07-04T12:00:00.000Z</x:v>
      </x:c>
      <x:c r="D534" s="11"/>
      <x:c r="E534" s="11"/>
      <x:c r="F534" s="11"/>
      <x:c r="G534" s="12"/>
      <x:c r="H534" s="9"/>
      <x:c r="I534" s="9"/>
      <x:c r="J534" s="13"/>
      <x:c r="K534" s="9" t="str">
        <x:v>Sem exportação</x:v>
      </x:c>
      <x:c r="L534" s="9"/>
    </x:row>
    <x:row r="535" ht="24" customHeight="1">
      <x:c r="A535" s="9" t="str">
        <x:v>C06</x:v>
      </x:c>
      <x:c r="B535" s="9" t="str">
        <x:v>[TRON] - YouTube 02 -  VT 5 Seg - {Reg SC} - 07/10</x:v>
      </x:c>
      <x:c r="C535" s="10" t="d">
        <x:v>2026-07-05T12:00:00.000Z</x:v>
      </x:c>
      <x:c r="D535" s="11"/>
      <x:c r="E535" s="11"/>
      <x:c r="F535" s="11"/>
      <x:c r="G535" s="12"/>
      <x:c r="H535" s="9"/>
      <x:c r="I535" s="9"/>
      <x:c r="J535" s="13"/>
      <x:c r="K535" s="9" t="str">
        <x:v>Sem exportação</x:v>
      </x:c>
      <x:c r="L535" s="9"/>
    </x:row>
    <x:row r="536" ht="24" customHeight="1">
      <x:c r="A536" s="9" t="str">
        <x:v>C06</x:v>
      </x:c>
      <x:c r="B536" s="9" t="str">
        <x:v>[TRON] - YouTube 02 -  VT 5 Seg - {Reg SC} - 07/10</x:v>
      </x:c>
      <x:c r="C536" s="10" t="d">
        <x:v>2026-07-06T12:00:00.000Z</x:v>
      </x:c>
      <x:c r="D536" s="11"/>
      <x:c r="E536" s="11"/>
      <x:c r="F536" s="11"/>
      <x:c r="G536" s="12"/>
      <x:c r="H536" s="9"/>
      <x:c r="I536" s="9"/>
      <x:c r="J536" s="13"/>
      <x:c r="K536" s="9" t="str">
        <x:v>Sem exportação</x:v>
      </x:c>
      <x:c r="L536" s="9"/>
    </x:row>
    <x:row r="537" ht="24" customHeight="1">
      <x:c r="A537" s="9" t="str">
        <x:v>C06</x:v>
      </x:c>
      <x:c r="B537" s="9" t="str">
        <x:v>[TRON] - YouTube 02 -  VT 5 Seg - {Reg SC} - 07/10</x:v>
      </x:c>
      <x:c r="C537" s="10" t="d">
        <x:v>2026-07-07T12:00:00.000Z</x:v>
      </x:c>
      <x:c r="D537" s="11"/>
      <x:c r="E537" s="11"/>
      <x:c r="F537" s="11"/>
      <x:c r="G537" s="12"/>
      <x:c r="H537" s="9"/>
      <x:c r="I537" s="9"/>
      <x:c r="J537" s="13"/>
      <x:c r="K537" s="9" t="str">
        <x:v>Sem exportação</x:v>
      </x:c>
      <x:c r="L537" s="9"/>
    </x:row>
    <x:row r="538" ht="24" customHeight="1">
      <x:c r="A538" s="9" t="str">
        <x:v>C06</x:v>
      </x:c>
      <x:c r="B538" s="9" t="str">
        <x:v>[TRON] - YouTube 02 -  VT 5 Seg - {Reg SC} - 07/10</x:v>
      </x:c>
      <x:c r="C538" s="10" t="d">
        <x:v>2026-07-08T12:00:00.000Z</x:v>
      </x:c>
      <x:c r="D538" s="11"/>
      <x:c r="E538" s="11"/>
      <x:c r="F538" s="11"/>
      <x:c r="G538" s="12"/>
      <x:c r="H538" s="9"/>
      <x:c r="I538" s="9"/>
      <x:c r="J538" s="13"/>
      <x:c r="K538" s="9" t="str">
        <x:v>Sem exportação</x:v>
      </x:c>
      <x:c r="L538" s="9"/>
    </x:row>
    <x:row r="539" ht="24" customHeight="1">
      <x:c r="A539" s="9" t="str">
        <x:v>C06</x:v>
      </x:c>
      <x:c r="B539" s="9" t="str">
        <x:v>[TRON] - YouTube 02 -  VT 5 Seg - {Reg SC} - 07/10</x:v>
      </x:c>
      <x:c r="C539" s="10" t="d">
        <x:v>2026-07-09T12:00:00.000Z</x:v>
      </x:c>
      <x:c r="D539" s="11"/>
      <x:c r="E539" s="11"/>
      <x:c r="F539" s="11"/>
      <x:c r="G539" s="12"/>
      <x:c r="H539" s="9"/>
      <x:c r="I539" s="9"/>
      <x:c r="J539" s="13"/>
      <x:c r="K539" s="9" t="str">
        <x:v>Sem exportação</x:v>
      </x:c>
      <x:c r="L539" s="9"/>
    </x:row>
    <x:row r="540" ht="24" customHeight="1">
      <x:c r="A540" s="9" t="str">
        <x:v>C06</x:v>
      </x:c>
      <x:c r="B540" s="9" t="str">
        <x:v>[TRON] - YouTube 02 -  VT 5 Seg - {Reg SC} - 07/10</x:v>
      </x:c>
      <x:c r="C540" s="10" t="d">
        <x:v>2026-07-10T12:00:00.000Z</x:v>
      </x:c>
      <x:c r="D540" s="11"/>
      <x:c r="E540" s="11"/>
      <x:c r="F540" s="11"/>
      <x:c r="G540" s="12"/>
      <x:c r="H540" s="9"/>
      <x:c r="I540" s="9"/>
      <x:c r="J540" s="13"/>
      <x:c r="K540" s="9" t="str">
        <x:v>Sem exportação</x:v>
      </x:c>
      <x:c r="L540" s="9"/>
    </x:row>
    <x:row r="541" ht="24" customHeight="1">
      <x:c r="A541" s="9" t="str">
        <x:v>C06</x:v>
      </x:c>
      <x:c r="B541" s="9" t="str">
        <x:v>[TRON] - YouTube 02 -  VT 5 Seg - {Reg SC} - 07/10</x:v>
      </x:c>
      <x:c r="C541" s="10" t="d">
        <x:v>2026-07-11T12:00:00.000Z</x:v>
      </x:c>
      <x:c r="D541" s="11"/>
      <x:c r="E541" s="11"/>
      <x:c r="F541" s="11"/>
      <x:c r="G541" s="12"/>
      <x:c r="H541" s="9"/>
      <x:c r="I541" s="9"/>
      <x:c r="J541" s="13"/>
      <x:c r="K541" s="9" t="str">
        <x:v>Sem exportação</x:v>
      </x:c>
      <x:c r="L541" s="9"/>
    </x:row>
    <x:row r="542" ht="24" customHeight="1">
      <x:c r="A542" s="9" t="str">
        <x:v>C06</x:v>
      </x:c>
      <x:c r="B542" s="9" t="str">
        <x:v>[TRON] - YouTube 02 -  VT 5 Seg - {Reg SC} - 07/10</x:v>
      </x:c>
      <x:c r="C542" s="10" t="d">
        <x:v>2026-07-12T12:00:00.000Z</x:v>
      </x:c>
      <x:c r="D542" s="11"/>
      <x:c r="E542" s="11"/>
      <x:c r="F542" s="11"/>
      <x:c r="G542" s="12"/>
      <x:c r="H542" s="9"/>
      <x:c r="I542" s="9"/>
      <x:c r="J542" s="13"/>
      <x:c r="K542" s="9" t="str">
        <x:v>Sem exportação</x:v>
      </x:c>
      <x:c r="L542" s="9"/>
    </x:row>
    <x:row r="543" ht="24" customHeight="1">
      <x:c r="A543" s="9" t="str">
        <x:v>C06</x:v>
      </x:c>
      <x:c r="B543" s="9" t="str">
        <x:v>[TRON] - YouTube 02 -  VT 5 Seg - {Reg SC} - 07/10</x:v>
      </x:c>
      <x:c r="C543" s="10" t="d">
        <x:v>2026-07-13T12:00:00.000Z</x:v>
      </x:c>
      <x:c r="D543" s="11"/>
      <x:c r="E543" s="11"/>
      <x:c r="F543" s="11"/>
      <x:c r="G543" s="12"/>
      <x:c r="H543" s="9"/>
      <x:c r="I543" s="9"/>
      <x:c r="J543" s="13"/>
      <x:c r="K543" s="9" t="str">
        <x:v>Sem exportação</x:v>
      </x:c>
      <x:c r="L543" s="9"/>
    </x:row>
    <x:row r="544" ht="24" customHeight="1">
      <x:c r="A544" s="9" t="str">
        <x:v>C06</x:v>
      </x:c>
      <x:c r="B544" s="9" t="str">
        <x:v>[TRON] - YouTube 02 -  VT 5 Seg - {Reg SC} - 07/10</x:v>
      </x:c>
      <x:c r="C544" s="10" t="d">
        <x:v>2026-07-14T12:00:00.000Z</x:v>
      </x:c>
      <x:c r="D544" s="11"/>
      <x:c r="E544" s="11"/>
      <x:c r="F544" s="11"/>
      <x:c r="G544" s="12"/>
      <x:c r="H544" s="9"/>
      <x:c r="I544" s="9"/>
      <x:c r="J544" s="13"/>
      <x:c r="K544" s="9" t="str">
        <x:v>Sem exportação</x:v>
      </x:c>
      <x:c r="L544" s="9"/>
    </x:row>
    <x:row r="545" ht="24" customHeight="1">
      <x:c r="A545" s="9" t="str">
        <x:v>C06</x:v>
      </x:c>
      <x:c r="B545" s="9" t="str">
        <x:v>[TRON] - YouTube 02 -  VT 5 Seg - {Reg SC} - 07/10</x:v>
      </x:c>
      <x:c r="C545" s="10" t="d">
        <x:v>2026-07-15T12:00:00.000Z</x:v>
      </x:c>
      <x:c r="D545" s="11"/>
      <x:c r="E545" s="11"/>
      <x:c r="F545" s="11"/>
      <x:c r="G545" s="12"/>
      <x:c r="H545" s="9"/>
      <x:c r="I545" s="9"/>
      <x:c r="J545" s="13"/>
      <x:c r="K545" s="9" t="str">
        <x:v>Sem exportação</x:v>
      </x:c>
      <x:c r="L545" s="9"/>
    </x:row>
    <x:row r="546" ht="24" customHeight="1">
      <x:c r="A546" s="9" t="str">
        <x:v>C06</x:v>
      </x:c>
      <x:c r="B546" s="9" t="str">
        <x:v>[TRON] - YouTube 02 -  VT 5 Seg - {Reg SC} - 07/10</x:v>
      </x:c>
      <x:c r="C546" s="10" t="d">
        <x:v>2026-07-16T12:00:00.000Z</x:v>
      </x:c>
      <x:c r="D546" s="11"/>
      <x:c r="E546" s="11"/>
      <x:c r="F546" s="11"/>
      <x:c r="G546" s="12"/>
      <x:c r="H546" s="9"/>
      <x:c r="I546" s="9"/>
      <x:c r="J546" s="13"/>
      <x:c r="K546" s="9" t="str">
        <x:v>Sem exportação</x:v>
      </x:c>
      <x:c r="L546" s="9"/>
    </x:row>
    <x:row r="547" ht="24" customHeight="1">
      <x:c r="A547" s="9" t="str">
        <x:v>C06</x:v>
      </x:c>
      <x:c r="B547" s="9" t="str">
        <x:v>[TRON] - YouTube 02 -  VT 5 Seg - {Reg SC} - 07/10</x:v>
      </x:c>
      <x:c r="C547" s="10" t="d">
        <x:v>2026-07-17T12:00:00.000Z</x:v>
      </x:c>
      <x:c r="D547" s="11"/>
      <x:c r="E547" s="11"/>
      <x:c r="F547" s="11"/>
      <x:c r="G547" s="12"/>
      <x:c r="H547" s="9"/>
      <x:c r="I547" s="9"/>
      <x:c r="J547" s="13"/>
      <x:c r="K547" s="9" t="str">
        <x:v>Sem exportação</x:v>
      </x:c>
      <x:c r="L547" s="9"/>
    </x:row>
    <x:row r="548" ht="24" customHeight="1">
      <x:c r="A548" s="9" t="str">
        <x:v>C06</x:v>
      </x:c>
      <x:c r="B548" s="9" t="str">
        <x:v>[TRON] - YouTube 02 -  VT 5 Seg - {Reg SC} - 07/10</x:v>
      </x:c>
      <x:c r="C548" s="10" t="d">
        <x:v>2026-07-18T12:00:00.000Z</x:v>
      </x:c>
      <x:c r="D548" s="11"/>
      <x:c r="E548" s="11"/>
      <x:c r="F548" s="11"/>
      <x:c r="G548" s="12"/>
      <x:c r="H548" s="9"/>
      <x:c r="I548" s="9"/>
      <x:c r="J548" s="13"/>
      <x:c r="K548" s="9" t="str">
        <x:v>Sem exportação</x:v>
      </x:c>
      <x:c r="L548" s="9"/>
    </x:row>
    <x:row r="549" ht="24" customHeight="1">
      <x:c r="A549" s="9" t="str">
        <x:v>C06</x:v>
      </x:c>
      <x:c r="B549" s="9" t="str">
        <x:v>[TRON] - YouTube 02 -  VT 5 Seg - {Reg SC} - 07/10</x:v>
      </x:c>
      <x:c r="C549" s="10" t="d">
        <x:v>2026-07-19T12:00:00.000Z</x:v>
      </x:c>
      <x:c r="D549" s="11"/>
      <x:c r="E549" s="11"/>
      <x:c r="F549" s="11"/>
      <x:c r="G549" s="12"/>
      <x:c r="H549" s="9"/>
      <x:c r="I549" s="9"/>
      <x:c r="J549" s="13"/>
      <x:c r="K549" s="9" t="str">
        <x:v>Sem exportação</x:v>
      </x:c>
      <x:c r="L549" s="9"/>
    </x:row>
    <x:row r="550" ht="24" customHeight="1">
      <x:c r="A550" s="9" t="str">
        <x:v>C06</x:v>
      </x:c>
      <x:c r="B550" s="9" t="str">
        <x:v>[TRON] - YouTube 02 -  VT 5 Seg - {Reg SC} - 07/10</x:v>
      </x:c>
      <x:c r="C550" s="10" t="d">
        <x:v>2026-07-20T12:00:00.000Z</x:v>
      </x:c>
      <x:c r="D550" s="11"/>
      <x:c r="E550" s="11"/>
      <x:c r="F550" s="11"/>
      <x:c r="G550" s="12"/>
      <x:c r="H550" s="9"/>
      <x:c r="I550" s="9"/>
      <x:c r="J550" s="13"/>
      <x:c r="K550" s="9" t="str">
        <x:v>Sem exportação</x:v>
      </x:c>
      <x:c r="L550" s="9"/>
    </x:row>
    <x:row r="551" ht="24" customHeight="1">
      <x:c r="A551" s="9" t="str">
        <x:v>C06</x:v>
      </x:c>
      <x:c r="B551" s="9" t="str">
        <x:v>[TRON] - YouTube 02 -  VT 5 Seg - {Reg SC} - 07/10</x:v>
      </x:c>
      <x:c r="C551" s="10" t="d">
        <x:v>2026-07-21T12:00:00.000Z</x:v>
      </x:c>
      <x:c r="D551" s="11"/>
      <x:c r="E551" s="11"/>
      <x:c r="F551" s="11"/>
      <x:c r="G551" s="12"/>
      <x:c r="H551" s="9"/>
      <x:c r="I551" s="9"/>
      <x:c r="J551" s="13"/>
      <x:c r="K551" s="9" t="str">
        <x:v>Sem exportação</x:v>
      </x:c>
      <x:c r="L551" s="9"/>
    </x:row>
    <x:row r="552" ht="24" customHeight="1">
      <x:c r="A552" s="9" t="str">
        <x:v>C06</x:v>
      </x:c>
      <x:c r="B552" s="9" t="str">
        <x:v>[TRON] - YouTube 02 -  VT 5 Seg - {Reg SC} - 07/10</x:v>
      </x:c>
      <x:c r="C552" s="10" t="d">
        <x:v>2026-07-22T12:00:00.000Z</x:v>
      </x:c>
      <x:c r="D552" s="11"/>
      <x:c r="E552" s="11"/>
      <x:c r="F552" s="11"/>
      <x:c r="G552" s="12"/>
      <x:c r="H552" s="9"/>
      <x:c r="I552" s="9"/>
      <x:c r="J552" s="13"/>
      <x:c r="K552" s="9" t="str">
        <x:v>Sem exportação</x:v>
      </x:c>
      <x:c r="L552" s="9"/>
    </x:row>
    <x:row r="553" ht="24" customHeight="1">
      <x:c r="A553" s="9" t="str">
        <x:v>C06</x:v>
      </x:c>
      <x:c r="B553" s="9" t="str">
        <x:v>[TRON] - YouTube 02 -  VT 5 Seg - {Reg SC} - 07/10</x:v>
      </x:c>
      <x:c r="C553" s="10" t="d">
        <x:v>2026-07-23T12:00:00.000Z</x:v>
      </x:c>
      <x:c r="D553" s="11"/>
      <x:c r="E553" s="11"/>
      <x:c r="F553" s="11"/>
      <x:c r="G553" s="12"/>
      <x:c r="H553" s="9"/>
      <x:c r="I553" s="9"/>
      <x:c r="J553" s="13"/>
      <x:c r="K553" s="9" t="str">
        <x:v>Sem exportação</x:v>
      </x:c>
      <x:c r="L553" s="9"/>
    </x:row>
    <x:row r="554" ht="24" customHeight="1">
      <x:c r="A554" s="9" t="str">
        <x:v>C06</x:v>
      </x:c>
      <x:c r="B554" s="9" t="str">
        <x:v>[TRON] - YouTube 02 -  VT 5 Seg - {Reg SC} - 07/10</x:v>
      </x:c>
      <x:c r="C554" s="10" t="d">
        <x:v>2026-07-24T12:00:00.000Z</x:v>
      </x:c>
      <x:c r="D554" s="11"/>
      <x:c r="E554" s="11"/>
      <x:c r="F554" s="11"/>
      <x:c r="G554" s="12"/>
      <x:c r="H554" s="9"/>
      <x:c r="I554" s="9"/>
      <x:c r="J554" s="13"/>
      <x:c r="K554" s="9" t="str">
        <x:v>Sem exportação</x:v>
      </x:c>
      <x:c r="L554" s="9"/>
    </x:row>
    <x:row r="555" ht="24" customHeight="1">
      <x:c r="A555" s="9" t="str">
        <x:v>C06</x:v>
      </x:c>
      <x:c r="B555" s="9" t="str">
        <x:v>[TRON] - YouTube 02 -  VT 5 Seg - {Reg SC} - 07/10</x:v>
      </x:c>
      <x:c r="C555" s="10" t="d">
        <x:v>2026-07-25T12:00:00.000Z</x:v>
      </x:c>
      <x:c r="D555" s="11"/>
      <x:c r="E555" s="11"/>
      <x:c r="F555" s="11"/>
      <x:c r="G555" s="12"/>
      <x:c r="H555" s="9"/>
      <x:c r="I555" s="9"/>
      <x:c r="J555" s="13"/>
      <x:c r="K555" s="9" t="str">
        <x:v>Sem exportação</x:v>
      </x:c>
      <x:c r="L555" s="9"/>
    </x:row>
    <x:row r="556" ht="24" customHeight="1">
      <x:c r="A556" s="9" t="str">
        <x:v>C06</x:v>
      </x:c>
      <x:c r="B556" s="9" t="str">
        <x:v>[TRON] - YouTube 02 -  VT 5 Seg - {Reg SC} - 07/10</x:v>
      </x:c>
      <x:c r="C556" s="10" t="d">
        <x:v>2026-07-26T12:00:00.000Z</x:v>
      </x:c>
      <x:c r="D556" s="11"/>
      <x:c r="E556" s="11"/>
      <x:c r="F556" s="11"/>
      <x:c r="G556" s="12"/>
      <x:c r="H556" s="9"/>
      <x:c r="I556" s="9"/>
      <x:c r="J556" s="13"/>
      <x:c r="K556" s="9" t="str">
        <x:v>Sem exportação</x:v>
      </x:c>
      <x:c r="L556" s="9"/>
    </x:row>
    <x:row r="557" ht="24" customHeight="1">
      <x:c r="A557" s="9" t="str">
        <x:v>C06</x:v>
      </x:c>
      <x:c r="B557" s="9" t="str">
        <x:v>[TRON] - YouTube 02 -  VT 5 Seg - {Reg SC} - 07/10</x:v>
      </x:c>
      <x:c r="C557" s="10" t="d">
        <x:v>2026-07-27T12:00:00.000Z</x:v>
      </x:c>
      <x:c r="D557" s="11"/>
      <x:c r="E557" s="11"/>
      <x:c r="F557" s="11"/>
      <x:c r="G557" s="12"/>
      <x:c r="H557" s="9"/>
      <x:c r="I557" s="9"/>
      <x:c r="J557" s="13"/>
      <x:c r="K557" s="9" t="str">
        <x:v>Sem exportação</x:v>
      </x:c>
      <x:c r="L557" s="9"/>
    </x:row>
    <x:row r="558" ht="24" customHeight="1">
      <x:c r="A558" s="9" t="str">
        <x:v>C06</x:v>
      </x:c>
      <x:c r="B558" s="9" t="str">
        <x:v>[TRON] - YouTube 02 -  VT 5 Seg - {Reg SC} - 07/10</x:v>
      </x:c>
      <x:c r="C558" s="10" t="d">
        <x:v>2026-07-28T12:00:00.000Z</x:v>
      </x:c>
      <x:c r="D558" s="11"/>
      <x:c r="E558" s="11"/>
      <x:c r="F558" s="11"/>
      <x:c r="G558" s="12"/>
      <x:c r="H558" s="9"/>
      <x:c r="I558" s="9"/>
      <x:c r="J558" s="13"/>
      <x:c r="K558" s="9" t="str">
        <x:v>Sem exportação</x:v>
      </x:c>
      <x:c r="L558" s="9"/>
    </x:row>
    <x:row r="559" ht="24" customHeight="1">
      <x:c r="A559" s="9" t="str">
        <x:v>C06</x:v>
      </x:c>
      <x:c r="B559" s="9" t="str">
        <x:v>[TRON] - YouTube 02 -  VT 5 Seg - {Reg SC} - 07/10</x:v>
      </x:c>
      <x:c r="C559" s="10" t="d">
        <x:v>2026-07-29T12:00:00.000Z</x:v>
      </x:c>
      <x:c r="D559" s="11"/>
      <x:c r="E559" s="11"/>
      <x:c r="F559" s="11"/>
      <x:c r="G559" s="12"/>
      <x:c r="H559" s="9"/>
      <x:c r="I559" s="9"/>
      <x:c r="J559" s="13"/>
      <x:c r="K559" s="9" t="str">
        <x:v>Sem exportação</x:v>
      </x:c>
      <x:c r="L559" s="9"/>
    </x:row>
    <x:row r="560" ht="24" customHeight="1">
      <x:c r="A560" s="9" t="str">
        <x:v>C06</x:v>
      </x:c>
      <x:c r="B560" s="9" t="str">
        <x:v>[TRON] - YouTube 02 -  VT 5 Seg - {Reg SC} - 07/10</x:v>
      </x:c>
      <x:c r="C560" s="10" t="d">
        <x:v>2026-07-30T12:00:00.000Z</x:v>
      </x:c>
      <x:c r="D560" s="11"/>
      <x:c r="E560" s="11"/>
      <x:c r="F560" s="11"/>
      <x:c r="G560" s="12"/>
      <x:c r="H560" s="9"/>
      <x:c r="I560" s="9"/>
      <x:c r="J560" s="13"/>
      <x:c r="K560" s="9" t="str">
        <x:v>Sem exportação</x:v>
      </x:c>
      <x:c r="L560" s="9"/>
    </x:row>
    <x:row r="561" ht="24" customHeight="1">
      <x:c r="A561" s="9" t="str">
        <x:v>C06</x:v>
      </x:c>
      <x:c r="B561" s="9" t="str">
        <x:v>[TRON] - YouTube 02 -  VT 5 Seg - {Reg SC} - 07/10</x:v>
      </x:c>
      <x:c r="C561" s="10" t="d">
        <x:v>2026-07-31T12:00:00.000Z</x:v>
      </x:c>
      <x:c r="D561" s="11"/>
      <x:c r="E561" s="11"/>
      <x:c r="F561" s="11"/>
      <x:c r="G561" s="12"/>
      <x:c r="H561" s="9"/>
      <x:c r="I561" s="9"/>
      <x:c r="J561" s="13"/>
      <x:c r="K561" s="9" t="str">
        <x:v>Sem exportação</x:v>
      </x:c>
      <x:c r="L561" s="9"/>
    </x:row>
    <x:row r="562" ht="24" customHeight="1">
      <x:c r="A562" s="9" t="str">
        <x:v>C06</x:v>
      </x:c>
      <x:c r="B562" s="9" t="str">
        <x:v>[TRON] - YouTube 02 -  VT 5 Seg - {Reg SC} - 07/10</x:v>
      </x:c>
      <x:c r="C562" s="10" t="d">
        <x:v>2026-08-01T12:00:00.000Z</x:v>
      </x:c>
      <x:c r="D562" s="11"/>
      <x:c r="E562" s="11"/>
      <x:c r="F562" s="11"/>
      <x:c r="G562" s="12"/>
      <x:c r="H562" s="9"/>
      <x:c r="I562" s="9"/>
      <x:c r="J562" s="13"/>
      <x:c r="K562" s="9" t="str">
        <x:v>Sem exportação</x:v>
      </x:c>
      <x:c r="L562" s="9"/>
    </x:row>
    <x:row r="563" ht="24" customHeight="1">
      <x:c r="A563" s="9" t="str">
        <x:v>C06</x:v>
      </x:c>
      <x:c r="B563" s="9" t="str">
        <x:v>[TRON] - YouTube 02 -  VT 5 Seg - {Reg SC} - 07/10</x:v>
      </x:c>
      <x:c r="C563" s="10" t="d">
        <x:v>2026-08-02T12:00:00.000Z</x:v>
      </x:c>
      <x:c r="D563" s="11"/>
      <x:c r="E563" s="11"/>
      <x:c r="F563" s="11"/>
      <x:c r="G563" s="12"/>
      <x:c r="H563" s="9"/>
      <x:c r="I563" s="9"/>
      <x:c r="J563" s="13"/>
      <x:c r="K563" s="9" t="str">
        <x:v>Sem exportação</x:v>
      </x:c>
      <x:c r="L563" s="9"/>
    </x:row>
    <x:row r="564" ht="24" customHeight="1">
      <x:c r="A564" s="9" t="str">
        <x:v>C06</x:v>
      </x:c>
      <x:c r="B564" s="9" t="str">
        <x:v>[TRON] - YouTube 02 -  VT 5 Seg - {Reg SC} - 07/10</x:v>
      </x:c>
      <x:c r="C564" s="10" t="d">
        <x:v>2026-08-03T12:00:00.000Z</x:v>
      </x:c>
      <x:c r="D564" s="11"/>
      <x:c r="E564" s="11"/>
      <x:c r="F564" s="11"/>
      <x:c r="G564" s="12"/>
      <x:c r="H564" s="9"/>
      <x:c r="I564" s="9"/>
      <x:c r="J564" s="13"/>
      <x:c r="K564" s="9" t="str">
        <x:v>Sem exportação</x:v>
      </x:c>
      <x:c r="L564" s="9"/>
    </x:row>
    <x:row r="565" ht="24" customHeight="1">
      <x:c r="A565" s="9" t="str">
        <x:v>C06</x:v>
      </x:c>
      <x:c r="B565" s="9" t="str">
        <x:v>[TRON] - YouTube 02 -  VT 5 Seg - {Reg SC} - 07/10</x:v>
      </x:c>
      <x:c r="C565" s="10" t="d">
        <x:v>2026-08-04T12:00:00.000Z</x:v>
      </x:c>
      <x:c r="D565" s="11"/>
      <x:c r="E565" s="11"/>
      <x:c r="F565" s="11"/>
      <x:c r="G565" s="12"/>
      <x:c r="H565" s="9"/>
      <x:c r="I565" s="9"/>
      <x:c r="J565" s="13"/>
      <x:c r="K565" s="9" t="str">
        <x:v>Sem exportação</x:v>
      </x:c>
      <x:c r="L565" s="9"/>
    </x:row>
    <x:row r="566" ht="24" customHeight="1">
      <x:c r="A566" s="9" t="str">
        <x:v>C06</x:v>
      </x:c>
      <x:c r="B566" s="9" t="str">
        <x:v>[TRON] - YouTube 02 -  VT 5 Seg - {Reg SC} - 07/10</x:v>
      </x:c>
      <x:c r="C566" s="10" t="d">
        <x:v>2026-08-05T12:00:00.000Z</x:v>
      </x:c>
      <x:c r="D566" s="11"/>
      <x:c r="E566" s="11"/>
      <x:c r="F566" s="11"/>
      <x:c r="G566" s="12"/>
      <x:c r="H566" s="9"/>
      <x:c r="I566" s="9"/>
      <x:c r="J566" s="13"/>
      <x:c r="K566" s="9" t="str">
        <x:v>Sem exportação</x:v>
      </x:c>
      <x:c r="L566" s="9"/>
    </x:row>
    <x:row r="567" ht="24" customHeight="1">
      <x:c r="A567" s="9" t="str">
        <x:v>C06</x:v>
      </x:c>
      <x:c r="B567" s="9" t="str">
        <x:v>[TRON] - YouTube 02 -  VT 5 Seg - {Reg SC} - 07/10</x:v>
      </x:c>
      <x:c r="C567" s="10" t="d">
        <x:v>2026-08-06T12:00:00.000Z</x:v>
      </x:c>
      <x:c r="D567" s="11"/>
      <x:c r="E567" s="11"/>
      <x:c r="F567" s="11"/>
      <x:c r="G567" s="12"/>
      <x:c r="H567" s="9"/>
      <x:c r="I567" s="9"/>
      <x:c r="J567" s="13"/>
      <x:c r="K567" s="9" t="str">
        <x:v>Sem exportação</x:v>
      </x:c>
      <x:c r="L567" s="9"/>
    </x:row>
    <x:row r="568" ht="24" customHeight="1">
      <x:c r="A568" s="9" t="str">
        <x:v>C06</x:v>
      </x:c>
      <x:c r="B568" s="9" t="str">
        <x:v>[TRON] - YouTube 02 -  VT 5 Seg - {Reg SC} - 07/10</x:v>
      </x:c>
      <x:c r="C568" s="10" t="d">
        <x:v>2026-08-07T12:00:00.000Z</x:v>
      </x:c>
      <x:c r="D568" s="11"/>
      <x:c r="E568" s="11"/>
      <x:c r="F568" s="11"/>
      <x:c r="G568" s="12"/>
      <x:c r="H568" s="9"/>
      <x:c r="I568" s="9"/>
      <x:c r="J568" s="13"/>
      <x:c r="K568" s="9" t="str">
        <x:v>Sem exportação</x:v>
      </x:c>
      <x:c r="L568" s="9"/>
    </x:row>
    <x:row r="569" ht="24" customHeight="1">
      <x:c r="A569" s="9" t="str">
        <x:v>C06</x:v>
      </x:c>
      <x:c r="B569" s="9" t="str">
        <x:v>[TRON] - YouTube 02 -  VT 5 Seg - {Reg SC} - 07/10</x:v>
      </x:c>
      <x:c r="C569" s="10" t="d">
        <x:v>2026-08-08T12:00:00.000Z</x:v>
      </x:c>
      <x:c r="D569" s="11"/>
      <x:c r="E569" s="11"/>
      <x:c r="F569" s="11"/>
      <x:c r="G569" s="12"/>
      <x:c r="H569" s="9"/>
      <x:c r="I569" s="9"/>
      <x:c r="J569" s="13"/>
      <x:c r="K569" s="9" t="str">
        <x:v>Sem exportação</x:v>
      </x:c>
      <x:c r="L569" s="9"/>
    </x:row>
    <x:row r="570" ht="24" customHeight="1">
      <x:c r="A570" s="9" t="str">
        <x:v>C06</x:v>
      </x:c>
      <x:c r="B570" s="9" t="str">
        <x:v>[TRON] - YouTube 02 -  VT 5 Seg - {Reg SC} - 07/10</x:v>
      </x:c>
      <x:c r="C570" s="10" t="d">
        <x:v>2026-08-09T12:00:00.000Z</x:v>
      </x:c>
      <x:c r="D570" s="11"/>
      <x:c r="E570" s="11"/>
      <x:c r="F570" s="11"/>
      <x:c r="G570" s="12"/>
      <x:c r="H570" s="9"/>
      <x:c r="I570" s="9"/>
      <x:c r="J570" s="13"/>
      <x:c r="K570" s="9" t="str">
        <x:v>Sem exportação</x:v>
      </x:c>
      <x:c r="L570" s="9"/>
    </x:row>
    <x:row r="571" ht="24" customHeight="1">
      <x:c r="A571" s="9" t="str">
        <x:v>C06</x:v>
      </x:c>
      <x:c r="B571" s="9" t="str">
        <x:v>[TRON] - YouTube 02 -  VT 5 Seg - {Reg SC} - 07/10</x:v>
      </x:c>
      <x:c r="C571" s="10" t="d">
        <x:v>2026-08-10T12:00:00.000Z</x:v>
      </x:c>
      <x:c r="D571" s="11"/>
      <x:c r="E571" s="11"/>
      <x:c r="F571" s="11"/>
      <x:c r="G571" s="12"/>
      <x:c r="H571" s="9"/>
      <x:c r="I571" s="9"/>
      <x:c r="J571" s="13"/>
      <x:c r="K571" s="9" t="str">
        <x:v>Sem exportação</x:v>
      </x:c>
      <x:c r="L571" s="9"/>
    </x:row>
    <x:row r="572" ht="24" customHeight="1">
      <x:c r="A572" s="9" t="str">
        <x:v>C06</x:v>
      </x:c>
      <x:c r="B572" s="9" t="str">
        <x:v>[TRON] - YouTube 02 -  VT 5 Seg - {Reg SC} - 07/10</x:v>
      </x:c>
      <x:c r="C572" s="10" t="d">
        <x:v>2026-08-11T12:00:00.000Z</x:v>
      </x:c>
      <x:c r="D572" s="11"/>
      <x:c r="E572" s="11"/>
      <x:c r="F572" s="11"/>
      <x:c r="G572" s="12"/>
      <x:c r="H572" s="9"/>
      <x:c r="I572" s="9"/>
      <x:c r="J572" s="13"/>
      <x:c r="K572" s="9" t="str">
        <x:v>Sem exportação</x:v>
      </x:c>
      <x:c r="L572" s="9"/>
    </x:row>
    <x:row r="573" ht="24" customHeight="1">
      <x:c r="A573" s="9" t="str">
        <x:v>C06</x:v>
      </x:c>
      <x:c r="B573" s="9" t="str">
        <x:v>[TRON] - YouTube 02 -  VT 5 Seg - {Reg SC} - 07/10</x:v>
      </x:c>
      <x:c r="C573" s="10" t="d">
        <x:v>2026-08-12T12:00:00.000Z</x:v>
      </x:c>
      <x:c r="D573" s="11"/>
      <x:c r="E573" s="11"/>
      <x:c r="F573" s="11"/>
      <x:c r="G573" s="12"/>
      <x:c r="H573" s="9"/>
      <x:c r="I573" s="9"/>
      <x:c r="J573" s="13"/>
      <x:c r="K573" s="9" t="str">
        <x:v>Sem exportação</x:v>
      </x:c>
      <x:c r="L573" s="9"/>
    </x:row>
    <x:row r="574" ht="24" customHeight="1">
      <x:c r="A574" s="9" t="str">
        <x:v>C06</x:v>
      </x:c>
      <x:c r="B574" s="9" t="str">
        <x:v>[TRON] - YouTube 02 -  VT 5 Seg - {Reg SC} - 07/10</x:v>
      </x:c>
      <x:c r="C574" s="10" t="d">
        <x:v>2026-08-13T12:00:00.000Z</x:v>
      </x:c>
      <x:c r="D574" s="11"/>
      <x:c r="E574" s="11"/>
      <x:c r="F574" s="11"/>
      <x:c r="G574" s="12"/>
      <x:c r="H574" s="9"/>
      <x:c r="I574" s="9"/>
      <x:c r="J574" s="13"/>
      <x:c r="K574" s="9" t="str">
        <x:v>Sem exportação</x:v>
      </x:c>
      <x:c r="L574" s="9"/>
    </x:row>
    <x:row r="575" ht="24" customHeight="1">
      <x:c r="A575" s="9" t="str">
        <x:v>C06</x:v>
      </x:c>
      <x:c r="B575" s="9" t="str">
        <x:v>[TRON] - YouTube 02 -  VT 5 Seg - {Reg SC} - 07/10</x:v>
      </x:c>
      <x:c r="C575" s="10" t="d">
        <x:v>2026-08-14T12:00:00.000Z</x:v>
      </x:c>
      <x:c r="D575" s="11"/>
      <x:c r="E575" s="11"/>
      <x:c r="F575" s="11"/>
      <x:c r="G575" s="12"/>
      <x:c r="H575" s="9"/>
      <x:c r="I575" s="9"/>
      <x:c r="J575" s="13"/>
      <x:c r="K575" s="9" t="str">
        <x:v>Sem exportação</x:v>
      </x:c>
      <x:c r="L575" s="9"/>
    </x:row>
    <x:row r="576" ht="24" customHeight="1">
      <x:c r="A576" s="9" t="str">
        <x:v>C06</x:v>
      </x:c>
      <x:c r="B576" s="9" t="str">
        <x:v>[TRON] - YouTube 02 -  VT 5 Seg - {Reg SC} - 07/10</x:v>
      </x:c>
      <x:c r="C576" s="10" t="d">
        <x:v>2026-08-15T12:00:00.000Z</x:v>
      </x:c>
      <x:c r="D576" s="11"/>
      <x:c r="E576" s="11"/>
      <x:c r="F576" s="11"/>
      <x:c r="G576" s="12"/>
      <x:c r="H576" s="9"/>
      <x:c r="I576" s="9"/>
      <x:c r="J576" s="13"/>
      <x:c r="K576" s="9" t="str">
        <x:v>Sem exportação</x:v>
      </x:c>
      <x:c r="L576" s="9"/>
    </x:row>
    <x:row r="577" ht="24" customHeight="1">
      <x:c r="A577" s="9" t="str">
        <x:v>C06</x:v>
      </x:c>
      <x:c r="B577" s="9" t="str">
        <x:v>[TRON] - YouTube 02 -  VT 5 Seg - {Reg SC} - 07/10</x:v>
      </x:c>
      <x:c r="C577" s="10" t="d">
        <x:v>2026-08-16T12:00:00.000Z</x:v>
      </x:c>
      <x:c r="D577" s="11"/>
      <x:c r="E577" s="11"/>
      <x:c r="F577" s="11"/>
      <x:c r="G577" s="12"/>
      <x:c r="H577" s="9"/>
      <x:c r="I577" s="9"/>
      <x:c r="J577" s="13"/>
      <x:c r="K577" s="9" t="str">
        <x:v>Sem exportação</x:v>
      </x:c>
      <x:c r="L577" s="9"/>
    </x:row>
    <x:row r="578" ht="24" customHeight="1">
      <x:c r="A578" s="9" t="str">
        <x:v>C06</x:v>
      </x:c>
      <x:c r="B578" s="9" t="str">
        <x:v>[TRON] - YouTube 02 -  VT 5 Seg - {Reg SC} - 07/10</x:v>
      </x:c>
      <x:c r="C578" s="10" t="d">
        <x:v>2026-08-17T12:00:00.000Z</x:v>
      </x:c>
      <x:c r="D578" s="11"/>
      <x:c r="E578" s="11"/>
      <x:c r="F578" s="11"/>
      <x:c r="G578" s="12"/>
      <x:c r="H578" s="9"/>
      <x:c r="I578" s="9"/>
      <x:c r="J578" s="13"/>
      <x:c r="K578" s="9" t="str">
        <x:v>Sem exportação</x:v>
      </x:c>
      <x:c r="L578" s="9"/>
    </x:row>
    <x:row r="579" ht="24" customHeight="1">
      <x:c r="A579" s="9" t="str">
        <x:v>C06</x:v>
      </x:c>
      <x:c r="B579" s="9" t="str">
        <x:v>[TRON] - YouTube 02 -  VT 5 Seg - {Reg SC} - 07/10</x:v>
      </x:c>
      <x:c r="C579" s="10" t="d">
        <x:v>2026-08-18T12:00:00.000Z</x:v>
      </x:c>
      <x:c r="D579" s="11"/>
      <x:c r="E579" s="11"/>
      <x:c r="F579" s="11"/>
      <x:c r="G579" s="12"/>
      <x:c r="H579" s="9"/>
      <x:c r="I579" s="9"/>
      <x:c r="J579" s="13"/>
      <x:c r="K579" s="9" t="str">
        <x:v>Sem exportação</x:v>
      </x:c>
      <x:c r="L579" s="9"/>
    </x:row>
    <x:row r="580" ht="24" customHeight="1">
      <x:c r="A580" s="9" t="str">
        <x:v>C06</x:v>
      </x:c>
      <x:c r="B580" s="9" t="str">
        <x:v>[TRON] - YouTube 02 -  VT 5 Seg - {Reg SC} - 07/10</x:v>
      </x:c>
      <x:c r="C580" s="10" t="d">
        <x:v>2026-08-19T12:00:00.000Z</x:v>
      </x:c>
      <x:c r="D580" s="11"/>
      <x:c r="E580" s="11"/>
      <x:c r="F580" s="11"/>
      <x:c r="G580" s="12"/>
      <x:c r="H580" s="9"/>
      <x:c r="I580" s="9"/>
      <x:c r="J580" s="13"/>
      <x:c r="K580" s="9" t="str">
        <x:v>Sem exportação</x:v>
      </x:c>
      <x:c r="L580" s="9"/>
    </x:row>
    <x:row r="581" ht="24" customHeight="1">
      <x:c r="A581" s="9" t="str">
        <x:v>C06</x:v>
      </x:c>
      <x:c r="B581" s="9" t="str">
        <x:v>[TRON] - YouTube 02 -  VT 5 Seg - {Reg SC} - 07/10</x:v>
      </x:c>
      <x:c r="C581" s="10" t="d">
        <x:v>2026-08-20T12:00:00.000Z</x:v>
      </x:c>
      <x:c r="D581" s="11"/>
      <x:c r="E581" s="11"/>
      <x:c r="F581" s="11"/>
      <x:c r="G581" s="12"/>
      <x:c r="H581" s="9"/>
      <x:c r="I581" s="9"/>
      <x:c r="J581" s="13"/>
      <x:c r="K581" s="9" t="str">
        <x:v>Sem exportação</x:v>
      </x:c>
      <x:c r="L581" s="9"/>
    </x:row>
    <x:row r="582" ht="24" customHeight="1">
      <x:c r="A582" s="9" t="str">
        <x:v>C06</x:v>
      </x:c>
      <x:c r="B582" s="9" t="str">
        <x:v>[TRON] - YouTube 02 -  VT 5 Seg - {Reg SC} - 07/10</x:v>
      </x:c>
      <x:c r="C582" s="10" t="d">
        <x:v>2026-08-21T12:00:00.000Z</x:v>
      </x:c>
      <x:c r="D582" s="11"/>
      <x:c r="E582" s="11"/>
      <x:c r="F582" s="11"/>
      <x:c r="G582" s="12"/>
      <x:c r="H582" s="9"/>
      <x:c r="I582" s="9"/>
      <x:c r="J582" s="13"/>
      <x:c r="K582" s="9" t="str">
        <x:v>Sem exportação</x:v>
      </x:c>
      <x:c r="L582" s="9"/>
    </x:row>
    <x:row r="583" ht="24" customHeight="1">
      <x:c r="A583" s="9" t="str">
        <x:v>C06</x:v>
      </x:c>
      <x:c r="B583" s="9" t="str">
        <x:v>[TRON] - YouTube 02 -  VT 5 Seg - {Reg SC} - 07/10</x:v>
      </x:c>
      <x:c r="C583" s="10" t="d">
        <x:v>2026-08-22T12:00:00.000Z</x:v>
      </x:c>
      <x:c r="D583" s="11"/>
      <x:c r="E583" s="11"/>
      <x:c r="F583" s="11"/>
      <x:c r="G583" s="12"/>
      <x:c r="H583" s="9"/>
      <x:c r="I583" s="9"/>
      <x:c r="J583" s="13"/>
      <x:c r="K583" s="9" t="str">
        <x:v>Sem exportação</x:v>
      </x:c>
      <x:c r="L583" s="9"/>
    </x:row>
    <x:row r="584" ht="24" customHeight="1">
      <x:c r="A584" s="9" t="str">
        <x:v>C06</x:v>
      </x:c>
      <x:c r="B584" s="9" t="str">
        <x:v>[TRON] - YouTube 02 -  VT 5 Seg - {Reg SC} - 07/10</x:v>
      </x:c>
      <x:c r="C584" s="10" t="d">
        <x:v>2026-08-23T12:00:00.000Z</x:v>
      </x:c>
      <x:c r="D584" s="11"/>
      <x:c r="E584" s="11"/>
      <x:c r="F584" s="11"/>
      <x:c r="G584" s="12"/>
      <x:c r="H584" s="9"/>
      <x:c r="I584" s="9"/>
      <x:c r="J584" s="13"/>
      <x:c r="K584" s="9" t="str">
        <x:v>Sem exportação</x:v>
      </x:c>
      <x:c r="L584" s="9"/>
    </x:row>
    <x:row r="585" ht="24" customHeight="1">
      <x:c r="A585" s="9" t="str">
        <x:v>C06</x:v>
      </x:c>
      <x:c r="B585" s="9" t="str">
        <x:v>[TRON] - YouTube 02 -  VT 5 Seg - {Reg SC} - 07/10</x:v>
      </x:c>
      <x:c r="C585" s="10" t="d">
        <x:v>2026-08-24T12:00:00.000Z</x:v>
      </x:c>
      <x:c r="D585" s="11"/>
      <x:c r="E585" s="11"/>
      <x:c r="F585" s="11"/>
      <x:c r="G585" s="12"/>
      <x:c r="H585" s="9"/>
      <x:c r="I585" s="9"/>
      <x:c r="J585" s="13"/>
      <x:c r="K585" s="9" t="str">
        <x:v>Sem exportação</x:v>
      </x:c>
      <x:c r="L585" s="9"/>
    </x:row>
    <x:row r="586" ht="24" customHeight="1">
      <x:c r="A586" s="9" t="str">
        <x:v>C06</x:v>
      </x:c>
      <x:c r="B586" s="9" t="str">
        <x:v>[TRON] - YouTube 02 -  VT 5 Seg - {Reg SC} - 07/10</x:v>
      </x:c>
      <x:c r="C586" s="10" t="d">
        <x:v>2026-08-25T12:00:00.000Z</x:v>
      </x:c>
      <x:c r="D586" s="11"/>
      <x:c r="E586" s="11"/>
      <x:c r="F586" s="11"/>
      <x:c r="G586" s="12"/>
      <x:c r="H586" s="9"/>
      <x:c r="I586" s="9"/>
      <x:c r="J586" s="13"/>
      <x:c r="K586" s="9" t="str">
        <x:v>Sem exportação</x:v>
      </x:c>
      <x:c r="L586" s="9"/>
    </x:row>
    <x:row r="587" ht="24" customHeight="1">
      <x:c r="A587" s="9" t="str">
        <x:v>C06</x:v>
      </x:c>
      <x:c r="B587" s="9" t="str">
        <x:v>[TRON] - YouTube 02 -  VT 5 Seg - {Reg SC} - 07/10</x:v>
      </x:c>
      <x:c r="C587" s="10" t="d">
        <x:v>2026-08-26T12:00:00.000Z</x:v>
      </x:c>
      <x:c r="D587" s="11"/>
      <x:c r="E587" s="11"/>
      <x:c r="F587" s="11"/>
      <x:c r="G587" s="12"/>
      <x:c r="H587" s="9"/>
      <x:c r="I587" s="9"/>
      <x:c r="J587" s="13"/>
      <x:c r="K587" s="9" t="str">
        <x:v>Sem exportação</x:v>
      </x:c>
      <x:c r="L587" s="9"/>
    </x:row>
    <x:row r="588" ht="24" customHeight="1">
      <x:c r="A588" s="9" t="str">
        <x:v>C06</x:v>
      </x:c>
      <x:c r="B588" s="9" t="str">
        <x:v>[TRON] - YouTube 02 -  VT 5 Seg - {Reg SC} - 07/10</x:v>
      </x:c>
      <x:c r="C588" s="10" t="d">
        <x:v>2026-08-27T12:00:00.000Z</x:v>
      </x:c>
      <x:c r="D588" s="11"/>
      <x:c r="E588" s="11"/>
      <x:c r="F588" s="11"/>
      <x:c r="G588" s="12"/>
      <x:c r="H588" s="9"/>
      <x:c r="I588" s="9"/>
      <x:c r="J588" s="13"/>
      <x:c r="K588" s="9" t="str">
        <x:v>Sem exportação</x:v>
      </x:c>
      <x:c r="L588" s="9"/>
    </x:row>
    <x:row r="589" ht="24" customHeight="1">
      <x:c r="A589" s="9" t="str">
        <x:v>C06</x:v>
      </x:c>
      <x:c r="B589" s="9" t="str">
        <x:v>[TRON] - YouTube 02 -  VT 5 Seg - {Reg SC} - 07/10</x:v>
      </x:c>
      <x:c r="C589" s="10" t="d">
        <x:v>2026-08-28T12:00:00.000Z</x:v>
      </x:c>
      <x:c r="D589" s="11"/>
      <x:c r="E589" s="11"/>
      <x:c r="F589" s="11"/>
      <x:c r="G589" s="12"/>
      <x:c r="H589" s="9"/>
      <x:c r="I589" s="9"/>
      <x:c r="J589" s="13"/>
      <x:c r="K589" s="9" t="str">
        <x:v>Sem exportação</x:v>
      </x:c>
      <x:c r="L589" s="9"/>
    </x:row>
    <x:row r="590" ht="24" customHeight="1">
      <x:c r="A590" s="9" t="str">
        <x:v>C06</x:v>
      </x:c>
      <x:c r="B590" s="9" t="str">
        <x:v>[TRON] - YouTube 02 -  VT 5 Seg - {Reg SC} - 07/10</x:v>
      </x:c>
      <x:c r="C590" s="10" t="d">
        <x:v>2026-08-29T12:00:00.000Z</x:v>
      </x:c>
      <x:c r="D590" s="11"/>
      <x:c r="E590" s="11"/>
      <x:c r="F590" s="11"/>
      <x:c r="G590" s="12"/>
      <x:c r="H590" s="9"/>
      <x:c r="I590" s="9"/>
      <x:c r="J590" s="13"/>
      <x:c r="K590" s="9" t="str">
        <x:v>Sem exportação</x:v>
      </x:c>
      <x:c r="L590" s="9"/>
    </x:row>
    <x:row r="591" ht="24" customHeight="1">
      <x:c r="A591" s="9" t="str">
        <x:v>C06</x:v>
      </x:c>
      <x:c r="B591" s="9" t="str">
        <x:v>[TRON] - YouTube 02 -  VT 5 Seg - {Reg SC} - 07/10</x:v>
      </x:c>
      <x:c r="C591" s="10" t="d">
        <x:v>2026-08-30T12:00:00.000Z</x:v>
      </x:c>
      <x:c r="D591" s="11"/>
      <x:c r="E591" s="11"/>
      <x:c r="F591" s="11"/>
      <x:c r="G591" s="12"/>
      <x:c r="H591" s="9"/>
      <x:c r="I591" s="9"/>
      <x:c r="J591" s="13"/>
      <x:c r="K591" s="9" t="str">
        <x:v>Sem exportação</x:v>
      </x:c>
      <x:c r="L591" s="9"/>
    </x:row>
    <x:row r="592" ht="24" customHeight="1">
      <x:c r="A592" s="9" t="str">
        <x:v>C06</x:v>
      </x:c>
      <x:c r="B592" s="9" t="str">
        <x:v>[TRON] - YouTube 02 -  VT 5 Seg - {Reg SC} - 07/10</x:v>
      </x:c>
      <x:c r="C592" s="10" t="d">
        <x:v>2026-08-31T12:00:00.000Z</x:v>
      </x:c>
      <x:c r="D592" s="11"/>
      <x:c r="E592" s="11"/>
      <x:c r="F592" s="11"/>
      <x:c r="G592" s="12"/>
      <x:c r="H592" s="9"/>
      <x:c r="I592" s="9"/>
      <x:c r="J592" s="13"/>
      <x:c r="K592" s="9" t="str">
        <x:v>Sem exportação</x:v>
      </x:c>
      <x:c r="L592" s="9"/>
    </x:row>
    <x:row r="593" ht="24" customHeight="1">
      <x:c r="A593" s="9" t="str">
        <x:v>C06</x:v>
      </x:c>
      <x:c r="B593" s="9" t="str">
        <x:v>[TRON] - YouTube 02 -  VT 5 Seg - {Reg SC} - 07/10</x:v>
      </x:c>
      <x:c r="C593" s="10" t="d">
        <x:v>2026-09-01T12:00:00.000Z</x:v>
      </x:c>
      <x:c r="D593" s="11" t="n">
        <x:v>0</x:v>
      </x:c>
      <x:c r="E593" s="11" t="n">
        <x:v>0</x:v>
      </x:c>
      <x:c r="F593" s="11"/>
      <x:c r="G593" s="12" t="n">
        <x:v>0</x:v>
      </x:c>
      <x:c r="H593" s="9" t="n">
        <x:v>0</x:v>
      </x:c>
      <x:c r="I593" s="9" t="n">
        <x:v>0</x:v>
      </x:c>
      <x:c r="J593" s="13"/>
      <x:c r="K593" s="9" t="str">
        <x:v>Exportado</x:v>
      </x:c>
      <x:c r="L593" s="9" t="str">
        <x:v>F062, F064, F063</x:v>
      </x:c>
    </x:row>
    <x:row r="594" ht="24" customHeight="1">
      <x:c r="A594" s="9" t="str">
        <x:v>C06</x:v>
      </x:c>
      <x:c r="B594" s="9" t="str">
        <x:v>[TRON] - YouTube 02 -  VT 5 Seg - {Reg SC} - 07/10</x:v>
      </x:c>
      <x:c r="C594" s="10" t="d">
        <x:v>2026-09-02T12:00:00.000Z</x:v>
      </x:c>
      <x:c r="D594" s="11" t="n">
        <x:v>0</x:v>
      </x:c>
      <x:c r="E594" s="11" t="n">
        <x:v>0</x:v>
      </x:c>
      <x:c r="F594" s="11"/>
      <x:c r="G594" s="12" t="n">
        <x:v>0</x:v>
      </x:c>
      <x:c r="H594" s="9" t="n">
        <x:v>0</x:v>
      </x:c>
      <x:c r="I594" s="9" t="n">
        <x:v>0</x:v>
      </x:c>
      <x:c r="J594" s="13"/>
      <x:c r="K594" s="9" t="str">
        <x:v>Exportado</x:v>
      </x:c>
      <x:c r="L594" s="9" t="str">
        <x:v>F062, F064, F063</x:v>
      </x:c>
    </x:row>
    <x:row r="595" ht="24" customHeight="1">
      <x:c r="A595" s="9" t="str">
        <x:v>C06</x:v>
      </x:c>
      <x:c r="B595" s="9" t="str">
        <x:v>[TRON] - YouTube 02 -  VT 5 Seg - {Reg SC} - 07/10</x:v>
      </x:c>
      <x:c r="C595" s="10" t="d">
        <x:v>2026-09-03T12:00:00.000Z</x:v>
      </x:c>
      <x:c r="D595" s="11" t="n">
        <x:v>0</x:v>
      </x:c>
      <x:c r="E595" s="11" t="n">
        <x:v>0</x:v>
      </x:c>
      <x:c r="F595" s="11"/>
      <x:c r="G595" s="12" t="n">
        <x:v>0</x:v>
      </x:c>
      <x:c r="H595" s="9" t="n">
        <x:v>0</x:v>
      </x:c>
      <x:c r="I595" s="9" t="n">
        <x:v>0</x:v>
      </x:c>
      <x:c r="J595" s="13"/>
      <x:c r="K595" s="9" t="str">
        <x:v>Exportado</x:v>
      </x:c>
      <x:c r="L595" s="9" t="str">
        <x:v>F062, F064, F063</x:v>
      </x:c>
    </x:row>
    <x:row r="596" ht="24" customHeight="1">
      <x:c r="A596" s="9" t="str">
        <x:v>C06</x:v>
      </x:c>
      <x:c r="B596" s="9" t="str">
        <x:v>[TRON] - YouTube 02 -  VT 5 Seg - {Reg SC} - 07/10</x:v>
      </x:c>
      <x:c r="C596" s="10" t="d">
        <x:v>2026-09-04T12:00:00.000Z</x:v>
      </x:c>
      <x:c r="D596" s="11" t="n">
        <x:v>0</x:v>
      </x:c>
      <x:c r="E596" s="11" t="n">
        <x:v>0</x:v>
      </x:c>
      <x:c r="F596" s="11"/>
      <x:c r="G596" s="12" t="n">
        <x:v>0</x:v>
      </x:c>
      <x:c r="H596" s="9" t="n">
        <x:v>0</x:v>
      </x:c>
      <x:c r="I596" s="9" t="n">
        <x:v>0</x:v>
      </x:c>
      <x:c r="J596" s="13"/>
      <x:c r="K596" s="9" t="str">
        <x:v>Exportado</x:v>
      </x:c>
      <x:c r="L596" s="9" t="str">
        <x:v>F062, F064, F063</x:v>
      </x:c>
    </x:row>
    <x:row r="597" ht="24" customHeight="1">
      <x:c r="A597" s="9" t="str">
        <x:v>C06</x:v>
      </x:c>
      <x:c r="B597" s="9" t="str">
        <x:v>[TRON] - YouTube 02 -  VT 5 Seg - {Reg SC} - 07/10</x:v>
      </x:c>
      <x:c r="C597" s="10" t="d">
        <x:v>2026-09-05T12:00:00.000Z</x:v>
      </x:c>
      <x:c r="D597" s="11" t="n">
        <x:v>0</x:v>
      </x:c>
      <x:c r="E597" s="11" t="n">
        <x:v>0</x:v>
      </x:c>
      <x:c r="F597" s="11"/>
      <x:c r="G597" s="12" t="n">
        <x:v>0</x:v>
      </x:c>
      <x:c r="H597" s="9" t="n">
        <x:v>0</x:v>
      </x:c>
      <x:c r="I597" s="9" t="n">
        <x:v>0</x:v>
      </x:c>
      <x:c r="J597" s="13"/>
      <x:c r="K597" s="9" t="str">
        <x:v>Exportado</x:v>
      </x:c>
      <x:c r="L597" s="9" t="str">
        <x:v>F062, F064, F063</x:v>
      </x:c>
    </x:row>
    <x:row r="598" ht="24" customHeight="1">
      <x:c r="A598" s="9" t="str">
        <x:v>C06</x:v>
      </x:c>
      <x:c r="B598" s="9" t="str">
        <x:v>[TRON] - YouTube 02 -  VT 5 Seg - {Reg SC} - 07/10</x:v>
      </x:c>
      <x:c r="C598" s="10" t="d">
        <x:v>2026-09-06T12:00:00.000Z</x:v>
      </x:c>
      <x:c r="D598" s="11" t="n">
        <x:v>0</x:v>
      </x:c>
      <x:c r="E598" s="11" t="n">
        <x:v>0</x:v>
      </x:c>
      <x:c r="F598" s="11"/>
      <x:c r="G598" s="12" t="n">
        <x:v>0</x:v>
      </x:c>
      <x:c r="H598" s="9" t="n">
        <x:v>0</x:v>
      </x:c>
      <x:c r="I598" s="9" t="n">
        <x:v>0</x:v>
      </x:c>
      <x:c r="J598" s="13"/>
      <x:c r="K598" s="9" t="str">
        <x:v>Exportado</x:v>
      </x:c>
      <x:c r="L598" s="9" t="str">
        <x:v>F062, F064, F063</x:v>
      </x:c>
    </x:row>
    <x:row r="599" ht="24" customHeight="1">
      <x:c r="A599" s="9" t="str">
        <x:v>C06</x:v>
      </x:c>
      <x:c r="B599" s="9" t="str">
        <x:v>[TRON] - YouTube 02 -  VT 5 Seg - {Reg SC} - 07/10</x:v>
      </x:c>
      <x:c r="C599" s="10" t="d">
        <x:v>2026-09-07T12:00:00.000Z</x:v>
      </x:c>
      <x:c r="D599" s="11" t="n">
        <x:v>0</x:v>
      </x:c>
      <x:c r="E599" s="11" t="n">
        <x:v>0</x:v>
      </x:c>
      <x:c r="F599" s="11"/>
      <x:c r="G599" s="12" t="n">
        <x:v>0</x:v>
      </x:c>
      <x:c r="H599" s="9" t="n">
        <x:v>0</x:v>
      </x:c>
      <x:c r="I599" s="9" t="n">
        <x:v>0</x:v>
      </x:c>
      <x:c r="J599" s="13"/>
      <x:c r="K599" s="9" t="str">
        <x:v>Exportado</x:v>
      </x:c>
      <x:c r="L599" s="9" t="str">
        <x:v>F062, F064, F063</x:v>
      </x:c>
    </x:row>
    <x:row r="600" ht="24" customHeight="1">
      <x:c r="A600" s="9" t="str">
        <x:v>C06</x:v>
      </x:c>
      <x:c r="B600" s="9" t="str">
        <x:v>[TRON] - YouTube 02 -  VT 5 Seg - {Reg SC} - 07/10</x:v>
      </x:c>
      <x:c r="C600" s="10" t="d">
        <x:v>2026-09-08T12:00:00.000Z</x:v>
      </x:c>
      <x:c r="D600" s="11" t="n">
        <x:v>0</x:v>
      </x:c>
      <x:c r="E600" s="11" t="n">
        <x:v>0</x:v>
      </x:c>
      <x:c r="F600" s="11"/>
      <x:c r="G600" s="12" t="n">
        <x:v>0</x:v>
      </x:c>
      <x:c r="H600" s="9" t="n">
        <x:v>0</x:v>
      </x:c>
      <x:c r="I600" s="9" t="n">
        <x:v>0</x:v>
      </x:c>
      <x:c r="J600" s="13"/>
      <x:c r="K600" s="9" t="str">
        <x:v>Exportado</x:v>
      </x:c>
      <x:c r="L600" s="9" t="str">
        <x:v>F062, F064, F063</x:v>
      </x:c>
    </x:row>
    <x:row r="601" ht="24" customHeight="1">
      <x:c r="A601" s="9" t="str">
        <x:v>C06</x:v>
      </x:c>
      <x:c r="B601" s="9" t="str">
        <x:v>[TRON] - YouTube 02 -  VT 5 Seg - {Reg SC} - 07/10</x:v>
      </x:c>
      <x:c r="C601" s="10" t="d">
        <x:v>2026-09-09T12:00:00.000Z</x:v>
      </x:c>
      <x:c r="D601" s="11" t="n">
        <x:v>0</x:v>
      </x:c>
      <x:c r="E601" s="11" t="n">
        <x:v>0</x:v>
      </x:c>
      <x:c r="F601" s="11"/>
      <x:c r="G601" s="12" t="n">
        <x:v>0</x:v>
      </x:c>
      <x:c r="H601" s="9" t="n">
        <x:v>0</x:v>
      </x:c>
      <x:c r="I601" s="9" t="n">
        <x:v>0</x:v>
      </x:c>
      <x:c r="J601" s="13"/>
      <x:c r="K601" s="9" t="str">
        <x:v>Exportado</x:v>
      </x:c>
      <x:c r="L601" s="9" t="str">
        <x:v>F062, F064, F063</x:v>
      </x:c>
    </x:row>
    <x:row r="602" ht="24" customHeight="1">
      <x:c r="A602" s="9" t="str">
        <x:v>C06</x:v>
      </x:c>
      <x:c r="B602" s="9" t="str">
        <x:v>[TRON] - YouTube 02 -  VT 5 Seg - {Reg SC} - 07/10</x:v>
      </x:c>
      <x:c r="C602" s="10" t="d">
        <x:v>2026-09-10T12:00:00.000Z</x:v>
      </x:c>
      <x:c r="D602" s="11" t="n">
        <x:v>0</x:v>
      </x:c>
      <x:c r="E602" s="11" t="n">
        <x:v>0</x:v>
      </x:c>
      <x:c r="F602" s="11"/>
      <x:c r="G602" s="12" t="n">
        <x:v>0</x:v>
      </x:c>
      <x:c r="H602" s="9" t="n">
        <x:v>0</x:v>
      </x:c>
      <x:c r="I602" s="9" t="n">
        <x:v>0</x:v>
      </x:c>
      <x:c r="J602" s="13"/>
      <x:c r="K602" s="9" t="str">
        <x:v>Exportado</x:v>
      </x:c>
      <x:c r="L602" s="9" t="str">
        <x:v>F062, F064, F063</x:v>
      </x:c>
    </x:row>
    <x:row r="603" ht="24" customHeight="1">
      <x:c r="A603" s="9" t="str">
        <x:v>C06</x:v>
      </x:c>
      <x:c r="B603" s="9" t="str">
        <x:v>[TRON] - YouTube 02 -  VT 5 Seg - {Reg SC} - 07/10</x:v>
      </x:c>
      <x:c r="C603" s="10" t="d">
        <x:v>2026-09-11T12:00:00.000Z</x:v>
      </x:c>
      <x:c r="D603" s="11" t="n">
        <x:v>0</x:v>
      </x:c>
      <x:c r="E603" s="11" t="n">
        <x:v>0</x:v>
      </x:c>
      <x:c r="F603" s="11"/>
      <x:c r="G603" s="12" t="n">
        <x:v>0</x:v>
      </x:c>
      <x:c r="H603" s="9" t="n">
        <x:v>0</x:v>
      </x:c>
      <x:c r="I603" s="9" t="n">
        <x:v>0</x:v>
      </x:c>
      <x:c r="J603" s="13"/>
      <x:c r="K603" s="9" t="str">
        <x:v>Exportado</x:v>
      </x:c>
      <x:c r="L603" s="9" t="str">
        <x:v>F062, F064, F063</x:v>
      </x:c>
    </x:row>
    <x:row r="604" ht="24" customHeight="1">
      <x:c r="A604" s="9" t="str">
        <x:v>C06</x:v>
      </x:c>
      <x:c r="B604" s="9" t="str">
        <x:v>[TRON] - YouTube 02 -  VT 5 Seg - {Reg SC} - 07/10</x:v>
      </x:c>
      <x:c r="C604" s="10" t="d">
        <x:v>2026-09-12T12:00:00.000Z</x:v>
      </x:c>
      <x:c r="D604" s="11" t="n">
        <x:v>0</x:v>
      </x:c>
      <x:c r="E604" s="11" t="n">
        <x:v>0</x:v>
      </x:c>
      <x:c r="F604" s="11"/>
      <x:c r="G604" s="12" t="n">
        <x:v>0</x:v>
      </x:c>
      <x:c r="H604" s="9" t="n">
        <x:v>0</x:v>
      </x:c>
      <x:c r="I604" s="9" t="n">
        <x:v>0</x:v>
      </x:c>
      <x:c r="J604" s="13"/>
      <x:c r="K604" s="9" t="str">
        <x:v>Exportado</x:v>
      </x:c>
      <x:c r="L604" s="9" t="str">
        <x:v>F062, F064, F063</x:v>
      </x:c>
    </x:row>
    <x:row r="605" ht="24" customHeight="1">
      <x:c r="A605" s="9" t="str">
        <x:v>C06</x:v>
      </x:c>
      <x:c r="B605" s="9" t="str">
        <x:v>[TRON] - YouTube 02 -  VT 5 Seg - {Reg SC} - 07/10</x:v>
      </x:c>
      <x:c r="C605" s="10" t="d">
        <x:v>2026-09-13T12:00:00.000Z</x:v>
      </x:c>
      <x:c r="D605" s="11" t="n">
        <x:v>0</x:v>
      </x:c>
      <x:c r="E605" s="11" t="n">
        <x:v>0</x:v>
      </x:c>
      <x:c r="F605" s="11"/>
      <x:c r="G605" s="12" t="n">
        <x:v>0</x:v>
      </x:c>
      <x:c r="H605" s="9" t="n">
        <x:v>0</x:v>
      </x:c>
      <x:c r="I605" s="9" t="n">
        <x:v>0</x:v>
      </x:c>
      <x:c r="J605" s="13"/>
      <x:c r="K605" s="9" t="str">
        <x:v>Exportado</x:v>
      </x:c>
      <x:c r="L605" s="9" t="str">
        <x:v>F062, F064, F063</x:v>
      </x:c>
    </x:row>
    <x:row r="606" ht="24" customHeight="1">
      <x:c r="A606" s="9" t="str">
        <x:v>C06</x:v>
      </x:c>
      <x:c r="B606" s="9" t="str">
        <x:v>[TRON] - YouTube 02 -  VT 5 Seg - {Reg SC} - 07/10</x:v>
      </x:c>
      <x:c r="C606" s="10" t="d">
        <x:v>2026-09-14T12:00:00.000Z</x:v>
      </x:c>
      <x:c r="D606" s="11" t="n">
        <x:v>0</x:v>
      </x:c>
      <x:c r="E606" s="11" t="n">
        <x:v>0</x:v>
      </x:c>
      <x:c r="F606" s="11"/>
      <x:c r="G606" s="12" t="n">
        <x:v>0</x:v>
      </x:c>
      <x:c r="H606" s="9" t="n">
        <x:v>0</x:v>
      </x:c>
      <x:c r="I606" s="9" t="n">
        <x:v>0</x:v>
      </x:c>
      <x:c r="J606" s="13"/>
      <x:c r="K606" s="9" t="str">
        <x:v>Exportado</x:v>
      </x:c>
      <x:c r="L606" s="9" t="str">
        <x:v>F062, F064, F063</x:v>
      </x:c>
    </x:row>
    <x:row r="607" ht="24" customHeight="1">
      <x:c r="A607" s="9" t="str">
        <x:v>C06</x:v>
      </x:c>
      <x:c r="B607" s="9" t="str">
        <x:v>[TRON] - YouTube 02 -  VT 5 Seg - {Reg SC} - 07/10</x:v>
      </x:c>
      <x:c r="C607" s="10" t="d">
        <x:v>2026-09-15T12:00:00.000Z</x:v>
      </x:c>
      <x:c r="D607" s="11" t="n">
        <x:v>0</x:v>
      </x:c>
      <x:c r="E607" s="11" t="n">
        <x:v>0</x:v>
      </x:c>
      <x:c r="F607" s="11"/>
      <x:c r="G607" s="12" t="n">
        <x:v>0</x:v>
      </x:c>
      <x:c r="H607" s="9" t="n">
        <x:v>0</x:v>
      </x:c>
      <x:c r="I607" s="9" t="n">
        <x:v>0</x:v>
      </x:c>
      <x:c r="J607" s="13"/>
      <x:c r="K607" s="9" t="str">
        <x:v>Exportado</x:v>
      </x:c>
      <x:c r="L607" s="9" t="str">
        <x:v>F062, F064, F063</x:v>
      </x:c>
    </x:row>
    <x:row r="608" ht="24" customHeight="1">
      <x:c r="A608" s="9" t="str">
        <x:v>C06</x:v>
      </x:c>
      <x:c r="B608" s="9" t="str">
        <x:v>[TRON] - YouTube 02 -  VT 5 Seg - {Reg SC} - 07/10</x:v>
      </x:c>
      <x:c r="C608" s="10" t="d">
        <x:v>2026-09-16T12:00:00.000Z</x:v>
      </x:c>
      <x:c r="D608" s="11" t="n">
        <x:v>0</x:v>
      </x:c>
      <x:c r="E608" s="11" t="n">
        <x:v>0</x:v>
      </x:c>
      <x:c r="F608" s="11"/>
      <x:c r="G608" s="12" t="n">
        <x:v>0</x:v>
      </x:c>
      <x:c r="H608" s="9" t="n">
        <x:v>0</x:v>
      </x:c>
      <x:c r="I608" s="9" t="n">
        <x:v>0</x:v>
      </x:c>
      <x:c r="J608" s="13"/>
      <x:c r="K608" s="9" t="str">
        <x:v>Exportado</x:v>
      </x:c>
      <x:c r="L608" s="9" t="str">
        <x:v>F062, F064, F063</x:v>
      </x:c>
    </x:row>
    <x:row r="609" ht="24" customHeight="1">
      <x:c r="A609" s="9" t="str">
        <x:v>C06</x:v>
      </x:c>
      <x:c r="B609" s="9" t="str">
        <x:v>[TRON] - YouTube 02 -  VT 5 Seg - {Reg SC} - 07/10</x:v>
      </x:c>
      <x:c r="C609" s="10" t="d">
        <x:v>2026-09-17T12:00:00.000Z</x:v>
      </x:c>
      <x:c r="D609" s="11" t="n">
        <x:v>0</x:v>
      </x:c>
      <x:c r="E609" s="11" t="n">
        <x:v>0</x:v>
      </x:c>
      <x:c r="F609" s="11"/>
      <x:c r="G609" s="12" t="n">
        <x:v>0</x:v>
      </x:c>
      <x:c r="H609" s="9" t="n">
        <x:v>0</x:v>
      </x:c>
      <x:c r="I609" s="9" t="n">
        <x:v>0</x:v>
      </x:c>
      <x:c r="J609" s="13"/>
      <x:c r="K609" s="9" t="str">
        <x:v>Exportado</x:v>
      </x:c>
      <x:c r="L609" s="9" t="str">
        <x:v>F062, F064, F063</x:v>
      </x:c>
    </x:row>
    <x:row r="610" ht="24" customHeight="1">
      <x:c r="A610" s="9" t="str">
        <x:v>C06</x:v>
      </x:c>
      <x:c r="B610" s="9" t="str">
        <x:v>[TRON] - YouTube 02 -  VT 5 Seg - {Reg SC} - 07/10</x:v>
      </x:c>
      <x:c r="C610" s="10" t="d">
        <x:v>2026-09-18T12:00:00.000Z</x:v>
      </x:c>
      <x:c r="D610" s="11" t="n">
        <x:v>0</x:v>
      </x:c>
      <x:c r="E610" s="11" t="n">
        <x:v>0</x:v>
      </x:c>
      <x:c r="F610" s="11"/>
      <x:c r="G610" s="12" t="n">
        <x:v>0</x:v>
      </x:c>
      <x:c r="H610" s="9" t="n">
        <x:v>0</x:v>
      </x:c>
      <x:c r="I610" s="9" t="n">
        <x:v>0</x:v>
      </x:c>
      <x:c r="J610" s="13"/>
      <x:c r="K610" s="9" t="str">
        <x:v>Exportado</x:v>
      </x:c>
      <x:c r="L610" s="9" t="str">
        <x:v>F062, F064, F063</x:v>
      </x:c>
    </x:row>
    <x:row r="611" ht="24" customHeight="1">
      <x:c r="A611" s="9" t="str">
        <x:v>C06</x:v>
      </x:c>
      <x:c r="B611" s="9" t="str">
        <x:v>[TRON] - YouTube 02 -  VT 5 Seg - {Reg SC} - 07/10</x:v>
      </x:c>
      <x:c r="C611" s="10" t="d">
        <x:v>2026-09-19T12:00:00.000Z</x:v>
      </x:c>
      <x:c r="D611" s="11" t="n">
        <x:v>0</x:v>
      </x:c>
      <x:c r="E611" s="11" t="n">
        <x:v>0</x:v>
      </x:c>
      <x:c r="F611" s="11"/>
      <x:c r="G611" s="12" t="n">
        <x:v>0</x:v>
      </x:c>
      <x:c r="H611" s="9" t="n">
        <x:v>0</x:v>
      </x:c>
      <x:c r="I611" s="9" t="n">
        <x:v>0</x:v>
      </x:c>
      <x:c r="J611" s="13"/>
      <x:c r="K611" s="9" t="str">
        <x:v>Exportado</x:v>
      </x:c>
      <x:c r="L611" s="9" t="str">
        <x:v>F062, F064, F063</x:v>
      </x:c>
    </x:row>
    <x:row r="612" ht="24" customHeight="1">
      <x:c r="A612" s="9" t="str">
        <x:v>C06</x:v>
      </x:c>
      <x:c r="B612" s="9" t="str">
        <x:v>[TRON] - YouTube 02 -  VT 5 Seg - {Reg SC} - 07/10</x:v>
      </x:c>
      <x:c r="C612" s="10" t="d">
        <x:v>2026-09-20T12:00:00.000Z</x:v>
      </x:c>
      <x:c r="D612" s="11" t="n">
        <x:v>0</x:v>
      </x:c>
      <x:c r="E612" s="11" t="n">
        <x:v>0</x:v>
      </x:c>
      <x:c r="F612" s="11"/>
      <x:c r="G612" s="12" t="n">
        <x:v>0</x:v>
      </x:c>
      <x:c r="H612" s="9" t="n">
        <x:v>0</x:v>
      </x:c>
      <x:c r="I612" s="9" t="n">
        <x:v>0</x:v>
      </x:c>
      <x:c r="J612" s="13"/>
      <x:c r="K612" s="9" t="str">
        <x:v>Exportado</x:v>
      </x:c>
      <x:c r="L612" s="9" t="str">
        <x:v>F062, F064, F063</x:v>
      </x:c>
    </x:row>
    <x:row r="613" ht="24" customHeight="1">
      <x:c r="A613" s="9" t="str">
        <x:v>C06</x:v>
      </x:c>
      <x:c r="B613" s="9" t="str">
        <x:v>[TRON] - YouTube 02 -  VT 5 Seg - {Reg SC} - 07/10</x:v>
      </x:c>
      <x:c r="C613" s="10" t="d">
        <x:v>2026-09-21T12:00:00.000Z</x:v>
      </x:c>
      <x:c r="D613" s="11" t="n">
        <x:v>0</x:v>
      </x:c>
      <x:c r="E613" s="11" t="n">
        <x:v>0</x:v>
      </x:c>
      <x:c r="F613" s="11"/>
      <x:c r="G613" s="12" t="n">
        <x:v>0</x:v>
      </x:c>
      <x:c r="H613" s="9" t="n">
        <x:v>0</x:v>
      </x:c>
      <x:c r="I613" s="9" t="n">
        <x:v>0</x:v>
      </x:c>
      <x:c r="J613" s="13"/>
      <x:c r="K613" s="9" t="str">
        <x:v>Exportado</x:v>
      </x:c>
      <x:c r="L613" s="9" t="str">
        <x:v>F062, F064, F063</x:v>
      </x:c>
    </x:row>
    <x:row r="614" ht="24" customHeight="1">
      <x:c r="A614" s="9" t="str">
        <x:v>C06</x:v>
      </x:c>
      <x:c r="B614" s="9" t="str">
        <x:v>[TRON] - YouTube 02 -  VT 5 Seg - {Reg SC} - 07/10</x:v>
      </x:c>
      <x:c r="C614" s="10" t="d">
        <x:v>2026-09-22T12:00:00.000Z</x:v>
      </x:c>
      <x:c r="D614" s="11" t="n">
        <x:v>0</x:v>
      </x:c>
      <x:c r="E614" s="11" t="n">
        <x:v>0</x:v>
      </x:c>
      <x:c r="F614" s="11"/>
      <x:c r="G614" s="12" t="n">
        <x:v>0</x:v>
      </x:c>
      <x:c r="H614" s="9" t="n">
        <x:v>0</x:v>
      </x:c>
      <x:c r="I614" s="9" t="n">
        <x:v>0</x:v>
      </x:c>
      <x:c r="J614" s="13"/>
      <x:c r="K614" s="9" t="str">
        <x:v>Exportado</x:v>
      </x:c>
      <x:c r="L614" s="9" t="str">
        <x:v>F062, F064, F063</x:v>
      </x:c>
    </x:row>
    <x:row r="615" ht="24" customHeight="1">
      <x:c r="A615" s="9" t="str">
        <x:v>C06</x:v>
      </x:c>
      <x:c r="B615" s="9" t="str">
        <x:v>[TRON] - YouTube 02 -  VT 5 Seg - {Reg SC} - 07/10</x:v>
      </x:c>
      <x:c r="C615" s="10" t="d">
        <x:v>2026-09-23T12:00:00.000Z</x:v>
      </x:c>
      <x:c r="D615" s="11" t="n">
        <x:v>0</x:v>
      </x:c>
      <x:c r="E615" s="11" t="n">
        <x:v>0</x:v>
      </x:c>
      <x:c r="F615" s="11"/>
      <x:c r="G615" s="12" t="n">
        <x:v>0</x:v>
      </x:c>
      <x:c r="H615" s="9" t="n">
        <x:v>0</x:v>
      </x:c>
      <x:c r="I615" s="9" t="n">
        <x:v>0</x:v>
      </x:c>
      <x:c r="J615" s="13"/>
      <x:c r="K615" s="9" t="str">
        <x:v>Exportado</x:v>
      </x:c>
      <x:c r="L615" s="9" t="str">
        <x:v>F062, F064, F063</x:v>
      </x:c>
    </x:row>
    <x:row r="616" ht="24" customHeight="1">
      <x:c r="A616" s="9" t="str">
        <x:v>C06</x:v>
      </x:c>
      <x:c r="B616" s="9" t="str">
        <x:v>[TRON] - YouTube 02 -  VT 5 Seg - {Reg SC} - 07/10</x:v>
      </x:c>
      <x:c r="C616" s="10" t="d">
        <x:v>2026-09-24T12:00:00.000Z</x:v>
      </x:c>
      <x:c r="D616" s="11" t="n">
        <x:v>0</x:v>
      </x:c>
      <x:c r="E616" s="11" t="n">
        <x:v>0</x:v>
      </x:c>
      <x:c r="F616" s="11"/>
      <x:c r="G616" s="12" t="n">
        <x:v>0</x:v>
      </x:c>
      <x:c r="H616" s="9" t="n">
        <x:v>0</x:v>
      </x:c>
      <x:c r="I616" s="9" t="n">
        <x:v>0</x:v>
      </x:c>
      <x:c r="J616" s="13"/>
      <x:c r="K616" s="9" t="str">
        <x:v>Exportado</x:v>
      </x:c>
      <x:c r="L616" s="9" t="str">
        <x:v>F062, F064, F063</x:v>
      </x:c>
    </x:row>
    <x:row r="617" ht="24" customHeight="1">
      <x:c r="A617" s="9" t="str">
        <x:v>C06</x:v>
      </x:c>
      <x:c r="B617" s="9" t="str">
        <x:v>[TRON] - YouTube 02 -  VT 5 Seg - {Reg SC} - 07/10</x:v>
      </x:c>
      <x:c r="C617" s="10" t="d">
        <x:v>2026-09-25T12:00:00.000Z</x:v>
      </x:c>
      <x:c r="D617" s="11" t="n">
        <x:v>0</x:v>
      </x:c>
      <x:c r="E617" s="11" t="n">
        <x:v>0</x:v>
      </x:c>
      <x:c r="F617" s="11"/>
      <x:c r="G617" s="12" t="n">
        <x:v>0</x:v>
      </x:c>
      <x:c r="H617" s="9" t="n">
        <x:v>0</x:v>
      </x:c>
      <x:c r="I617" s="9" t="n">
        <x:v>0</x:v>
      </x:c>
      <x:c r="J617" s="13"/>
      <x:c r="K617" s="9" t="str">
        <x:v>Exportado</x:v>
      </x:c>
      <x:c r="L617" s="9" t="str">
        <x:v>F062, F064, F063</x:v>
      </x:c>
    </x:row>
    <x:row r="618" ht="24" customHeight="1">
      <x:c r="A618" s="9" t="str">
        <x:v>C06</x:v>
      </x:c>
      <x:c r="B618" s="9" t="str">
        <x:v>[TRON] - YouTube 02 -  VT 5 Seg - {Reg SC} - 07/10</x:v>
      </x:c>
      <x:c r="C618" s="10" t="d">
        <x:v>2026-09-26T12:00:00.000Z</x:v>
      </x:c>
      <x:c r="D618" s="11" t="n">
        <x:v>0</x:v>
      </x:c>
      <x:c r="E618" s="11" t="n">
        <x:v>0</x:v>
      </x:c>
      <x:c r="F618" s="11"/>
      <x:c r="G618" s="12" t="n">
        <x:v>0</x:v>
      </x:c>
      <x:c r="H618" s="9" t="n">
        <x:v>0</x:v>
      </x:c>
      <x:c r="I618" s="9" t="n">
        <x:v>0</x:v>
      </x:c>
      <x:c r="J618" s="13"/>
      <x:c r="K618" s="9" t="str">
        <x:v>Exportado</x:v>
      </x:c>
      <x:c r="L618" s="9" t="str">
        <x:v>F062, F064, F063</x:v>
      </x:c>
    </x:row>
    <x:row r="619" ht="24" customHeight="1">
      <x:c r="A619" s="9" t="str">
        <x:v>C06</x:v>
      </x:c>
      <x:c r="B619" s="9" t="str">
        <x:v>[TRON] - YouTube 02 -  VT 5 Seg - {Reg SC} - 07/10</x:v>
      </x:c>
      <x:c r="C619" s="10" t="d">
        <x:v>2026-09-27T12:00:00.000Z</x:v>
      </x:c>
      <x:c r="D619" s="11" t="n">
        <x:v>0</x:v>
      </x:c>
      <x:c r="E619" s="11" t="n">
        <x:v>0</x:v>
      </x:c>
      <x:c r="F619" s="11"/>
      <x:c r="G619" s="12" t="n">
        <x:v>0</x:v>
      </x:c>
      <x:c r="H619" s="9" t="n">
        <x:v>0</x:v>
      </x:c>
      <x:c r="I619" s="9" t="n">
        <x:v>0</x:v>
      </x:c>
      <x:c r="J619" s="13"/>
      <x:c r="K619" s="9" t="str">
        <x:v>Exportado</x:v>
      </x:c>
      <x:c r="L619" s="9" t="str">
        <x:v>F062, F064, F063</x:v>
      </x:c>
    </x:row>
    <x:row r="620" ht="24" customHeight="1">
      <x:c r="A620" s="9" t="str">
        <x:v>C06</x:v>
      </x:c>
      <x:c r="B620" s="9" t="str">
        <x:v>[TRON] - YouTube 02 -  VT 5 Seg - {Reg SC} - 07/10</x:v>
      </x:c>
      <x:c r="C620" s="10" t="d">
        <x:v>2026-09-28T12:00:00.000Z</x:v>
      </x:c>
      <x:c r="D620" s="11" t="n">
        <x:v>0</x:v>
      </x:c>
      <x:c r="E620" s="11" t="n">
        <x:v>0</x:v>
      </x:c>
      <x:c r="F620" s="11"/>
      <x:c r="G620" s="12" t="n">
        <x:v>0</x:v>
      </x:c>
      <x:c r="H620" s="9" t="n">
        <x:v>0</x:v>
      </x:c>
      <x:c r="I620" s="9" t="n">
        <x:v>0</x:v>
      </x:c>
      <x:c r="J620" s="13"/>
      <x:c r="K620" s="9" t="str">
        <x:v>Exportado</x:v>
      </x:c>
      <x:c r="L620" s="9" t="str">
        <x:v>F062, F064, F063</x:v>
      </x:c>
    </x:row>
    <x:row r="621" ht="24" customHeight="1">
      <x:c r="A621" s="9" t="str">
        <x:v>C06</x:v>
      </x:c>
      <x:c r="B621" s="9" t="str">
        <x:v>[TRON] - YouTube 02 -  VT 5 Seg - {Reg SC} - 07/10</x:v>
      </x:c>
      <x:c r="C621" s="10" t="d">
        <x:v>2026-09-29T12:00:00.000Z</x:v>
      </x:c>
      <x:c r="D621" s="11" t="n">
        <x:v>0</x:v>
      </x:c>
      <x:c r="E621" s="11" t="n">
        <x:v>0</x:v>
      </x:c>
      <x:c r="F621" s="11"/>
      <x:c r="G621" s="12" t="n">
        <x:v>0</x:v>
      </x:c>
      <x:c r="H621" s="9" t="n">
        <x:v>0</x:v>
      </x:c>
      <x:c r="I621" s="9" t="n">
        <x:v>0</x:v>
      </x:c>
      <x:c r="J621" s="13"/>
      <x:c r="K621" s="9" t="str">
        <x:v>Exportado</x:v>
      </x:c>
      <x:c r="L621" s="9" t="str">
        <x:v>F062, F064, F063</x:v>
      </x:c>
    </x:row>
    <x:row r="622" ht="24" customHeight="1">
      <x:c r="A622" s="9" t="str">
        <x:v>C06</x:v>
      </x:c>
      <x:c r="B622" s="9" t="str">
        <x:v>[TRON] - YouTube 02 -  VT 5 Seg - {Reg SC} - 07/10</x:v>
      </x:c>
      <x:c r="C622" s="10" t="d">
        <x:v>2026-09-30T12:00:00.000Z</x:v>
      </x:c>
      <x:c r="D622" s="11" t="n">
        <x:v>0</x:v>
      </x:c>
      <x:c r="E622" s="11" t="n">
        <x:v>0</x:v>
      </x:c>
      <x:c r="F622" s="11"/>
      <x:c r="G622" s="12" t="n">
        <x:v>0</x:v>
      </x:c>
      <x:c r="H622" s="9" t="n">
        <x:v>0</x:v>
      </x:c>
      <x:c r="I622" s="9" t="n">
        <x:v>0</x:v>
      </x:c>
      <x:c r="J622" s="13"/>
      <x:c r="K622" s="9" t="str">
        <x:v>Exportado</x:v>
      </x:c>
      <x:c r="L622" s="9" t="str">
        <x:v>F062, F064, F063</x:v>
      </x:c>
    </x:row>
    <x:row r="623" ht="24" customHeight="1">
      <x:c r="A623" s="9" t="str">
        <x:v>C06</x:v>
      </x:c>
      <x:c r="B623" s="9" t="str">
        <x:v>[TRON] - YouTube 02 -  VT 5 Seg - {Reg SC} - 07/10</x:v>
      </x:c>
      <x:c r="C623" s="10" t="d">
        <x:v>2026-10-01T12:00:00.000Z</x:v>
      </x:c>
      <x:c r="D623" s="11" t="n">
        <x:v>0</x:v>
      </x:c>
      <x:c r="E623" s="11" t="n">
        <x:v>0</x:v>
      </x:c>
      <x:c r="F623" s="11"/>
      <x:c r="G623" s="12" t="n">
        <x:v>0</x:v>
      </x:c>
      <x:c r="H623" s="9" t="n">
        <x:v>0</x:v>
      </x:c>
      <x:c r="I623" s="9" t="n">
        <x:v>0</x:v>
      </x:c>
      <x:c r="J623" s="13"/>
      <x:c r="K623" s="9" t="str">
        <x:v>Exportado</x:v>
      </x:c>
      <x:c r="L623" s="9" t="str">
        <x:v>F062, F064, F063</x:v>
      </x:c>
    </x:row>
    <x:row r="624" ht="24" customHeight="1">
      <x:c r="A624" s="9" t="str">
        <x:v>C06</x:v>
      </x:c>
      <x:c r="B624" s="9" t="str">
        <x:v>[TRON] - YouTube 02 -  VT 5 Seg - {Reg SC} - 07/10</x:v>
      </x:c>
      <x:c r="C624" s="10" t="d">
        <x:v>2026-10-02T12:00:00.000Z</x:v>
      </x:c>
      <x:c r="D624" s="11" t="n">
        <x:v>0</x:v>
      </x:c>
      <x:c r="E624" s="11" t="n">
        <x:v>0</x:v>
      </x:c>
      <x:c r="F624" s="11"/>
      <x:c r="G624" s="12" t="n">
        <x:v>0</x:v>
      </x:c>
      <x:c r="H624" s="9" t="n">
        <x:v>0</x:v>
      </x:c>
      <x:c r="I624" s="9" t="n">
        <x:v>0</x:v>
      </x:c>
      <x:c r="J624" s="13"/>
      <x:c r="K624" s="9" t="str">
        <x:v>Exportado</x:v>
      </x:c>
      <x:c r="L624" s="9" t="str">
        <x:v>F062, F064, F063</x:v>
      </x:c>
    </x:row>
    <x:row r="625" ht="24" customHeight="1">
      <x:c r="A625" s="9" t="str">
        <x:v>C06</x:v>
      </x:c>
      <x:c r="B625" s="9" t="str">
        <x:v>[TRON] - YouTube 02 -  VT 5 Seg - {Reg SC} - 07/10</x:v>
      </x:c>
      <x:c r="C625" s="10" t="d">
        <x:v>2026-10-03T12:00:00.000Z</x:v>
      </x:c>
      <x:c r="D625" s="11" t="n">
        <x:v>0</x:v>
      </x:c>
      <x:c r="E625" s="11" t="n">
        <x:v>0</x:v>
      </x:c>
      <x:c r="F625" s="11"/>
      <x:c r="G625" s="12" t="n">
        <x:v>0</x:v>
      </x:c>
      <x:c r="H625" s="9" t="n">
        <x:v>0</x:v>
      </x:c>
      <x:c r="I625" s="9" t="n">
        <x:v>0</x:v>
      </x:c>
      <x:c r="J625" s="13"/>
      <x:c r="K625" s="9" t="str">
        <x:v>Exportado</x:v>
      </x:c>
      <x:c r="L625" s="9" t="str">
        <x:v>F062, F064, F063</x:v>
      </x:c>
    </x:row>
    <x:row r="626" ht="24" customHeight="1">
      <x:c r="A626" s="9" t="str">
        <x:v>C06</x:v>
      </x:c>
      <x:c r="B626" s="9" t="str">
        <x:v>[TRON] - YouTube 02 -  VT 5 Seg - {Reg SC} - 07/10</x:v>
      </x:c>
      <x:c r="C626" s="10" t="d">
        <x:v>2026-10-04T12:00:00.000Z</x:v>
      </x:c>
      <x:c r="D626" s="11" t="n">
        <x:v>0</x:v>
      </x:c>
      <x:c r="E626" s="11" t="n">
        <x:v>0</x:v>
      </x:c>
      <x:c r="F626" s="11"/>
      <x:c r="G626" s="12" t="n">
        <x:v>0</x:v>
      </x:c>
      <x:c r="H626" s="9" t="n">
        <x:v>0</x:v>
      </x:c>
      <x:c r="I626" s="9" t="n">
        <x:v>0</x:v>
      </x:c>
      <x:c r="J626" s="13"/>
      <x:c r="K626" s="9" t="str">
        <x:v>Exportado</x:v>
      </x:c>
      <x:c r="L626" s="9" t="str">
        <x:v>F062, F064, F063</x:v>
      </x:c>
    </x:row>
    <x:row r="627" ht="24" customHeight="1">
      <x:c r="A627" s="9" t="str">
        <x:v>C06</x:v>
      </x:c>
      <x:c r="B627" s="9" t="str">
        <x:v>[TRON] - YouTube 02 -  VT 5 Seg - {Reg SC} - 07/10</x:v>
      </x:c>
      <x:c r="C627" s="10" t="d">
        <x:v>2026-10-05T12:00:00.000Z</x:v>
      </x:c>
      <x:c r="D627" s="11" t="n">
        <x:v>0</x:v>
      </x:c>
      <x:c r="E627" s="11" t="n">
        <x:v>0</x:v>
      </x:c>
      <x:c r="F627" s="11"/>
      <x:c r="G627" s="12" t="n">
        <x:v>0</x:v>
      </x:c>
      <x:c r="H627" s="9" t="n">
        <x:v>0</x:v>
      </x:c>
      <x:c r="I627" s="9" t="n">
        <x:v>0</x:v>
      </x:c>
      <x:c r="J627" s="13"/>
      <x:c r="K627" s="9" t="str">
        <x:v>Exportado</x:v>
      </x:c>
      <x:c r="L627" s="9" t="str">
        <x:v>F062, F064, F063</x:v>
      </x:c>
    </x:row>
    <x:row r="628" ht="24" customHeight="1">
      <x:c r="A628" s="9" t="str">
        <x:v>C06</x:v>
      </x:c>
      <x:c r="B628" s="9" t="str">
        <x:v>[TRON] - YouTube 02 -  VT 5 Seg - {Reg SC} - 07/10</x:v>
      </x:c>
      <x:c r="C628" s="10" t="d">
        <x:v>2026-10-06T12:00:00.000Z</x:v>
      </x:c>
      <x:c r="D628" s="11" t="n">
        <x:v>0</x:v>
      </x:c>
      <x:c r="E628" s="11" t="n">
        <x:v>0</x:v>
      </x:c>
      <x:c r="F628" s="11"/>
      <x:c r="G628" s="12" t="n">
        <x:v>0</x:v>
      </x:c>
      <x:c r="H628" s="9" t="n">
        <x:v>0</x:v>
      </x:c>
      <x:c r="I628" s="9" t="n">
        <x:v>0</x:v>
      </x:c>
      <x:c r="J628" s="13"/>
      <x:c r="K628" s="9" t="str">
        <x:v>Exportado</x:v>
      </x:c>
      <x:c r="L628" s="9" t="str">
        <x:v>F062, F064, F063</x:v>
      </x:c>
    </x:row>
    <x:row r="629" ht="24" customHeight="1">
      <x:c r="A629" s="9" t="str">
        <x:v>C06</x:v>
      </x:c>
      <x:c r="B629" s="9" t="str">
        <x:v>[TRON] - YouTube 02 -  VT 5 Seg - {Reg SC} - 07/10</x:v>
      </x:c>
      <x:c r="C629" s="10" t="d">
        <x:v>2026-10-07T12:00:00.000Z</x:v>
      </x:c>
      <x:c r="D629" s="11" t="n">
        <x:v>4219</x:v>
      </x:c>
      <x:c r="E629" s="11" t="n">
        <x:v>738</x:v>
      </x:c>
      <x:c r="F629" s="11"/>
      <x:c r="G629" s="12" t="n">
        <x:v>15.04</x:v>
      </x:c>
      <x:c r="H629" s="9" t="n">
        <x:v>23</x:v>
      </x:c>
      <x:c r="I629" s="9" t="n">
        <x:v>0</x:v>
      </x:c>
      <x:c r="J629" s="13" t="n">
        <x:v>0</x:v>
      </x:c>
      <x:c r="K629" s="9" t="str">
        <x:v>Exportado</x:v>
      </x:c>
      <x:c r="L629" s="9" t="str">
        <x:v>F062, F064, F063</x:v>
      </x:c>
    </x:row>
    <x:row r="630" ht="24" customHeight="1">
      <x:c r="A630" s="9" t="str">
        <x:v>C06</x:v>
      </x:c>
      <x:c r="B630" s="9" t="str">
        <x:v>[TRON] - YouTube 02 -  VT 5 Seg - {Reg SC} - 07/10</x:v>
      </x:c>
      <x:c r="C630" s="10" t="d">
        <x:v>2026-10-08T12:00:00.000Z</x:v>
      </x:c>
      <x:c r="D630" s="11" t="n">
        <x:v>6322</x:v>
      </x:c>
      <x:c r="E630" s="11" t="n">
        <x:v>2280</x:v>
      </x:c>
      <x:c r="F630" s="11"/>
      <x:c r="G630" s="12" t="n">
        <x:v>15.75</x:v>
      </x:c>
      <x:c r="H630" s="9" t="n">
        <x:v>10</x:v>
      </x:c>
      <x:c r="I630" s="9" t="n">
        <x:v>0</x:v>
      </x:c>
      <x:c r="J630" s="13" t="n">
        <x:v>0.0014000000000000002</x:v>
      </x:c>
      <x:c r="K630" s="9" t="str">
        <x:v>Exportado</x:v>
      </x:c>
      <x:c r="L630" s="9" t="str">
        <x:v>F062, F064, F063</x:v>
      </x:c>
    </x:row>
    <x:row r="631" ht="24" customHeight="1">
      <x:c r="A631" s="9" t="str">
        <x:v>C06</x:v>
      </x:c>
      <x:c r="B631" s="9" t="str">
        <x:v>[TRON] - YouTube 02 -  VT 5 Seg - {Reg SC} - 07/10</x:v>
      </x:c>
      <x:c r="C631" s="10" t="d">
        <x:v>2026-10-09T12:00:00.000Z</x:v>
      </x:c>
      <x:c r="D631" s="11" t="n">
        <x:v>5937</x:v>
      </x:c>
      <x:c r="E631" s="11" t="n">
        <x:v>4073</x:v>
      </x:c>
      <x:c r="F631" s="11"/>
      <x:c r="G631" s="12" t="n">
        <x:v>15.83</x:v>
      </x:c>
      <x:c r="H631" s="9" t="n">
        <x:v>4</x:v>
      </x:c>
      <x:c r="I631" s="9" t="n">
        <x:v>0</x:v>
      </x:c>
      <x:c r="J631" s="13" t="n">
        <x:v>0.0092</x:v>
      </x:c>
      <x:c r="K631" s="9" t="str">
        <x:v>Exportado</x:v>
      </x:c>
      <x:c r="L631" s="9" t="str">
        <x:v>F062, F064, F063</x:v>
      </x:c>
    </x:row>
    <x:row r="632" ht="24" customHeight="1">
      <x:c r="A632" s="9" t="str">
        <x:v>C06</x:v>
      </x:c>
      <x:c r="B632" s="9" t="str">
        <x:v>[TRON] - YouTube 02 -  VT 5 Seg - {Reg SC} - 07/10</x:v>
      </x:c>
      <x:c r="C632" s="10" t="d">
        <x:v>2026-10-10T12:00:00.000Z</x:v>
      </x:c>
      <x:c r="D632" s="11" t="n">
        <x:v>6523</x:v>
      </x:c>
      <x:c r="E632" s="11" t="n">
        <x:v>3132</x:v>
      </x:c>
      <x:c r="F632" s="11"/>
      <x:c r="G632" s="12" t="n">
        <x:v>15.7</x:v>
      </x:c>
      <x:c r="H632" s="9" t="n">
        <x:v>2</x:v>
      </x:c>
      <x:c r="I632" s="9" t="n">
        <x:v>0</x:v>
      </x:c>
      <x:c r="J632" s="13" t="n">
        <x:v>0</x:v>
      </x:c>
      <x:c r="K632" s="9" t="str">
        <x:v>Exportado</x:v>
      </x:c>
      <x:c r="L632" s="9" t="str">
        <x:v>F062, F064, F063</x:v>
      </x:c>
    </x:row>
    <x:row r="633" ht="24" customHeight="1">
      <x:c r="A633" s="9" t="str">
        <x:v>C06</x:v>
      </x:c>
      <x:c r="B633" s="9" t="str">
        <x:v>[TRON] - YouTube 02 -  VT 5 Seg - {Reg SC} - 07/10</x:v>
      </x:c>
      <x:c r="C633" s="10" t="d">
        <x:v>2026-10-11T12:00:00.000Z</x:v>
      </x:c>
      <x:c r="D633" s="11" t="n">
        <x:v>6339</x:v>
      </x:c>
      <x:c r="E633" s="11" t="n">
        <x:v>3155</x:v>
      </x:c>
      <x:c r="F633" s="11"/>
      <x:c r="G633" s="12" t="n">
        <x:v>15.64</x:v>
      </x:c>
      <x:c r="H633" s="9" t="n">
        <x:v>7</x:v>
      </x:c>
      <x:c r="I633" s="9" t="n">
        <x:v>0</x:v>
      </x:c>
      <x:c r="J633" s="13" t="n">
        <x:v>0.0069</x:v>
      </x:c>
      <x:c r="K633" s="9" t="str">
        <x:v>Exportado</x:v>
      </x:c>
      <x:c r="L633" s="9" t="str">
        <x:v>F062, F064, F063</x:v>
      </x:c>
    </x:row>
    <x:row r="634" ht="24" customHeight="1">
      <x:c r="A634" s="9" t="str">
        <x:v>C06</x:v>
      </x:c>
      <x:c r="B634" s="9" t="str">
        <x:v>[TRON] - YouTube 02 -  VT 5 Seg - {Reg SC} - 07/10</x:v>
      </x:c>
      <x:c r="C634" s="10" t="d">
        <x:v>2026-10-12T12:00:00.000Z</x:v>
      </x:c>
      <x:c r="D634" s="11" t="n">
        <x:v>6636</x:v>
      </x:c>
      <x:c r="E634" s="11" t="n">
        <x:v>3456</x:v>
      </x:c>
      <x:c r="F634" s="11"/>
      <x:c r="G634" s="12" t="n">
        <x:v>15.71</x:v>
      </x:c>
      <x:c r="H634" s="9" t="n">
        <x:v>5</x:v>
      </x:c>
      <x:c r="I634" s="9" t="n">
        <x:v>0</x:v>
      </x:c>
      <x:c r="J634" s="13" t="n">
        <x:v>0.0077</x:v>
      </x:c>
      <x:c r="K634" s="9" t="str">
        <x:v>Exportado</x:v>
      </x:c>
      <x:c r="L634" s="9" t="str">
        <x:v>F062, F064, F063</x:v>
      </x:c>
    </x:row>
    <x:row r="635" ht="24" customHeight="1">
      <x:c r="A635" s="9" t="str">
        <x:v>C06</x:v>
      </x:c>
      <x:c r="B635" s="9" t="str">
        <x:v>[TRON] - YouTube 02 -  VT 5 Seg - {Reg SC} - 07/10</x:v>
      </x:c>
      <x:c r="C635" s="10" t="d">
        <x:v>2026-10-13T12:00:00.000Z</x:v>
      </x:c>
      <x:c r="D635" s="11" t="n">
        <x:v>6538</x:v>
      </x:c>
      <x:c r="E635" s="11" t="n">
        <x:v>3189</x:v>
      </x:c>
      <x:c r="F635" s="11"/>
      <x:c r="G635" s="12" t="n">
        <x:v>15.6</x:v>
      </x:c>
      <x:c r="H635" s="9" t="n">
        <x:v>12</x:v>
      </x:c>
      <x:c r="I635" s="9" t="n">
        <x:v>0</x:v>
      </x:c>
      <x:c r="J635" s="13" t="n">
        <x:v>0.0097</x:v>
      </x:c>
      <x:c r="K635" s="9" t="str">
        <x:v>Exportado</x:v>
      </x:c>
      <x:c r="L635" s="9" t="str">
        <x:v>F062, F064, F063</x:v>
      </x:c>
    </x:row>
    <x:row r="636" ht="24" customHeight="1">
      <x:c r="A636" s="9" t="str">
        <x:v>C07</x:v>
      </x:c>
      <x:c r="B636" s="9" t="str">
        <x:v>[TRON] - YouTube 03 -  VT 5 Seg - {Reg SC} - 07/10</x:v>
      </x:c>
      <x:c r="C636" s="10" t="d">
        <x:v>2026-07-01T12:00:00.000Z</x:v>
      </x:c>
      <x:c r="D636" s="11"/>
      <x:c r="E636" s="11"/>
      <x:c r="F636" s="11"/>
      <x:c r="G636" s="12"/>
      <x:c r="H636" s="9"/>
      <x:c r="I636" s="9"/>
      <x:c r="J636" s="13"/>
      <x:c r="K636" s="9" t="str">
        <x:v>Sem exportação</x:v>
      </x:c>
      <x:c r="L636" s="9"/>
    </x:row>
    <x:row r="637" ht="24" customHeight="1">
      <x:c r="A637" s="9" t="str">
        <x:v>C07</x:v>
      </x:c>
      <x:c r="B637" s="9" t="str">
        <x:v>[TRON] - YouTube 03 -  VT 5 Seg - {Reg SC} - 07/10</x:v>
      </x:c>
      <x:c r="C637" s="10" t="d">
        <x:v>2026-07-02T12:00:00.000Z</x:v>
      </x:c>
      <x:c r="D637" s="11"/>
      <x:c r="E637" s="11"/>
      <x:c r="F637" s="11"/>
      <x:c r="G637" s="12"/>
      <x:c r="H637" s="9"/>
      <x:c r="I637" s="9"/>
      <x:c r="J637" s="13"/>
      <x:c r="K637" s="9" t="str">
        <x:v>Sem exportação</x:v>
      </x:c>
      <x:c r="L637" s="9"/>
    </x:row>
    <x:row r="638" ht="24" customHeight="1">
      <x:c r="A638" s="9" t="str">
        <x:v>C07</x:v>
      </x:c>
      <x:c r="B638" s="9" t="str">
        <x:v>[TRON] - YouTube 03 -  VT 5 Seg - {Reg SC} - 07/10</x:v>
      </x:c>
      <x:c r="C638" s="10" t="d">
        <x:v>2026-07-03T12:00:00.000Z</x:v>
      </x:c>
      <x:c r="D638" s="11"/>
      <x:c r="E638" s="11"/>
      <x:c r="F638" s="11"/>
      <x:c r="G638" s="12"/>
      <x:c r="H638" s="9"/>
      <x:c r="I638" s="9"/>
      <x:c r="J638" s="13"/>
      <x:c r="K638" s="9" t="str">
        <x:v>Sem exportação</x:v>
      </x:c>
      <x:c r="L638" s="9"/>
    </x:row>
    <x:row r="639" ht="24" customHeight="1">
      <x:c r="A639" s="9" t="str">
        <x:v>C07</x:v>
      </x:c>
      <x:c r="B639" s="9" t="str">
        <x:v>[TRON] - YouTube 03 -  VT 5 Seg - {Reg SC} - 07/10</x:v>
      </x:c>
      <x:c r="C639" s="10" t="d">
        <x:v>2026-07-04T12:00:00.000Z</x:v>
      </x:c>
      <x:c r="D639" s="11"/>
      <x:c r="E639" s="11"/>
      <x:c r="F639" s="11"/>
      <x:c r="G639" s="12"/>
      <x:c r="H639" s="9"/>
      <x:c r="I639" s="9"/>
      <x:c r="J639" s="13"/>
      <x:c r="K639" s="9" t="str">
        <x:v>Sem exportação</x:v>
      </x:c>
      <x:c r="L639" s="9"/>
    </x:row>
    <x:row r="640" ht="24" customHeight="1">
      <x:c r="A640" s="9" t="str">
        <x:v>C07</x:v>
      </x:c>
      <x:c r="B640" s="9" t="str">
        <x:v>[TRON] - YouTube 03 -  VT 5 Seg - {Reg SC} - 07/10</x:v>
      </x:c>
      <x:c r="C640" s="10" t="d">
        <x:v>2026-07-05T12:00:00.000Z</x:v>
      </x:c>
      <x:c r="D640" s="11"/>
      <x:c r="E640" s="11"/>
      <x:c r="F640" s="11"/>
      <x:c r="G640" s="12"/>
      <x:c r="H640" s="9"/>
      <x:c r="I640" s="9"/>
      <x:c r="J640" s="13"/>
      <x:c r="K640" s="9" t="str">
        <x:v>Sem exportação</x:v>
      </x:c>
      <x:c r="L640" s="9"/>
    </x:row>
    <x:row r="641" ht="24" customHeight="1">
      <x:c r="A641" s="9" t="str">
        <x:v>C07</x:v>
      </x:c>
      <x:c r="B641" s="9" t="str">
        <x:v>[TRON] - YouTube 03 -  VT 5 Seg - {Reg SC} - 07/10</x:v>
      </x:c>
      <x:c r="C641" s="10" t="d">
        <x:v>2026-07-06T12:00:00.000Z</x:v>
      </x:c>
      <x:c r="D641" s="11"/>
      <x:c r="E641" s="11"/>
      <x:c r="F641" s="11"/>
      <x:c r="G641" s="12"/>
      <x:c r="H641" s="9"/>
      <x:c r="I641" s="9"/>
      <x:c r="J641" s="13"/>
      <x:c r="K641" s="9" t="str">
        <x:v>Sem exportação</x:v>
      </x:c>
      <x:c r="L641" s="9"/>
    </x:row>
    <x:row r="642" ht="24" customHeight="1">
      <x:c r="A642" s="9" t="str">
        <x:v>C07</x:v>
      </x:c>
      <x:c r="B642" s="9" t="str">
        <x:v>[TRON] - YouTube 03 -  VT 5 Seg - {Reg SC} - 07/10</x:v>
      </x:c>
      <x:c r="C642" s="10" t="d">
        <x:v>2026-07-07T12:00:00.000Z</x:v>
      </x:c>
      <x:c r="D642" s="11"/>
      <x:c r="E642" s="11"/>
      <x:c r="F642" s="11"/>
      <x:c r="G642" s="12"/>
      <x:c r="H642" s="9"/>
      <x:c r="I642" s="9"/>
      <x:c r="J642" s="13"/>
      <x:c r="K642" s="9" t="str">
        <x:v>Sem exportação</x:v>
      </x:c>
      <x:c r="L642" s="9"/>
    </x:row>
    <x:row r="643" ht="24" customHeight="1">
      <x:c r="A643" s="9" t="str">
        <x:v>C07</x:v>
      </x:c>
      <x:c r="B643" s="9" t="str">
        <x:v>[TRON] - YouTube 03 -  VT 5 Seg - {Reg SC} - 07/10</x:v>
      </x:c>
      <x:c r="C643" s="10" t="d">
        <x:v>2026-07-08T12:00:00.000Z</x:v>
      </x:c>
      <x:c r="D643" s="11"/>
      <x:c r="E643" s="11"/>
      <x:c r="F643" s="11"/>
      <x:c r="G643" s="12"/>
      <x:c r="H643" s="9"/>
      <x:c r="I643" s="9"/>
      <x:c r="J643" s="13"/>
      <x:c r="K643" s="9" t="str">
        <x:v>Sem exportação</x:v>
      </x:c>
      <x:c r="L643" s="9"/>
    </x:row>
    <x:row r="644" ht="24" customHeight="1">
      <x:c r="A644" s="9" t="str">
        <x:v>C07</x:v>
      </x:c>
      <x:c r="B644" s="9" t="str">
        <x:v>[TRON] - YouTube 03 -  VT 5 Seg - {Reg SC} - 07/10</x:v>
      </x:c>
      <x:c r="C644" s="10" t="d">
        <x:v>2026-07-09T12:00:00.000Z</x:v>
      </x:c>
      <x:c r="D644" s="11"/>
      <x:c r="E644" s="11"/>
      <x:c r="F644" s="11"/>
      <x:c r="G644" s="12"/>
      <x:c r="H644" s="9"/>
      <x:c r="I644" s="9"/>
      <x:c r="J644" s="13"/>
      <x:c r="K644" s="9" t="str">
        <x:v>Sem exportação</x:v>
      </x:c>
      <x:c r="L644" s="9"/>
    </x:row>
    <x:row r="645" ht="24" customHeight="1">
      <x:c r="A645" s="9" t="str">
        <x:v>C07</x:v>
      </x:c>
      <x:c r="B645" s="9" t="str">
        <x:v>[TRON] - YouTube 03 -  VT 5 Seg - {Reg SC} - 07/10</x:v>
      </x:c>
      <x:c r="C645" s="10" t="d">
        <x:v>2026-07-10T12:00:00.000Z</x:v>
      </x:c>
      <x:c r="D645" s="11"/>
      <x:c r="E645" s="11"/>
      <x:c r="F645" s="11"/>
      <x:c r="G645" s="12"/>
      <x:c r="H645" s="9"/>
      <x:c r="I645" s="9"/>
      <x:c r="J645" s="13"/>
      <x:c r="K645" s="9" t="str">
        <x:v>Sem exportação</x:v>
      </x:c>
      <x:c r="L645" s="9"/>
    </x:row>
    <x:row r="646" ht="24" customHeight="1">
      <x:c r="A646" s="9" t="str">
        <x:v>C07</x:v>
      </x:c>
      <x:c r="B646" s="9" t="str">
        <x:v>[TRON] - YouTube 03 -  VT 5 Seg - {Reg SC} - 07/10</x:v>
      </x:c>
      <x:c r="C646" s="10" t="d">
        <x:v>2026-07-11T12:00:00.000Z</x:v>
      </x:c>
      <x:c r="D646" s="11"/>
      <x:c r="E646" s="11"/>
      <x:c r="F646" s="11"/>
      <x:c r="G646" s="12"/>
      <x:c r="H646" s="9"/>
      <x:c r="I646" s="9"/>
      <x:c r="J646" s="13"/>
      <x:c r="K646" s="9" t="str">
        <x:v>Sem exportação</x:v>
      </x:c>
      <x:c r="L646" s="9"/>
    </x:row>
    <x:row r="647" ht="24" customHeight="1">
      <x:c r="A647" s="9" t="str">
        <x:v>C07</x:v>
      </x:c>
      <x:c r="B647" s="9" t="str">
        <x:v>[TRON] - YouTube 03 -  VT 5 Seg - {Reg SC} - 07/10</x:v>
      </x:c>
      <x:c r="C647" s="10" t="d">
        <x:v>2026-07-12T12:00:00.000Z</x:v>
      </x:c>
      <x:c r="D647" s="11"/>
      <x:c r="E647" s="11"/>
      <x:c r="F647" s="11"/>
      <x:c r="G647" s="12"/>
      <x:c r="H647" s="9"/>
      <x:c r="I647" s="9"/>
      <x:c r="J647" s="13"/>
      <x:c r="K647" s="9" t="str">
        <x:v>Sem exportação</x:v>
      </x:c>
      <x:c r="L647" s="9"/>
    </x:row>
    <x:row r="648" ht="24" customHeight="1">
      <x:c r="A648" s="9" t="str">
        <x:v>C07</x:v>
      </x:c>
      <x:c r="B648" s="9" t="str">
        <x:v>[TRON] - YouTube 03 -  VT 5 Seg - {Reg SC} - 07/10</x:v>
      </x:c>
      <x:c r="C648" s="10" t="d">
        <x:v>2026-07-13T12:00:00.000Z</x:v>
      </x:c>
      <x:c r="D648" s="11"/>
      <x:c r="E648" s="11"/>
      <x:c r="F648" s="11"/>
      <x:c r="G648" s="12"/>
      <x:c r="H648" s="9"/>
      <x:c r="I648" s="9"/>
      <x:c r="J648" s="13"/>
      <x:c r="K648" s="9" t="str">
        <x:v>Sem exportação</x:v>
      </x:c>
      <x:c r="L648" s="9"/>
    </x:row>
    <x:row r="649" ht="24" customHeight="1">
      <x:c r="A649" s="9" t="str">
        <x:v>C07</x:v>
      </x:c>
      <x:c r="B649" s="9" t="str">
        <x:v>[TRON] - YouTube 03 -  VT 5 Seg - {Reg SC} - 07/10</x:v>
      </x:c>
      <x:c r="C649" s="10" t="d">
        <x:v>2026-07-14T12:00:00.000Z</x:v>
      </x:c>
      <x:c r="D649" s="11"/>
      <x:c r="E649" s="11"/>
      <x:c r="F649" s="11"/>
      <x:c r="G649" s="12"/>
      <x:c r="H649" s="9"/>
      <x:c r="I649" s="9"/>
      <x:c r="J649" s="13"/>
      <x:c r="K649" s="9" t="str">
        <x:v>Sem exportação</x:v>
      </x:c>
      <x:c r="L649" s="9"/>
    </x:row>
    <x:row r="650" ht="24" customHeight="1">
      <x:c r="A650" s="9" t="str">
        <x:v>C07</x:v>
      </x:c>
      <x:c r="B650" s="9" t="str">
        <x:v>[TRON] - YouTube 03 -  VT 5 Seg - {Reg SC} - 07/10</x:v>
      </x:c>
      <x:c r="C650" s="10" t="d">
        <x:v>2026-07-15T12:00:00.000Z</x:v>
      </x:c>
      <x:c r="D650" s="11"/>
      <x:c r="E650" s="11"/>
      <x:c r="F650" s="11"/>
      <x:c r="G650" s="12"/>
      <x:c r="H650" s="9"/>
      <x:c r="I650" s="9"/>
      <x:c r="J650" s="13"/>
      <x:c r="K650" s="9" t="str">
        <x:v>Sem exportação</x:v>
      </x:c>
      <x:c r="L650" s="9"/>
    </x:row>
    <x:row r="651" ht="24" customHeight="1">
      <x:c r="A651" s="9" t="str">
        <x:v>C07</x:v>
      </x:c>
      <x:c r="B651" s="9" t="str">
        <x:v>[TRON] - YouTube 03 -  VT 5 Seg - {Reg SC} - 07/10</x:v>
      </x:c>
      <x:c r="C651" s="10" t="d">
        <x:v>2026-07-16T12:00:00.000Z</x:v>
      </x:c>
      <x:c r="D651" s="11"/>
      <x:c r="E651" s="11"/>
      <x:c r="F651" s="11"/>
      <x:c r="G651" s="12"/>
      <x:c r="H651" s="9"/>
      <x:c r="I651" s="9"/>
      <x:c r="J651" s="13"/>
      <x:c r="K651" s="9" t="str">
        <x:v>Sem exportação</x:v>
      </x:c>
      <x:c r="L651" s="9"/>
    </x:row>
    <x:row r="652" ht="24" customHeight="1">
      <x:c r="A652" s="9" t="str">
        <x:v>C07</x:v>
      </x:c>
      <x:c r="B652" s="9" t="str">
        <x:v>[TRON] - YouTube 03 -  VT 5 Seg - {Reg SC} - 07/10</x:v>
      </x:c>
      <x:c r="C652" s="10" t="d">
        <x:v>2026-07-17T12:00:00.000Z</x:v>
      </x:c>
      <x:c r="D652" s="11"/>
      <x:c r="E652" s="11"/>
      <x:c r="F652" s="11"/>
      <x:c r="G652" s="12"/>
      <x:c r="H652" s="9"/>
      <x:c r="I652" s="9"/>
      <x:c r="J652" s="13"/>
      <x:c r="K652" s="9" t="str">
        <x:v>Sem exportação</x:v>
      </x:c>
      <x:c r="L652" s="9"/>
    </x:row>
    <x:row r="653" ht="24" customHeight="1">
      <x:c r="A653" s="9" t="str">
        <x:v>C07</x:v>
      </x:c>
      <x:c r="B653" s="9" t="str">
        <x:v>[TRON] - YouTube 03 -  VT 5 Seg - {Reg SC} - 07/10</x:v>
      </x:c>
      <x:c r="C653" s="10" t="d">
        <x:v>2026-07-18T12:00:00.000Z</x:v>
      </x:c>
      <x:c r="D653" s="11"/>
      <x:c r="E653" s="11"/>
      <x:c r="F653" s="11"/>
      <x:c r="G653" s="12"/>
      <x:c r="H653" s="9"/>
      <x:c r="I653" s="9"/>
      <x:c r="J653" s="13"/>
      <x:c r="K653" s="9" t="str">
        <x:v>Sem exportação</x:v>
      </x:c>
      <x:c r="L653" s="9"/>
    </x:row>
    <x:row r="654" ht="24" customHeight="1">
      <x:c r="A654" s="9" t="str">
        <x:v>C07</x:v>
      </x:c>
      <x:c r="B654" s="9" t="str">
        <x:v>[TRON] - YouTube 03 -  VT 5 Seg - {Reg SC} - 07/10</x:v>
      </x:c>
      <x:c r="C654" s="10" t="d">
        <x:v>2026-07-19T12:00:00.000Z</x:v>
      </x:c>
      <x:c r="D654" s="11"/>
      <x:c r="E654" s="11"/>
      <x:c r="F654" s="11"/>
      <x:c r="G654" s="12"/>
      <x:c r="H654" s="9"/>
      <x:c r="I654" s="9"/>
      <x:c r="J654" s="13"/>
      <x:c r="K654" s="9" t="str">
        <x:v>Sem exportação</x:v>
      </x:c>
      <x:c r="L654" s="9"/>
    </x:row>
    <x:row r="655" ht="24" customHeight="1">
      <x:c r="A655" s="9" t="str">
        <x:v>C07</x:v>
      </x:c>
      <x:c r="B655" s="9" t="str">
        <x:v>[TRON] - YouTube 03 -  VT 5 Seg - {Reg SC} - 07/10</x:v>
      </x:c>
      <x:c r="C655" s="10" t="d">
        <x:v>2026-07-20T12:00:00.000Z</x:v>
      </x:c>
      <x:c r="D655" s="11"/>
      <x:c r="E655" s="11"/>
      <x:c r="F655" s="11"/>
      <x:c r="G655" s="12"/>
      <x:c r="H655" s="9"/>
      <x:c r="I655" s="9"/>
      <x:c r="J655" s="13"/>
      <x:c r="K655" s="9" t="str">
        <x:v>Sem exportação</x:v>
      </x:c>
      <x:c r="L655" s="9"/>
    </x:row>
    <x:row r="656" ht="24" customHeight="1">
      <x:c r="A656" s="9" t="str">
        <x:v>C07</x:v>
      </x:c>
      <x:c r="B656" s="9" t="str">
        <x:v>[TRON] - YouTube 03 -  VT 5 Seg - {Reg SC} - 07/10</x:v>
      </x:c>
      <x:c r="C656" s="10" t="d">
        <x:v>2026-07-21T12:00:00.000Z</x:v>
      </x:c>
      <x:c r="D656" s="11"/>
      <x:c r="E656" s="11"/>
      <x:c r="F656" s="11"/>
      <x:c r="G656" s="12"/>
      <x:c r="H656" s="9"/>
      <x:c r="I656" s="9"/>
      <x:c r="J656" s="13"/>
      <x:c r="K656" s="9" t="str">
        <x:v>Sem exportação</x:v>
      </x:c>
      <x:c r="L656" s="9"/>
    </x:row>
    <x:row r="657" ht="24" customHeight="1">
      <x:c r="A657" s="9" t="str">
        <x:v>C07</x:v>
      </x:c>
      <x:c r="B657" s="9" t="str">
        <x:v>[TRON] - YouTube 03 -  VT 5 Seg - {Reg SC} - 07/10</x:v>
      </x:c>
      <x:c r="C657" s="10" t="d">
        <x:v>2026-07-22T12:00:00.000Z</x:v>
      </x:c>
      <x:c r="D657" s="11"/>
      <x:c r="E657" s="11"/>
      <x:c r="F657" s="11"/>
      <x:c r="G657" s="12"/>
      <x:c r="H657" s="9"/>
      <x:c r="I657" s="9"/>
      <x:c r="J657" s="13"/>
      <x:c r="K657" s="9" t="str">
        <x:v>Sem exportação</x:v>
      </x:c>
      <x:c r="L657" s="9"/>
    </x:row>
    <x:row r="658" ht="24" customHeight="1">
      <x:c r="A658" s="9" t="str">
        <x:v>C07</x:v>
      </x:c>
      <x:c r="B658" s="9" t="str">
        <x:v>[TRON] - YouTube 03 -  VT 5 Seg - {Reg SC} - 07/10</x:v>
      </x:c>
      <x:c r="C658" s="10" t="d">
        <x:v>2026-07-23T12:00:00.000Z</x:v>
      </x:c>
      <x:c r="D658" s="11"/>
      <x:c r="E658" s="11"/>
      <x:c r="F658" s="11"/>
      <x:c r="G658" s="12"/>
      <x:c r="H658" s="9"/>
      <x:c r="I658" s="9"/>
      <x:c r="J658" s="13"/>
      <x:c r="K658" s="9" t="str">
        <x:v>Sem exportação</x:v>
      </x:c>
      <x:c r="L658" s="9"/>
    </x:row>
    <x:row r="659" ht="24" customHeight="1">
      <x:c r="A659" s="9" t="str">
        <x:v>C07</x:v>
      </x:c>
      <x:c r="B659" s="9" t="str">
        <x:v>[TRON] - YouTube 03 -  VT 5 Seg - {Reg SC} - 07/10</x:v>
      </x:c>
      <x:c r="C659" s="10" t="d">
        <x:v>2026-07-24T12:00:00.000Z</x:v>
      </x:c>
      <x:c r="D659" s="11"/>
      <x:c r="E659" s="11"/>
      <x:c r="F659" s="11"/>
      <x:c r="G659" s="12"/>
      <x:c r="H659" s="9"/>
      <x:c r="I659" s="9"/>
      <x:c r="J659" s="13"/>
      <x:c r="K659" s="9" t="str">
        <x:v>Sem exportação</x:v>
      </x:c>
      <x:c r="L659" s="9"/>
    </x:row>
    <x:row r="660" ht="24" customHeight="1">
      <x:c r="A660" s="9" t="str">
        <x:v>C07</x:v>
      </x:c>
      <x:c r="B660" s="9" t="str">
        <x:v>[TRON] - YouTube 03 -  VT 5 Seg - {Reg SC} - 07/10</x:v>
      </x:c>
      <x:c r="C660" s="10" t="d">
        <x:v>2026-07-25T12:00:00.000Z</x:v>
      </x:c>
      <x:c r="D660" s="11"/>
      <x:c r="E660" s="11"/>
      <x:c r="F660" s="11"/>
      <x:c r="G660" s="12"/>
      <x:c r="H660" s="9"/>
      <x:c r="I660" s="9"/>
      <x:c r="J660" s="13"/>
      <x:c r="K660" s="9" t="str">
        <x:v>Sem exportação</x:v>
      </x:c>
      <x:c r="L660" s="9"/>
    </x:row>
    <x:row r="661" ht="24" customHeight="1">
      <x:c r="A661" s="9" t="str">
        <x:v>C07</x:v>
      </x:c>
      <x:c r="B661" s="9" t="str">
        <x:v>[TRON] - YouTube 03 -  VT 5 Seg - {Reg SC} - 07/10</x:v>
      </x:c>
      <x:c r="C661" s="10" t="d">
        <x:v>2026-07-26T12:00:00.000Z</x:v>
      </x:c>
      <x:c r="D661" s="11"/>
      <x:c r="E661" s="11"/>
      <x:c r="F661" s="11"/>
      <x:c r="G661" s="12"/>
      <x:c r="H661" s="9"/>
      <x:c r="I661" s="9"/>
      <x:c r="J661" s="13"/>
      <x:c r="K661" s="9" t="str">
        <x:v>Sem exportação</x:v>
      </x:c>
      <x:c r="L661" s="9"/>
    </x:row>
    <x:row r="662" ht="24" customHeight="1">
      <x:c r="A662" s="9" t="str">
        <x:v>C07</x:v>
      </x:c>
      <x:c r="B662" s="9" t="str">
        <x:v>[TRON] - YouTube 03 -  VT 5 Seg - {Reg SC} - 07/10</x:v>
      </x:c>
      <x:c r="C662" s="10" t="d">
        <x:v>2026-07-27T12:00:00.000Z</x:v>
      </x:c>
      <x:c r="D662" s="11"/>
      <x:c r="E662" s="11"/>
      <x:c r="F662" s="11"/>
      <x:c r="G662" s="12"/>
      <x:c r="H662" s="9"/>
      <x:c r="I662" s="9"/>
      <x:c r="J662" s="13"/>
      <x:c r="K662" s="9" t="str">
        <x:v>Sem exportação</x:v>
      </x:c>
      <x:c r="L662" s="9"/>
    </x:row>
    <x:row r="663" ht="24" customHeight="1">
      <x:c r="A663" s="9" t="str">
        <x:v>C07</x:v>
      </x:c>
      <x:c r="B663" s="9" t="str">
        <x:v>[TRON] - YouTube 03 -  VT 5 Seg - {Reg SC} - 07/10</x:v>
      </x:c>
      <x:c r="C663" s="10" t="d">
        <x:v>2026-07-28T12:00:00.000Z</x:v>
      </x:c>
      <x:c r="D663" s="11"/>
      <x:c r="E663" s="11"/>
      <x:c r="F663" s="11"/>
      <x:c r="G663" s="12"/>
      <x:c r="H663" s="9"/>
      <x:c r="I663" s="9"/>
      <x:c r="J663" s="13"/>
      <x:c r="K663" s="9" t="str">
        <x:v>Sem exportação</x:v>
      </x:c>
      <x:c r="L663" s="9"/>
    </x:row>
    <x:row r="664" ht="24" customHeight="1">
      <x:c r="A664" s="9" t="str">
        <x:v>C07</x:v>
      </x:c>
      <x:c r="B664" s="9" t="str">
        <x:v>[TRON] - YouTube 03 -  VT 5 Seg - {Reg SC} - 07/10</x:v>
      </x:c>
      <x:c r="C664" s="10" t="d">
        <x:v>2026-07-29T12:00:00.000Z</x:v>
      </x:c>
      <x:c r="D664" s="11"/>
      <x:c r="E664" s="11"/>
      <x:c r="F664" s="11"/>
      <x:c r="G664" s="12"/>
      <x:c r="H664" s="9"/>
      <x:c r="I664" s="9"/>
      <x:c r="J664" s="13"/>
      <x:c r="K664" s="9" t="str">
        <x:v>Sem exportação</x:v>
      </x:c>
      <x:c r="L664" s="9"/>
    </x:row>
    <x:row r="665" ht="24" customHeight="1">
      <x:c r="A665" s="9" t="str">
        <x:v>C07</x:v>
      </x:c>
      <x:c r="B665" s="9" t="str">
        <x:v>[TRON] - YouTube 03 -  VT 5 Seg - {Reg SC} - 07/10</x:v>
      </x:c>
      <x:c r="C665" s="10" t="d">
        <x:v>2026-07-30T12:00:00.000Z</x:v>
      </x:c>
      <x:c r="D665" s="11"/>
      <x:c r="E665" s="11"/>
      <x:c r="F665" s="11"/>
      <x:c r="G665" s="12"/>
      <x:c r="H665" s="9"/>
      <x:c r="I665" s="9"/>
      <x:c r="J665" s="13"/>
      <x:c r="K665" s="9" t="str">
        <x:v>Sem exportação</x:v>
      </x:c>
      <x:c r="L665" s="9"/>
    </x:row>
    <x:row r="666" ht="24" customHeight="1">
      <x:c r="A666" s="9" t="str">
        <x:v>C07</x:v>
      </x:c>
      <x:c r="B666" s="9" t="str">
        <x:v>[TRON] - YouTube 03 -  VT 5 Seg - {Reg SC} - 07/10</x:v>
      </x:c>
      <x:c r="C666" s="10" t="d">
        <x:v>2026-07-31T12:00:00.000Z</x:v>
      </x:c>
      <x:c r="D666" s="11"/>
      <x:c r="E666" s="11"/>
      <x:c r="F666" s="11"/>
      <x:c r="G666" s="12"/>
      <x:c r="H666" s="9"/>
      <x:c r="I666" s="9"/>
      <x:c r="J666" s="13"/>
      <x:c r="K666" s="9" t="str">
        <x:v>Sem exportação</x:v>
      </x:c>
      <x:c r="L666" s="9"/>
    </x:row>
    <x:row r="667" ht="24" customHeight="1">
      <x:c r="A667" s="9" t="str">
        <x:v>C07</x:v>
      </x:c>
      <x:c r="B667" s="9" t="str">
        <x:v>[TRON] - YouTube 03 -  VT 5 Seg - {Reg SC} - 07/10</x:v>
      </x:c>
      <x:c r="C667" s="10" t="d">
        <x:v>2026-08-01T12:00:00.000Z</x:v>
      </x:c>
      <x:c r="D667" s="11"/>
      <x:c r="E667" s="11"/>
      <x:c r="F667" s="11"/>
      <x:c r="G667" s="12"/>
      <x:c r="H667" s="9"/>
      <x:c r="I667" s="9"/>
      <x:c r="J667" s="13"/>
      <x:c r="K667" s="9" t="str">
        <x:v>Sem exportação</x:v>
      </x:c>
      <x:c r="L667" s="9"/>
    </x:row>
    <x:row r="668" ht="24" customHeight="1">
      <x:c r="A668" s="9" t="str">
        <x:v>C07</x:v>
      </x:c>
      <x:c r="B668" s="9" t="str">
        <x:v>[TRON] - YouTube 03 -  VT 5 Seg - {Reg SC} - 07/10</x:v>
      </x:c>
      <x:c r="C668" s="10" t="d">
        <x:v>2026-08-02T12:00:00.000Z</x:v>
      </x:c>
      <x:c r="D668" s="11"/>
      <x:c r="E668" s="11"/>
      <x:c r="F668" s="11"/>
      <x:c r="G668" s="12"/>
      <x:c r="H668" s="9"/>
      <x:c r="I668" s="9"/>
      <x:c r="J668" s="13"/>
      <x:c r="K668" s="9" t="str">
        <x:v>Sem exportação</x:v>
      </x:c>
      <x:c r="L668" s="9"/>
    </x:row>
    <x:row r="669" ht="24" customHeight="1">
      <x:c r="A669" s="9" t="str">
        <x:v>C07</x:v>
      </x:c>
      <x:c r="B669" s="9" t="str">
        <x:v>[TRON] - YouTube 03 -  VT 5 Seg - {Reg SC} - 07/10</x:v>
      </x:c>
      <x:c r="C669" s="10" t="d">
        <x:v>2026-08-03T12:00:00.000Z</x:v>
      </x:c>
      <x:c r="D669" s="11"/>
      <x:c r="E669" s="11"/>
      <x:c r="F669" s="11"/>
      <x:c r="G669" s="12"/>
      <x:c r="H669" s="9"/>
      <x:c r="I669" s="9"/>
      <x:c r="J669" s="13"/>
      <x:c r="K669" s="9" t="str">
        <x:v>Sem exportação</x:v>
      </x:c>
      <x:c r="L669" s="9"/>
    </x:row>
    <x:row r="670" ht="24" customHeight="1">
      <x:c r="A670" s="9" t="str">
        <x:v>C07</x:v>
      </x:c>
      <x:c r="B670" s="9" t="str">
        <x:v>[TRON] - YouTube 03 -  VT 5 Seg - {Reg SC} - 07/10</x:v>
      </x:c>
      <x:c r="C670" s="10" t="d">
        <x:v>2026-08-04T12:00:00.000Z</x:v>
      </x:c>
      <x:c r="D670" s="11"/>
      <x:c r="E670" s="11"/>
      <x:c r="F670" s="11"/>
      <x:c r="G670" s="12"/>
      <x:c r="H670" s="9"/>
      <x:c r="I670" s="9"/>
      <x:c r="J670" s="13"/>
      <x:c r="K670" s="9" t="str">
        <x:v>Sem exportação</x:v>
      </x:c>
      <x:c r="L670" s="9"/>
    </x:row>
    <x:row r="671" ht="24" customHeight="1">
      <x:c r="A671" s="9" t="str">
        <x:v>C07</x:v>
      </x:c>
      <x:c r="B671" s="9" t="str">
        <x:v>[TRON] - YouTube 03 -  VT 5 Seg - {Reg SC} - 07/10</x:v>
      </x:c>
      <x:c r="C671" s="10" t="d">
        <x:v>2026-08-05T12:00:00.000Z</x:v>
      </x:c>
      <x:c r="D671" s="11"/>
      <x:c r="E671" s="11"/>
      <x:c r="F671" s="11"/>
      <x:c r="G671" s="12"/>
      <x:c r="H671" s="9"/>
      <x:c r="I671" s="9"/>
      <x:c r="J671" s="13"/>
      <x:c r="K671" s="9" t="str">
        <x:v>Sem exportação</x:v>
      </x:c>
      <x:c r="L671" s="9"/>
    </x:row>
    <x:row r="672" ht="24" customHeight="1">
      <x:c r="A672" s="9" t="str">
        <x:v>C07</x:v>
      </x:c>
      <x:c r="B672" s="9" t="str">
        <x:v>[TRON] - YouTube 03 -  VT 5 Seg - {Reg SC} - 07/10</x:v>
      </x:c>
      <x:c r="C672" s="10" t="d">
        <x:v>2026-08-06T12:00:00.000Z</x:v>
      </x:c>
      <x:c r="D672" s="11"/>
      <x:c r="E672" s="11"/>
      <x:c r="F672" s="11"/>
      <x:c r="G672" s="12"/>
      <x:c r="H672" s="9"/>
      <x:c r="I672" s="9"/>
      <x:c r="J672" s="13"/>
      <x:c r="K672" s="9" t="str">
        <x:v>Sem exportação</x:v>
      </x:c>
      <x:c r="L672" s="9"/>
    </x:row>
    <x:row r="673" ht="24" customHeight="1">
      <x:c r="A673" s="9" t="str">
        <x:v>C07</x:v>
      </x:c>
      <x:c r="B673" s="9" t="str">
        <x:v>[TRON] - YouTube 03 -  VT 5 Seg - {Reg SC} - 07/10</x:v>
      </x:c>
      <x:c r="C673" s="10" t="d">
        <x:v>2026-08-07T12:00:00.000Z</x:v>
      </x:c>
      <x:c r="D673" s="11"/>
      <x:c r="E673" s="11"/>
      <x:c r="F673" s="11"/>
      <x:c r="G673" s="12"/>
      <x:c r="H673" s="9"/>
      <x:c r="I673" s="9"/>
      <x:c r="J673" s="13"/>
      <x:c r="K673" s="9" t="str">
        <x:v>Sem exportação</x:v>
      </x:c>
      <x:c r="L673" s="9"/>
    </x:row>
    <x:row r="674" ht="24" customHeight="1">
      <x:c r="A674" s="9" t="str">
        <x:v>C07</x:v>
      </x:c>
      <x:c r="B674" s="9" t="str">
        <x:v>[TRON] - YouTube 03 -  VT 5 Seg - {Reg SC} - 07/10</x:v>
      </x:c>
      <x:c r="C674" s="10" t="d">
        <x:v>2026-08-08T12:00:00.000Z</x:v>
      </x:c>
      <x:c r="D674" s="11"/>
      <x:c r="E674" s="11"/>
      <x:c r="F674" s="11"/>
      <x:c r="G674" s="12"/>
      <x:c r="H674" s="9"/>
      <x:c r="I674" s="9"/>
      <x:c r="J674" s="13"/>
      <x:c r="K674" s="9" t="str">
        <x:v>Sem exportação</x:v>
      </x:c>
      <x:c r="L674" s="9"/>
    </x:row>
    <x:row r="675" ht="24" customHeight="1">
      <x:c r="A675" s="9" t="str">
        <x:v>C07</x:v>
      </x:c>
      <x:c r="B675" s="9" t="str">
        <x:v>[TRON] - YouTube 03 -  VT 5 Seg - {Reg SC} - 07/10</x:v>
      </x:c>
      <x:c r="C675" s="10" t="d">
        <x:v>2026-08-09T12:00:00.000Z</x:v>
      </x:c>
      <x:c r="D675" s="11"/>
      <x:c r="E675" s="11"/>
      <x:c r="F675" s="11"/>
      <x:c r="G675" s="12"/>
      <x:c r="H675" s="9"/>
      <x:c r="I675" s="9"/>
      <x:c r="J675" s="13"/>
      <x:c r="K675" s="9" t="str">
        <x:v>Sem exportação</x:v>
      </x:c>
      <x:c r="L675" s="9"/>
    </x:row>
    <x:row r="676" ht="24" customHeight="1">
      <x:c r="A676" s="9" t="str">
        <x:v>C07</x:v>
      </x:c>
      <x:c r="B676" s="9" t="str">
        <x:v>[TRON] - YouTube 03 -  VT 5 Seg - {Reg SC} - 07/10</x:v>
      </x:c>
      <x:c r="C676" s="10" t="d">
        <x:v>2026-08-10T12:00:00.000Z</x:v>
      </x:c>
      <x:c r="D676" s="11"/>
      <x:c r="E676" s="11"/>
      <x:c r="F676" s="11"/>
      <x:c r="G676" s="12"/>
      <x:c r="H676" s="9"/>
      <x:c r="I676" s="9"/>
      <x:c r="J676" s="13"/>
      <x:c r="K676" s="9" t="str">
        <x:v>Sem exportação</x:v>
      </x:c>
      <x:c r="L676" s="9"/>
    </x:row>
    <x:row r="677" ht="24" customHeight="1">
      <x:c r="A677" s="9" t="str">
        <x:v>C07</x:v>
      </x:c>
      <x:c r="B677" s="9" t="str">
        <x:v>[TRON] - YouTube 03 -  VT 5 Seg - {Reg SC} - 07/10</x:v>
      </x:c>
      <x:c r="C677" s="10" t="d">
        <x:v>2026-08-11T12:00:00.000Z</x:v>
      </x:c>
      <x:c r="D677" s="11"/>
      <x:c r="E677" s="11"/>
      <x:c r="F677" s="11"/>
      <x:c r="G677" s="12"/>
      <x:c r="H677" s="9"/>
      <x:c r="I677" s="9"/>
      <x:c r="J677" s="13"/>
      <x:c r="K677" s="9" t="str">
        <x:v>Sem exportação</x:v>
      </x:c>
      <x:c r="L677" s="9"/>
    </x:row>
    <x:row r="678" ht="24" customHeight="1">
      <x:c r="A678" s="9" t="str">
        <x:v>C07</x:v>
      </x:c>
      <x:c r="B678" s="9" t="str">
        <x:v>[TRON] - YouTube 03 -  VT 5 Seg - {Reg SC} - 07/10</x:v>
      </x:c>
      <x:c r="C678" s="10" t="d">
        <x:v>2026-08-12T12:00:00.000Z</x:v>
      </x:c>
      <x:c r="D678" s="11"/>
      <x:c r="E678" s="11"/>
      <x:c r="F678" s="11"/>
      <x:c r="G678" s="12"/>
      <x:c r="H678" s="9"/>
      <x:c r="I678" s="9"/>
      <x:c r="J678" s="13"/>
      <x:c r="K678" s="9" t="str">
        <x:v>Sem exportação</x:v>
      </x:c>
      <x:c r="L678" s="9"/>
    </x:row>
    <x:row r="679" ht="24" customHeight="1">
      <x:c r="A679" s="9" t="str">
        <x:v>C07</x:v>
      </x:c>
      <x:c r="B679" s="9" t="str">
        <x:v>[TRON] - YouTube 03 -  VT 5 Seg - {Reg SC} - 07/10</x:v>
      </x:c>
      <x:c r="C679" s="10" t="d">
        <x:v>2026-08-13T12:00:00.000Z</x:v>
      </x:c>
      <x:c r="D679" s="11"/>
      <x:c r="E679" s="11"/>
      <x:c r="F679" s="11"/>
      <x:c r="G679" s="12"/>
      <x:c r="H679" s="9"/>
      <x:c r="I679" s="9"/>
      <x:c r="J679" s="13"/>
      <x:c r="K679" s="9" t="str">
        <x:v>Sem exportação</x:v>
      </x:c>
      <x:c r="L679" s="9"/>
    </x:row>
    <x:row r="680" ht="24" customHeight="1">
      <x:c r="A680" s="9" t="str">
        <x:v>C07</x:v>
      </x:c>
      <x:c r="B680" s="9" t="str">
        <x:v>[TRON] - YouTube 03 -  VT 5 Seg - {Reg SC} - 07/10</x:v>
      </x:c>
      <x:c r="C680" s="10" t="d">
        <x:v>2026-08-14T12:00:00.000Z</x:v>
      </x:c>
      <x:c r="D680" s="11"/>
      <x:c r="E680" s="11"/>
      <x:c r="F680" s="11"/>
      <x:c r="G680" s="12"/>
      <x:c r="H680" s="9"/>
      <x:c r="I680" s="9"/>
      <x:c r="J680" s="13"/>
      <x:c r="K680" s="9" t="str">
        <x:v>Sem exportação</x:v>
      </x:c>
      <x:c r="L680" s="9"/>
    </x:row>
    <x:row r="681" ht="24" customHeight="1">
      <x:c r="A681" s="9" t="str">
        <x:v>C07</x:v>
      </x:c>
      <x:c r="B681" s="9" t="str">
        <x:v>[TRON] - YouTube 03 -  VT 5 Seg - {Reg SC} - 07/10</x:v>
      </x:c>
      <x:c r="C681" s="10" t="d">
        <x:v>2026-08-15T12:00:00.000Z</x:v>
      </x:c>
      <x:c r="D681" s="11"/>
      <x:c r="E681" s="11"/>
      <x:c r="F681" s="11"/>
      <x:c r="G681" s="12"/>
      <x:c r="H681" s="9"/>
      <x:c r="I681" s="9"/>
      <x:c r="J681" s="13"/>
      <x:c r="K681" s="9" t="str">
        <x:v>Sem exportação</x:v>
      </x:c>
      <x:c r="L681" s="9"/>
    </x:row>
    <x:row r="682" ht="24" customHeight="1">
      <x:c r="A682" s="9" t="str">
        <x:v>C07</x:v>
      </x:c>
      <x:c r="B682" s="9" t="str">
        <x:v>[TRON] - YouTube 03 -  VT 5 Seg - {Reg SC} - 07/10</x:v>
      </x:c>
      <x:c r="C682" s="10" t="d">
        <x:v>2026-08-16T12:00:00.000Z</x:v>
      </x:c>
      <x:c r="D682" s="11"/>
      <x:c r="E682" s="11"/>
      <x:c r="F682" s="11"/>
      <x:c r="G682" s="12"/>
      <x:c r="H682" s="9"/>
      <x:c r="I682" s="9"/>
      <x:c r="J682" s="13"/>
      <x:c r="K682" s="9" t="str">
        <x:v>Sem exportação</x:v>
      </x:c>
      <x:c r="L682" s="9"/>
    </x:row>
    <x:row r="683" ht="24" customHeight="1">
      <x:c r="A683" s="9" t="str">
        <x:v>C07</x:v>
      </x:c>
      <x:c r="B683" s="9" t="str">
        <x:v>[TRON] - YouTube 03 -  VT 5 Seg - {Reg SC} - 07/10</x:v>
      </x:c>
      <x:c r="C683" s="10" t="d">
        <x:v>2026-08-17T12:00:00.000Z</x:v>
      </x:c>
      <x:c r="D683" s="11"/>
      <x:c r="E683" s="11"/>
      <x:c r="F683" s="11"/>
      <x:c r="G683" s="12"/>
      <x:c r="H683" s="9"/>
      <x:c r="I683" s="9"/>
      <x:c r="J683" s="13"/>
      <x:c r="K683" s="9" t="str">
        <x:v>Sem exportação</x:v>
      </x:c>
      <x:c r="L683" s="9"/>
    </x:row>
    <x:row r="684" ht="24" customHeight="1">
      <x:c r="A684" s="9" t="str">
        <x:v>C07</x:v>
      </x:c>
      <x:c r="B684" s="9" t="str">
        <x:v>[TRON] - YouTube 03 -  VT 5 Seg - {Reg SC} - 07/10</x:v>
      </x:c>
      <x:c r="C684" s="10" t="d">
        <x:v>2026-08-18T12:00:00.000Z</x:v>
      </x:c>
      <x:c r="D684" s="11"/>
      <x:c r="E684" s="11"/>
      <x:c r="F684" s="11"/>
      <x:c r="G684" s="12"/>
      <x:c r="H684" s="9"/>
      <x:c r="I684" s="9"/>
      <x:c r="J684" s="13"/>
      <x:c r="K684" s="9" t="str">
        <x:v>Sem exportação</x:v>
      </x:c>
      <x:c r="L684" s="9"/>
    </x:row>
    <x:row r="685" ht="24" customHeight="1">
      <x:c r="A685" s="9" t="str">
        <x:v>C07</x:v>
      </x:c>
      <x:c r="B685" s="9" t="str">
        <x:v>[TRON] - YouTube 03 -  VT 5 Seg - {Reg SC} - 07/10</x:v>
      </x:c>
      <x:c r="C685" s="10" t="d">
        <x:v>2026-08-19T12:00:00.000Z</x:v>
      </x:c>
      <x:c r="D685" s="11"/>
      <x:c r="E685" s="11"/>
      <x:c r="F685" s="11"/>
      <x:c r="G685" s="12"/>
      <x:c r="H685" s="9"/>
      <x:c r="I685" s="9"/>
      <x:c r="J685" s="13"/>
      <x:c r="K685" s="9" t="str">
        <x:v>Sem exportação</x:v>
      </x:c>
      <x:c r="L685" s="9"/>
    </x:row>
    <x:row r="686" ht="24" customHeight="1">
      <x:c r="A686" s="9" t="str">
        <x:v>C07</x:v>
      </x:c>
      <x:c r="B686" s="9" t="str">
        <x:v>[TRON] - YouTube 03 -  VT 5 Seg - {Reg SC} - 07/10</x:v>
      </x:c>
      <x:c r="C686" s="10" t="d">
        <x:v>2026-08-20T12:00:00.000Z</x:v>
      </x:c>
      <x:c r="D686" s="11"/>
      <x:c r="E686" s="11"/>
      <x:c r="F686" s="11"/>
      <x:c r="G686" s="12"/>
      <x:c r="H686" s="9"/>
      <x:c r="I686" s="9"/>
      <x:c r="J686" s="13"/>
      <x:c r="K686" s="9" t="str">
        <x:v>Sem exportação</x:v>
      </x:c>
      <x:c r="L686" s="9"/>
    </x:row>
    <x:row r="687" ht="24" customHeight="1">
      <x:c r="A687" s="9" t="str">
        <x:v>C07</x:v>
      </x:c>
      <x:c r="B687" s="9" t="str">
        <x:v>[TRON] - YouTube 03 -  VT 5 Seg - {Reg SC} - 07/10</x:v>
      </x:c>
      <x:c r="C687" s="10" t="d">
        <x:v>2026-08-21T12:00:00.000Z</x:v>
      </x:c>
      <x:c r="D687" s="11"/>
      <x:c r="E687" s="11"/>
      <x:c r="F687" s="11"/>
      <x:c r="G687" s="12"/>
      <x:c r="H687" s="9"/>
      <x:c r="I687" s="9"/>
      <x:c r="J687" s="13"/>
      <x:c r="K687" s="9" t="str">
        <x:v>Sem exportação</x:v>
      </x:c>
      <x:c r="L687" s="9"/>
    </x:row>
    <x:row r="688" ht="24" customHeight="1">
      <x:c r="A688" s="9" t="str">
        <x:v>C07</x:v>
      </x:c>
      <x:c r="B688" s="9" t="str">
        <x:v>[TRON] - YouTube 03 -  VT 5 Seg - {Reg SC} - 07/10</x:v>
      </x:c>
      <x:c r="C688" s="10" t="d">
        <x:v>2026-08-22T12:00:00.000Z</x:v>
      </x:c>
      <x:c r="D688" s="11"/>
      <x:c r="E688" s="11"/>
      <x:c r="F688" s="11"/>
      <x:c r="G688" s="12"/>
      <x:c r="H688" s="9"/>
      <x:c r="I688" s="9"/>
      <x:c r="J688" s="13"/>
      <x:c r="K688" s="9" t="str">
        <x:v>Sem exportação</x:v>
      </x:c>
      <x:c r="L688" s="9"/>
    </x:row>
    <x:row r="689" ht="24" customHeight="1">
      <x:c r="A689" s="9" t="str">
        <x:v>C07</x:v>
      </x:c>
      <x:c r="B689" s="9" t="str">
        <x:v>[TRON] - YouTube 03 -  VT 5 Seg - {Reg SC} - 07/10</x:v>
      </x:c>
      <x:c r="C689" s="10" t="d">
        <x:v>2026-08-23T12:00:00.000Z</x:v>
      </x:c>
      <x:c r="D689" s="11"/>
      <x:c r="E689" s="11"/>
      <x:c r="F689" s="11"/>
      <x:c r="G689" s="12"/>
      <x:c r="H689" s="9"/>
      <x:c r="I689" s="9"/>
      <x:c r="J689" s="13"/>
      <x:c r="K689" s="9" t="str">
        <x:v>Sem exportação</x:v>
      </x:c>
      <x:c r="L689" s="9"/>
    </x:row>
    <x:row r="690" ht="24" customHeight="1">
      <x:c r="A690" s="9" t="str">
        <x:v>C07</x:v>
      </x:c>
      <x:c r="B690" s="9" t="str">
        <x:v>[TRON] - YouTube 03 -  VT 5 Seg - {Reg SC} - 07/10</x:v>
      </x:c>
      <x:c r="C690" s="10" t="d">
        <x:v>2026-08-24T12:00:00.000Z</x:v>
      </x:c>
      <x:c r="D690" s="11"/>
      <x:c r="E690" s="11"/>
      <x:c r="F690" s="11"/>
      <x:c r="G690" s="12"/>
      <x:c r="H690" s="9"/>
      <x:c r="I690" s="9"/>
      <x:c r="J690" s="13"/>
      <x:c r="K690" s="9" t="str">
        <x:v>Sem exportação</x:v>
      </x:c>
      <x:c r="L690" s="9"/>
    </x:row>
    <x:row r="691" ht="24" customHeight="1">
      <x:c r="A691" s="9" t="str">
        <x:v>C07</x:v>
      </x:c>
      <x:c r="B691" s="9" t="str">
        <x:v>[TRON] - YouTube 03 -  VT 5 Seg - {Reg SC} - 07/10</x:v>
      </x:c>
      <x:c r="C691" s="10" t="d">
        <x:v>2026-08-25T12:00:00.000Z</x:v>
      </x:c>
      <x:c r="D691" s="11"/>
      <x:c r="E691" s="11"/>
      <x:c r="F691" s="11"/>
      <x:c r="G691" s="12"/>
      <x:c r="H691" s="9"/>
      <x:c r="I691" s="9"/>
      <x:c r="J691" s="13"/>
      <x:c r="K691" s="9" t="str">
        <x:v>Sem exportação</x:v>
      </x:c>
      <x:c r="L691" s="9"/>
    </x:row>
    <x:row r="692" ht="24" customHeight="1">
      <x:c r="A692" s="9" t="str">
        <x:v>C07</x:v>
      </x:c>
      <x:c r="B692" s="9" t="str">
        <x:v>[TRON] - YouTube 03 -  VT 5 Seg - {Reg SC} - 07/10</x:v>
      </x:c>
      <x:c r="C692" s="10" t="d">
        <x:v>2026-08-26T12:00:00.000Z</x:v>
      </x:c>
      <x:c r="D692" s="11"/>
      <x:c r="E692" s="11"/>
      <x:c r="F692" s="11"/>
      <x:c r="G692" s="12"/>
      <x:c r="H692" s="9"/>
      <x:c r="I692" s="9"/>
      <x:c r="J692" s="13"/>
      <x:c r="K692" s="9" t="str">
        <x:v>Sem exportação</x:v>
      </x:c>
      <x:c r="L692" s="9"/>
    </x:row>
    <x:row r="693" ht="24" customHeight="1">
      <x:c r="A693" s="9" t="str">
        <x:v>C07</x:v>
      </x:c>
      <x:c r="B693" s="9" t="str">
        <x:v>[TRON] - YouTube 03 -  VT 5 Seg - {Reg SC} - 07/10</x:v>
      </x:c>
      <x:c r="C693" s="10" t="d">
        <x:v>2026-08-27T12:00:00.000Z</x:v>
      </x:c>
      <x:c r="D693" s="11"/>
      <x:c r="E693" s="11"/>
      <x:c r="F693" s="11"/>
      <x:c r="G693" s="12"/>
      <x:c r="H693" s="9"/>
      <x:c r="I693" s="9"/>
      <x:c r="J693" s="13"/>
      <x:c r="K693" s="9" t="str">
        <x:v>Sem exportação</x:v>
      </x:c>
      <x:c r="L693" s="9"/>
    </x:row>
    <x:row r="694" ht="24" customHeight="1">
      <x:c r="A694" s="9" t="str">
        <x:v>C07</x:v>
      </x:c>
      <x:c r="B694" s="9" t="str">
        <x:v>[TRON] - YouTube 03 -  VT 5 Seg - {Reg SC} - 07/10</x:v>
      </x:c>
      <x:c r="C694" s="10" t="d">
        <x:v>2026-08-28T12:00:00.000Z</x:v>
      </x:c>
      <x:c r="D694" s="11"/>
      <x:c r="E694" s="11"/>
      <x:c r="F694" s="11"/>
      <x:c r="G694" s="12"/>
      <x:c r="H694" s="9"/>
      <x:c r="I694" s="9"/>
      <x:c r="J694" s="13"/>
      <x:c r="K694" s="9" t="str">
        <x:v>Sem exportação</x:v>
      </x:c>
      <x:c r="L694" s="9"/>
    </x:row>
    <x:row r="695" ht="24" customHeight="1">
      <x:c r="A695" s="9" t="str">
        <x:v>C07</x:v>
      </x:c>
      <x:c r="B695" s="9" t="str">
        <x:v>[TRON] - YouTube 03 -  VT 5 Seg - {Reg SC} - 07/10</x:v>
      </x:c>
      <x:c r="C695" s="10" t="d">
        <x:v>2026-08-29T12:00:00.000Z</x:v>
      </x:c>
      <x:c r="D695" s="11"/>
      <x:c r="E695" s="11"/>
      <x:c r="F695" s="11"/>
      <x:c r="G695" s="12"/>
      <x:c r="H695" s="9"/>
      <x:c r="I695" s="9"/>
      <x:c r="J695" s="13"/>
      <x:c r="K695" s="9" t="str">
        <x:v>Sem exportação</x:v>
      </x:c>
      <x:c r="L695" s="9"/>
    </x:row>
    <x:row r="696" ht="24" customHeight="1">
      <x:c r="A696" s="9" t="str">
        <x:v>C07</x:v>
      </x:c>
      <x:c r="B696" s="9" t="str">
        <x:v>[TRON] - YouTube 03 -  VT 5 Seg - {Reg SC} - 07/10</x:v>
      </x:c>
      <x:c r="C696" s="10" t="d">
        <x:v>2026-08-30T12:00:00.000Z</x:v>
      </x:c>
      <x:c r="D696" s="11"/>
      <x:c r="E696" s="11"/>
      <x:c r="F696" s="11"/>
      <x:c r="G696" s="12"/>
      <x:c r="H696" s="9"/>
      <x:c r="I696" s="9"/>
      <x:c r="J696" s="13"/>
      <x:c r="K696" s="9" t="str">
        <x:v>Sem exportação</x:v>
      </x:c>
      <x:c r="L696" s="9"/>
    </x:row>
    <x:row r="697" ht="24" customHeight="1">
      <x:c r="A697" s="9" t="str">
        <x:v>C07</x:v>
      </x:c>
      <x:c r="B697" s="9" t="str">
        <x:v>[TRON] - YouTube 03 -  VT 5 Seg - {Reg SC} - 07/10</x:v>
      </x:c>
      <x:c r="C697" s="10" t="d">
        <x:v>2026-08-31T12:00:00.000Z</x:v>
      </x:c>
      <x:c r="D697" s="11"/>
      <x:c r="E697" s="11"/>
      <x:c r="F697" s="11"/>
      <x:c r="G697" s="12"/>
      <x:c r="H697" s="9"/>
      <x:c r="I697" s="9"/>
      <x:c r="J697" s="13"/>
      <x:c r="K697" s="9" t="str">
        <x:v>Sem exportação</x:v>
      </x:c>
      <x:c r="L697" s="9"/>
    </x:row>
    <x:row r="698" ht="24" customHeight="1">
      <x:c r="A698" s="9" t="str">
        <x:v>C07</x:v>
      </x:c>
      <x:c r="B698" s="9" t="str">
        <x:v>[TRON] - YouTube 03 -  VT 5 Seg - {Reg SC} - 07/10</x:v>
      </x:c>
      <x:c r="C698" s="10" t="d">
        <x:v>2026-09-01T12:00:00.000Z</x:v>
      </x:c>
      <x:c r="D698" s="11" t="n">
        <x:v>0</x:v>
      </x:c>
      <x:c r="E698" s="11" t="n">
        <x:v>0</x:v>
      </x:c>
      <x:c r="F698" s="11" t="n">
        <x:v>0</x:v>
      </x:c>
      <x:c r="G698" s="12" t="n">
        <x:v>0</x:v>
      </x:c>
      <x:c r="H698" s="9" t="n">
        <x:v>0</x:v>
      </x:c>
      <x:c r="I698" s="9"/>
      <x:c r="J698" s="13"/>
      <x:c r="K698" s="9" t="str">
        <x:v>Exportado</x:v>
      </x:c>
      <x:c r="L698" s="9" t="str">
        <x:v>F077, F078, F079</x:v>
      </x:c>
    </x:row>
    <x:row r="699" ht="24" customHeight="1">
      <x:c r="A699" s="9" t="str">
        <x:v>C07</x:v>
      </x:c>
      <x:c r="B699" s="9" t="str">
        <x:v>[TRON] - YouTube 03 -  VT 5 Seg - {Reg SC} - 07/10</x:v>
      </x:c>
      <x:c r="C699" s="10" t="d">
        <x:v>2026-09-02T12:00:00.000Z</x:v>
      </x:c>
      <x:c r="D699" s="11" t="n">
        <x:v>0</x:v>
      </x:c>
      <x:c r="E699" s="11" t="n">
        <x:v>0</x:v>
      </x:c>
      <x:c r="F699" s="11" t="n">
        <x:v>0</x:v>
      </x:c>
      <x:c r="G699" s="12" t="n">
        <x:v>0</x:v>
      </x:c>
      <x:c r="H699" s="9" t="n">
        <x:v>0</x:v>
      </x:c>
      <x:c r="I699" s="9"/>
      <x:c r="J699" s="13"/>
      <x:c r="K699" s="9" t="str">
        <x:v>Exportado</x:v>
      </x:c>
      <x:c r="L699" s="9" t="str">
        <x:v>F077, F078, F079</x:v>
      </x:c>
    </x:row>
    <x:row r="700" ht="24" customHeight="1">
      <x:c r="A700" s="9" t="str">
        <x:v>C07</x:v>
      </x:c>
      <x:c r="B700" s="9" t="str">
        <x:v>[TRON] - YouTube 03 -  VT 5 Seg - {Reg SC} - 07/10</x:v>
      </x:c>
      <x:c r="C700" s="10" t="d">
        <x:v>2026-09-03T12:00:00.000Z</x:v>
      </x:c>
      <x:c r="D700" s="11" t="n">
        <x:v>0</x:v>
      </x:c>
      <x:c r="E700" s="11" t="n">
        <x:v>0</x:v>
      </x:c>
      <x:c r="F700" s="11" t="n">
        <x:v>0</x:v>
      </x:c>
      <x:c r="G700" s="12" t="n">
        <x:v>0</x:v>
      </x:c>
      <x:c r="H700" s="9" t="n">
        <x:v>0</x:v>
      </x:c>
      <x:c r="I700" s="9"/>
      <x:c r="J700" s="13"/>
      <x:c r="K700" s="9" t="str">
        <x:v>Exportado</x:v>
      </x:c>
      <x:c r="L700" s="9" t="str">
        <x:v>F077, F078, F079</x:v>
      </x:c>
    </x:row>
    <x:row r="701" ht="24" customHeight="1">
      <x:c r="A701" s="9" t="str">
        <x:v>C07</x:v>
      </x:c>
      <x:c r="B701" s="9" t="str">
        <x:v>[TRON] - YouTube 03 -  VT 5 Seg - {Reg SC} - 07/10</x:v>
      </x:c>
      <x:c r="C701" s="10" t="d">
        <x:v>2026-09-04T12:00:00.000Z</x:v>
      </x:c>
      <x:c r="D701" s="11" t="n">
        <x:v>0</x:v>
      </x:c>
      <x:c r="E701" s="11" t="n">
        <x:v>0</x:v>
      </x:c>
      <x:c r="F701" s="11" t="n">
        <x:v>0</x:v>
      </x:c>
      <x:c r="G701" s="12" t="n">
        <x:v>0</x:v>
      </x:c>
      <x:c r="H701" s="9" t="n">
        <x:v>0</x:v>
      </x:c>
      <x:c r="I701" s="9"/>
      <x:c r="J701" s="13"/>
      <x:c r="K701" s="9" t="str">
        <x:v>Exportado</x:v>
      </x:c>
      <x:c r="L701" s="9" t="str">
        <x:v>F077, F078, F079</x:v>
      </x:c>
    </x:row>
    <x:row r="702" ht="24" customHeight="1">
      <x:c r="A702" s="9" t="str">
        <x:v>C07</x:v>
      </x:c>
      <x:c r="B702" s="9" t="str">
        <x:v>[TRON] - YouTube 03 -  VT 5 Seg - {Reg SC} - 07/10</x:v>
      </x:c>
      <x:c r="C702" s="10" t="d">
        <x:v>2026-09-05T12:00:00.000Z</x:v>
      </x:c>
      <x:c r="D702" s="11" t="n">
        <x:v>0</x:v>
      </x:c>
      <x:c r="E702" s="11" t="n">
        <x:v>0</x:v>
      </x:c>
      <x:c r="F702" s="11" t="n">
        <x:v>0</x:v>
      </x:c>
      <x:c r="G702" s="12" t="n">
        <x:v>0</x:v>
      </x:c>
      <x:c r="H702" s="9" t="n">
        <x:v>0</x:v>
      </x:c>
      <x:c r="I702" s="9"/>
      <x:c r="J702" s="13"/>
      <x:c r="K702" s="9" t="str">
        <x:v>Exportado</x:v>
      </x:c>
      <x:c r="L702" s="9" t="str">
        <x:v>F077, F078, F079</x:v>
      </x:c>
    </x:row>
    <x:row r="703" ht="24" customHeight="1">
      <x:c r="A703" s="9" t="str">
        <x:v>C07</x:v>
      </x:c>
      <x:c r="B703" s="9" t="str">
        <x:v>[TRON] - YouTube 03 -  VT 5 Seg - {Reg SC} - 07/10</x:v>
      </x:c>
      <x:c r="C703" s="10" t="d">
        <x:v>2026-09-06T12:00:00.000Z</x:v>
      </x:c>
      <x:c r="D703" s="11" t="n">
        <x:v>0</x:v>
      </x:c>
      <x:c r="E703" s="11" t="n">
        <x:v>0</x:v>
      </x:c>
      <x:c r="F703" s="11" t="n">
        <x:v>0</x:v>
      </x:c>
      <x:c r="G703" s="12" t="n">
        <x:v>0</x:v>
      </x:c>
      <x:c r="H703" s="9" t="n">
        <x:v>0</x:v>
      </x:c>
      <x:c r="I703" s="9"/>
      <x:c r="J703" s="13"/>
      <x:c r="K703" s="9" t="str">
        <x:v>Exportado</x:v>
      </x:c>
      <x:c r="L703" s="9" t="str">
        <x:v>F077, F078, F079</x:v>
      </x:c>
    </x:row>
    <x:row r="704" ht="24" customHeight="1">
      <x:c r="A704" s="9" t="str">
        <x:v>C07</x:v>
      </x:c>
      <x:c r="B704" s="9" t="str">
        <x:v>[TRON] - YouTube 03 -  VT 5 Seg - {Reg SC} - 07/10</x:v>
      </x:c>
      <x:c r="C704" s="10" t="d">
        <x:v>2026-09-07T12:00:00.000Z</x:v>
      </x:c>
      <x:c r="D704" s="11" t="n">
        <x:v>0</x:v>
      </x:c>
      <x:c r="E704" s="11" t="n">
        <x:v>0</x:v>
      </x:c>
      <x:c r="F704" s="11" t="n">
        <x:v>0</x:v>
      </x:c>
      <x:c r="G704" s="12" t="n">
        <x:v>0</x:v>
      </x:c>
      <x:c r="H704" s="9" t="n">
        <x:v>0</x:v>
      </x:c>
      <x:c r="I704" s="9"/>
      <x:c r="J704" s="13"/>
      <x:c r="K704" s="9" t="str">
        <x:v>Exportado</x:v>
      </x:c>
      <x:c r="L704" s="9" t="str">
        <x:v>F077, F078, F079</x:v>
      </x:c>
    </x:row>
    <x:row r="705" ht="24" customHeight="1">
      <x:c r="A705" s="9" t="str">
        <x:v>C07</x:v>
      </x:c>
      <x:c r="B705" s="9" t="str">
        <x:v>[TRON] - YouTube 03 -  VT 5 Seg - {Reg SC} - 07/10</x:v>
      </x:c>
      <x:c r="C705" s="10" t="d">
        <x:v>2026-09-08T12:00:00.000Z</x:v>
      </x:c>
      <x:c r="D705" s="11" t="n">
        <x:v>0</x:v>
      </x:c>
      <x:c r="E705" s="11" t="n">
        <x:v>0</x:v>
      </x:c>
      <x:c r="F705" s="11" t="n">
        <x:v>0</x:v>
      </x:c>
      <x:c r="G705" s="12" t="n">
        <x:v>0</x:v>
      </x:c>
      <x:c r="H705" s="9" t="n">
        <x:v>0</x:v>
      </x:c>
      <x:c r="I705" s="9"/>
      <x:c r="J705" s="13"/>
      <x:c r="K705" s="9" t="str">
        <x:v>Exportado</x:v>
      </x:c>
      <x:c r="L705" s="9" t="str">
        <x:v>F077, F078, F079</x:v>
      </x:c>
    </x:row>
    <x:row r="706" ht="24" customHeight="1">
      <x:c r="A706" s="9" t="str">
        <x:v>C07</x:v>
      </x:c>
      <x:c r="B706" s="9" t="str">
        <x:v>[TRON] - YouTube 03 -  VT 5 Seg - {Reg SC} - 07/10</x:v>
      </x:c>
      <x:c r="C706" s="10" t="d">
        <x:v>2026-09-09T12:00:00.000Z</x:v>
      </x:c>
      <x:c r="D706" s="11" t="n">
        <x:v>0</x:v>
      </x:c>
      <x:c r="E706" s="11" t="n">
        <x:v>0</x:v>
      </x:c>
      <x:c r="F706" s="11" t="n">
        <x:v>0</x:v>
      </x:c>
      <x:c r="G706" s="12" t="n">
        <x:v>0</x:v>
      </x:c>
      <x:c r="H706" s="9" t="n">
        <x:v>0</x:v>
      </x:c>
      <x:c r="I706" s="9"/>
      <x:c r="J706" s="13"/>
      <x:c r="K706" s="9" t="str">
        <x:v>Exportado</x:v>
      </x:c>
      <x:c r="L706" s="9" t="str">
        <x:v>F077, F078, F079</x:v>
      </x:c>
    </x:row>
    <x:row r="707" ht="24" customHeight="1">
      <x:c r="A707" s="9" t="str">
        <x:v>C07</x:v>
      </x:c>
      <x:c r="B707" s="9" t="str">
        <x:v>[TRON] - YouTube 03 -  VT 5 Seg - {Reg SC} - 07/10</x:v>
      </x:c>
      <x:c r="C707" s="10" t="d">
        <x:v>2026-09-10T12:00:00.000Z</x:v>
      </x:c>
      <x:c r="D707" s="11" t="n">
        <x:v>0</x:v>
      </x:c>
      <x:c r="E707" s="11" t="n">
        <x:v>0</x:v>
      </x:c>
      <x:c r="F707" s="11" t="n">
        <x:v>0</x:v>
      </x:c>
      <x:c r="G707" s="12" t="n">
        <x:v>0</x:v>
      </x:c>
      <x:c r="H707" s="9" t="n">
        <x:v>0</x:v>
      </x:c>
      <x:c r="I707" s="9"/>
      <x:c r="J707" s="13"/>
      <x:c r="K707" s="9" t="str">
        <x:v>Exportado</x:v>
      </x:c>
      <x:c r="L707" s="9" t="str">
        <x:v>F077, F078, F079</x:v>
      </x:c>
    </x:row>
    <x:row r="708" ht="24" customHeight="1">
      <x:c r="A708" s="9" t="str">
        <x:v>C07</x:v>
      </x:c>
      <x:c r="B708" s="9" t="str">
        <x:v>[TRON] - YouTube 03 -  VT 5 Seg - {Reg SC} - 07/10</x:v>
      </x:c>
      <x:c r="C708" s="10" t="d">
        <x:v>2026-09-11T12:00:00.000Z</x:v>
      </x:c>
      <x:c r="D708" s="11" t="n">
        <x:v>0</x:v>
      </x:c>
      <x:c r="E708" s="11" t="n">
        <x:v>0</x:v>
      </x:c>
      <x:c r="F708" s="11" t="n">
        <x:v>0</x:v>
      </x:c>
      <x:c r="G708" s="12" t="n">
        <x:v>0</x:v>
      </x:c>
      <x:c r="H708" s="9" t="n">
        <x:v>0</x:v>
      </x:c>
      <x:c r="I708" s="9"/>
      <x:c r="J708" s="13"/>
      <x:c r="K708" s="9" t="str">
        <x:v>Exportado</x:v>
      </x:c>
      <x:c r="L708" s="9" t="str">
        <x:v>F077, F078, F079</x:v>
      </x:c>
    </x:row>
    <x:row r="709" ht="24" customHeight="1">
      <x:c r="A709" s="9" t="str">
        <x:v>C07</x:v>
      </x:c>
      <x:c r="B709" s="9" t="str">
        <x:v>[TRON] - YouTube 03 -  VT 5 Seg - {Reg SC} - 07/10</x:v>
      </x:c>
      <x:c r="C709" s="10" t="d">
        <x:v>2026-09-12T12:00:00.000Z</x:v>
      </x:c>
      <x:c r="D709" s="11" t="n">
        <x:v>0</x:v>
      </x:c>
      <x:c r="E709" s="11" t="n">
        <x:v>0</x:v>
      </x:c>
      <x:c r="F709" s="11" t="n">
        <x:v>0</x:v>
      </x:c>
      <x:c r="G709" s="12" t="n">
        <x:v>0</x:v>
      </x:c>
      <x:c r="H709" s="9" t="n">
        <x:v>0</x:v>
      </x:c>
      <x:c r="I709" s="9"/>
      <x:c r="J709" s="13"/>
      <x:c r="K709" s="9" t="str">
        <x:v>Exportado</x:v>
      </x:c>
      <x:c r="L709" s="9" t="str">
        <x:v>F077, F078, F079</x:v>
      </x:c>
    </x:row>
    <x:row r="710" ht="24" customHeight="1">
      <x:c r="A710" s="9" t="str">
        <x:v>C07</x:v>
      </x:c>
      <x:c r="B710" s="9" t="str">
        <x:v>[TRON] - YouTube 03 -  VT 5 Seg - {Reg SC} - 07/10</x:v>
      </x:c>
      <x:c r="C710" s="10" t="d">
        <x:v>2026-09-13T12:00:00.000Z</x:v>
      </x:c>
      <x:c r="D710" s="11" t="n">
        <x:v>0</x:v>
      </x:c>
      <x:c r="E710" s="11" t="n">
        <x:v>0</x:v>
      </x:c>
      <x:c r="F710" s="11" t="n">
        <x:v>0</x:v>
      </x:c>
      <x:c r="G710" s="12" t="n">
        <x:v>0</x:v>
      </x:c>
      <x:c r="H710" s="9" t="n">
        <x:v>0</x:v>
      </x:c>
      <x:c r="I710" s="9"/>
      <x:c r="J710" s="13"/>
      <x:c r="K710" s="9" t="str">
        <x:v>Exportado</x:v>
      </x:c>
      <x:c r="L710" s="9" t="str">
        <x:v>F077, F078, F079</x:v>
      </x:c>
    </x:row>
    <x:row r="711" ht="24" customHeight="1">
      <x:c r="A711" s="9" t="str">
        <x:v>C07</x:v>
      </x:c>
      <x:c r="B711" s="9" t="str">
        <x:v>[TRON] - YouTube 03 -  VT 5 Seg - {Reg SC} - 07/10</x:v>
      </x:c>
      <x:c r="C711" s="10" t="d">
        <x:v>2026-09-14T12:00:00.000Z</x:v>
      </x:c>
      <x:c r="D711" s="11" t="n">
        <x:v>0</x:v>
      </x:c>
      <x:c r="E711" s="11" t="n">
        <x:v>0</x:v>
      </x:c>
      <x:c r="F711" s="11" t="n">
        <x:v>0</x:v>
      </x:c>
      <x:c r="G711" s="12" t="n">
        <x:v>0</x:v>
      </x:c>
      <x:c r="H711" s="9" t="n">
        <x:v>0</x:v>
      </x:c>
      <x:c r="I711" s="9"/>
      <x:c r="J711" s="13"/>
      <x:c r="K711" s="9" t="str">
        <x:v>Exportado</x:v>
      </x:c>
      <x:c r="L711" s="9" t="str">
        <x:v>F077, F078, F079</x:v>
      </x:c>
    </x:row>
    <x:row r="712" ht="24" customHeight="1">
      <x:c r="A712" s="9" t="str">
        <x:v>C07</x:v>
      </x:c>
      <x:c r="B712" s="9" t="str">
        <x:v>[TRON] - YouTube 03 -  VT 5 Seg - {Reg SC} - 07/10</x:v>
      </x:c>
      <x:c r="C712" s="10" t="d">
        <x:v>2026-09-15T12:00:00.000Z</x:v>
      </x:c>
      <x:c r="D712" s="11" t="n">
        <x:v>0</x:v>
      </x:c>
      <x:c r="E712" s="11" t="n">
        <x:v>0</x:v>
      </x:c>
      <x:c r="F712" s="11" t="n">
        <x:v>0</x:v>
      </x:c>
      <x:c r="G712" s="12" t="n">
        <x:v>0</x:v>
      </x:c>
      <x:c r="H712" s="9" t="n">
        <x:v>0</x:v>
      </x:c>
      <x:c r="I712" s="9"/>
      <x:c r="J712" s="13"/>
      <x:c r="K712" s="9" t="str">
        <x:v>Exportado</x:v>
      </x:c>
      <x:c r="L712" s="9" t="str">
        <x:v>F077, F078, F079</x:v>
      </x:c>
    </x:row>
    <x:row r="713" ht="24" customHeight="1">
      <x:c r="A713" s="9" t="str">
        <x:v>C07</x:v>
      </x:c>
      <x:c r="B713" s="9" t="str">
        <x:v>[TRON] - YouTube 03 -  VT 5 Seg - {Reg SC} - 07/10</x:v>
      </x:c>
      <x:c r="C713" s="10" t="d">
        <x:v>2026-09-16T12:00:00.000Z</x:v>
      </x:c>
      <x:c r="D713" s="11" t="n">
        <x:v>0</x:v>
      </x:c>
      <x:c r="E713" s="11" t="n">
        <x:v>0</x:v>
      </x:c>
      <x:c r="F713" s="11" t="n">
        <x:v>0</x:v>
      </x:c>
      <x:c r="G713" s="12" t="n">
        <x:v>0</x:v>
      </x:c>
      <x:c r="H713" s="9" t="n">
        <x:v>0</x:v>
      </x:c>
      <x:c r="I713" s="9"/>
      <x:c r="J713" s="13"/>
      <x:c r="K713" s="9" t="str">
        <x:v>Exportado</x:v>
      </x:c>
      <x:c r="L713" s="9" t="str">
        <x:v>F077, F078, F079</x:v>
      </x:c>
    </x:row>
    <x:row r="714" ht="24" customHeight="1">
      <x:c r="A714" s="9" t="str">
        <x:v>C07</x:v>
      </x:c>
      <x:c r="B714" s="9" t="str">
        <x:v>[TRON] - YouTube 03 -  VT 5 Seg - {Reg SC} - 07/10</x:v>
      </x:c>
      <x:c r="C714" s="10" t="d">
        <x:v>2026-09-17T12:00:00.000Z</x:v>
      </x:c>
      <x:c r="D714" s="11" t="n">
        <x:v>0</x:v>
      </x:c>
      <x:c r="E714" s="11" t="n">
        <x:v>0</x:v>
      </x:c>
      <x:c r="F714" s="11" t="n">
        <x:v>0</x:v>
      </x:c>
      <x:c r="G714" s="12" t="n">
        <x:v>0</x:v>
      </x:c>
      <x:c r="H714" s="9" t="n">
        <x:v>0</x:v>
      </x:c>
      <x:c r="I714" s="9"/>
      <x:c r="J714" s="13"/>
      <x:c r="K714" s="9" t="str">
        <x:v>Exportado</x:v>
      </x:c>
      <x:c r="L714" s="9" t="str">
        <x:v>F077, F078, F079</x:v>
      </x:c>
    </x:row>
    <x:row r="715" ht="24" customHeight="1">
      <x:c r="A715" s="9" t="str">
        <x:v>C07</x:v>
      </x:c>
      <x:c r="B715" s="9" t="str">
        <x:v>[TRON] - YouTube 03 -  VT 5 Seg - {Reg SC} - 07/10</x:v>
      </x:c>
      <x:c r="C715" s="10" t="d">
        <x:v>2026-09-18T12:00:00.000Z</x:v>
      </x:c>
      <x:c r="D715" s="11" t="n">
        <x:v>0</x:v>
      </x:c>
      <x:c r="E715" s="11" t="n">
        <x:v>0</x:v>
      </x:c>
      <x:c r="F715" s="11" t="n">
        <x:v>0</x:v>
      </x:c>
      <x:c r="G715" s="12" t="n">
        <x:v>0</x:v>
      </x:c>
      <x:c r="H715" s="9" t="n">
        <x:v>0</x:v>
      </x:c>
      <x:c r="I715" s="9"/>
      <x:c r="J715" s="13"/>
      <x:c r="K715" s="9" t="str">
        <x:v>Exportado</x:v>
      </x:c>
      <x:c r="L715" s="9" t="str">
        <x:v>F077, F078, F079</x:v>
      </x:c>
    </x:row>
    <x:row r="716" ht="24" customHeight="1">
      <x:c r="A716" s="9" t="str">
        <x:v>C07</x:v>
      </x:c>
      <x:c r="B716" s="9" t="str">
        <x:v>[TRON] - YouTube 03 -  VT 5 Seg - {Reg SC} - 07/10</x:v>
      </x:c>
      <x:c r="C716" s="10" t="d">
        <x:v>2026-09-19T12:00:00.000Z</x:v>
      </x:c>
      <x:c r="D716" s="11" t="n">
        <x:v>0</x:v>
      </x:c>
      <x:c r="E716" s="11" t="n">
        <x:v>0</x:v>
      </x:c>
      <x:c r="F716" s="11" t="n">
        <x:v>0</x:v>
      </x:c>
      <x:c r="G716" s="12" t="n">
        <x:v>0</x:v>
      </x:c>
      <x:c r="H716" s="9" t="n">
        <x:v>0</x:v>
      </x:c>
      <x:c r="I716" s="9"/>
      <x:c r="J716" s="13"/>
      <x:c r="K716" s="9" t="str">
        <x:v>Exportado</x:v>
      </x:c>
      <x:c r="L716" s="9" t="str">
        <x:v>F077, F078, F079</x:v>
      </x:c>
    </x:row>
    <x:row r="717" ht="24" customHeight="1">
      <x:c r="A717" s="9" t="str">
        <x:v>C07</x:v>
      </x:c>
      <x:c r="B717" s="9" t="str">
        <x:v>[TRON] - YouTube 03 -  VT 5 Seg - {Reg SC} - 07/10</x:v>
      </x:c>
      <x:c r="C717" s="10" t="d">
        <x:v>2026-09-20T12:00:00.000Z</x:v>
      </x:c>
      <x:c r="D717" s="11" t="n">
        <x:v>0</x:v>
      </x:c>
      <x:c r="E717" s="11" t="n">
        <x:v>0</x:v>
      </x:c>
      <x:c r="F717" s="11" t="n">
        <x:v>0</x:v>
      </x:c>
      <x:c r="G717" s="12" t="n">
        <x:v>0</x:v>
      </x:c>
      <x:c r="H717" s="9" t="n">
        <x:v>0</x:v>
      </x:c>
      <x:c r="I717" s="9"/>
      <x:c r="J717" s="13"/>
      <x:c r="K717" s="9" t="str">
        <x:v>Exportado</x:v>
      </x:c>
      <x:c r="L717" s="9" t="str">
        <x:v>F077, F078, F079</x:v>
      </x:c>
    </x:row>
    <x:row r="718" ht="24" customHeight="1">
      <x:c r="A718" s="9" t="str">
        <x:v>C07</x:v>
      </x:c>
      <x:c r="B718" s="9" t="str">
        <x:v>[TRON] - YouTube 03 -  VT 5 Seg - {Reg SC} - 07/10</x:v>
      </x:c>
      <x:c r="C718" s="10" t="d">
        <x:v>2026-09-21T12:00:00.000Z</x:v>
      </x:c>
      <x:c r="D718" s="11" t="n">
        <x:v>0</x:v>
      </x:c>
      <x:c r="E718" s="11" t="n">
        <x:v>0</x:v>
      </x:c>
      <x:c r="F718" s="11" t="n">
        <x:v>0</x:v>
      </x:c>
      <x:c r="G718" s="12" t="n">
        <x:v>0</x:v>
      </x:c>
      <x:c r="H718" s="9" t="n">
        <x:v>0</x:v>
      </x:c>
      <x:c r="I718" s="9"/>
      <x:c r="J718" s="13"/>
      <x:c r="K718" s="9" t="str">
        <x:v>Exportado</x:v>
      </x:c>
      <x:c r="L718" s="9" t="str">
        <x:v>F077, F078, F079</x:v>
      </x:c>
    </x:row>
    <x:row r="719" ht="24" customHeight="1">
      <x:c r="A719" s="9" t="str">
        <x:v>C07</x:v>
      </x:c>
      <x:c r="B719" s="9" t="str">
        <x:v>[TRON] - YouTube 03 -  VT 5 Seg - {Reg SC} - 07/10</x:v>
      </x:c>
      <x:c r="C719" s="10" t="d">
        <x:v>2026-09-22T12:00:00.000Z</x:v>
      </x:c>
      <x:c r="D719" s="11" t="n">
        <x:v>0</x:v>
      </x:c>
      <x:c r="E719" s="11" t="n">
        <x:v>0</x:v>
      </x:c>
      <x:c r="F719" s="11" t="n">
        <x:v>0</x:v>
      </x:c>
      <x:c r="G719" s="12" t="n">
        <x:v>0</x:v>
      </x:c>
      <x:c r="H719" s="9" t="n">
        <x:v>0</x:v>
      </x:c>
      <x:c r="I719" s="9"/>
      <x:c r="J719" s="13"/>
      <x:c r="K719" s="9" t="str">
        <x:v>Exportado</x:v>
      </x:c>
      <x:c r="L719" s="9" t="str">
        <x:v>F077, F078, F079</x:v>
      </x:c>
    </x:row>
    <x:row r="720" ht="24" customHeight="1">
      <x:c r="A720" s="9" t="str">
        <x:v>C07</x:v>
      </x:c>
      <x:c r="B720" s="9" t="str">
        <x:v>[TRON] - YouTube 03 -  VT 5 Seg - {Reg SC} - 07/10</x:v>
      </x:c>
      <x:c r="C720" s="10" t="d">
        <x:v>2026-09-23T12:00:00.000Z</x:v>
      </x:c>
      <x:c r="D720" s="11" t="n">
        <x:v>0</x:v>
      </x:c>
      <x:c r="E720" s="11" t="n">
        <x:v>0</x:v>
      </x:c>
      <x:c r="F720" s="11" t="n">
        <x:v>0</x:v>
      </x:c>
      <x:c r="G720" s="12" t="n">
        <x:v>0</x:v>
      </x:c>
      <x:c r="H720" s="9" t="n">
        <x:v>0</x:v>
      </x:c>
      <x:c r="I720" s="9"/>
      <x:c r="J720" s="13"/>
      <x:c r="K720" s="9" t="str">
        <x:v>Exportado</x:v>
      </x:c>
      <x:c r="L720" s="9" t="str">
        <x:v>F077, F078, F079</x:v>
      </x:c>
    </x:row>
    <x:row r="721" ht="24" customHeight="1">
      <x:c r="A721" s="9" t="str">
        <x:v>C07</x:v>
      </x:c>
      <x:c r="B721" s="9" t="str">
        <x:v>[TRON] - YouTube 03 -  VT 5 Seg - {Reg SC} - 07/10</x:v>
      </x:c>
      <x:c r="C721" s="10" t="d">
        <x:v>2026-09-24T12:00:00.000Z</x:v>
      </x:c>
      <x:c r="D721" s="11" t="n">
        <x:v>0</x:v>
      </x:c>
      <x:c r="E721" s="11" t="n">
        <x:v>0</x:v>
      </x:c>
      <x:c r="F721" s="11" t="n">
        <x:v>0</x:v>
      </x:c>
      <x:c r="G721" s="12" t="n">
        <x:v>0</x:v>
      </x:c>
      <x:c r="H721" s="9" t="n">
        <x:v>0</x:v>
      </x:c>
      <x:c r="I721" s="9"/>
      <x:c r="J721" s="13"/>
      <x:c r="K721" s="9" t="str">
        <x:v>Exportado</x:v>
      </x:c>
      <x:c r="L721" s="9" t="str">
        <x:v>F077, F078, F079</x:v>
      </x:c>
    </x:row>
    <x:row r="722" ht="24" customHeight="1">
      <x:c r="A722" s="9" t="str">
        <x:v>C07</x:v>
      </x:c>
      <x:c r="B722" s="9" t="str">
        <x:v>[TRON] - YouTube 03 -  VT 5 Seg - {Reg SC} - 07/10</x:v>
      </x:c>
      <x:c r="C722" s="10" t="d">
        <x:v>2026-09-25T12:00:00.000Z</x:v>
      </x:c>
      <x:c r="D722" s="11" t="n">
        <x:v>0</x:v>
      </x:c>
      <x:c r="E722" s="11" t="n">
        <x:v>0</x:v>
      </x:c>
      <x:c r="F722" s="11" t="n">
        <x:v>0</x:v>
      </x:c>
      <x:c r="G722" s="12" t="n">
        <x:v>0</x:v>
      </x:c>
      <x:c r="H722" s="9" t="n">
        <x:v>0</x:v>
      </x:c>
      <x:c r="I722" s="9"/>
      <x:c r="J722" s="13"/>
      <x:c r="K722" s="9" t="str">
        <x:v>Exportado</x:v>
      </x:c>
      <x:c r="L722" s="9" t="str">
        <x:v>F077, F078, F079</x:v>
      </x:c>
    </x:row>
    <x:row r="723" ht="24" customHeight="1">
      <x:c r="A723" s="9" t="str">
        <x:v>C07</x:v>
      </x:c>
      <x:c r="B723" s="9" t="str">
        <x:v>[TRON] - YouTube 03 -  VT 5 Seg - {Reg SC} - 07/10</x:v>
      </x:c>
      <x:c r="C723" s="10" t="d">
        <x:v>2026-09-26T12:00:00.000Z</x:v>
      </x:c>
      <x:c r="D723" s="11" t="n">
        <x:v>0</x:v>
      </x:c>
      <x:c r="E723" s="11" t="n">
        <x:v>0</x:v>
      </x:c>
      <x:c r="F723" s="11" t="n">
        <x:v>0</x:v>
      </x:c>
      <x:c r="G723" s="12" t="n">
        <x:v>0</x:v>
      </x:c>
      <x:c r="H723" s="9" t="n">
        <x:v>0</x:v>
      </x:c>
      <x:c r="I723" s="9"/>
      <x:c r="J723" s="13"/>
      <x:c r="K723" s="9" t="str">
        <x:v>Exportado</x:v>
      </x:c>
      <x:c r="L723" s="9" t="str">
        <x:v>F077, F078, F079</x:v>
      </x:c>
    </x:row>
    <x:row r="724" ht="24" customHeight="1">
      <x:c r="A724" s="9" t="str">
        <x:v>C07</x:v>
      </x:c>
      <x:c r="B724" s="9" t="str">
        <x:v>[TRON] - YouTube 03 -  VT 5 Seg - {Reg SC} - 07/10</x:v>
      </x:c>
      <x:c r="C724" s="10" t="d">
        <x:v>2026-09-27T12:00:00.000Z</x:v>
      </x:c>
      <x:c r="D724" s="11" t="n">
        <x:v>0</x:v>
      </x:c>
      <x:c r="E724" s="11" t="n">
        <x:v>0</x:v>
      </x:c>
      <x:c r="F724" s="11" t="n">
        <x:v>0</x:v>
      </x:c>
      <x:c r="G724" s="12" t="n">
        <x:v>0</x:v>
      </x:c>
      <x:c r="H724" s="9" t="n">
        <x:v>0</x:v>
      </x:c>
      <x:c r="I724" s="9"/>
      <x:c r="J724" s="13"/>
      <x:c r="K724" s="9" t="str">
        <x:v>Exportado</x:v>
      </x:c>
      <x:c r="L724" s="9" t="str">
        <x:v>F077, F078, F079</x:v>
      </x:c>
    </x:row>
    <x:row r="725" ht="24" customHeight="1">
      <x:c r="A725" s="9" t="str">
        <x:v>C07</x:v>
      </x:c>
      <x:c r="B725" s="9" t="str">
        <x:v>[TRON] - YouTube 03 -  VT 5 Seg - {Reg SC} - 07/10</x:v>
      </x:c>
      <x:c r="C725" s="10" t="d">
        <x:v>2026-09-28T12:00:00.000Z</x:v>
      </x:c>
      <x:c r="D725" s="11" t="n">
        <x:v>0</x:v>
      </x:c>
      <x:c r="E725" s="11" t="n">
        <x:v>0</x:v>
      </x:c>
      <x:c r="F725" s="11" t="n">
        <x:v>0</x:v>
      </x:c>
      <x:c r="G725" s="12" t="n">
        <x:v>0</x:v>
      </x:c>
      <x:c r="H725" s="9" t="n">
        <x:v>0</x:v>
      </x:c>
      <x:c r="I725" s="9"/>
      <x:c r="J725" s="13"/>
      <x:c r="K725" s="9" t="str">
        <x:v>Exportado</x:v>
      </x:c>
      <x:c r="L725" s="9" t="str">
        <x:v>F077, F078, F079</x:v>
      </x:c>
    </x:row>
    <x:row r="726" ht="24" customHeight="1">
      <x:c r="A726" s="9" t="str">
        <x:v>C07</x:v>
      </x:c>
      <x:c r="B726" s="9" t="str">
        <x:v>[TRON] - YouTube 03 -  VT 5 Seg - {Reg SC} - 07/10</x:v>
      </x:c>
      <x:c r="C726" s="10" t="d">
        <x:v>2026-09-29T12:00:00.000Z</x:v>
      </x:c>
      <x:c r="D726" s="11" t="n">
        <x:v>0</x:v>
      </x:c>
      <x:c r="E726" s="11" t="n">
        <x:v>0</x:v>
      </x:c>
      <x:c r="F726" s="11" t="n">
        <x:v>0</x:v>
      </x:c>
      <x:c r="G726" s="12" t="n">
        <x:v>0</x:v>
      </x:c>
      <x:c r="H726" s="9" t="n">
        <x:v>0</x:v>
      </x:c>
      <x:c r="I726" s="9"/>
      <x:c r="J726" s="13"/>
      <x:c r="K726" s="9" t="str">
        <x:v>Exportado</x:v>
      </x:c>
      <x:c r="L726" s="9" t="str">
        <x:v>F077, F078, F079</x:v>
      </x:c>
    </x:row>
    <x:row r="727" ht="24" customHeight="1">
      <x:c r="A727" s="9" t="str">
        <x:v>C07</x:v>
      </x:c>
      <x:c r="B727" s="9" t="str">
        <x:v>[TRON] - YouTube 03 -  VT 5 Seg - {Reg SC} - 07/10</x:v>
      </x:c>
      <x:c r="C727" s="10" t="d">
        <x:v>2026-09-30T12:00:00.000Z</x:v>
      </x:c>
      <x:c r="D727" s="11" t="n">
        <x:v>0</x:v>
      </x:c>
      <x:c r="E727" s="11" t="n">
        <x:v>0</x:v>
      </x:c>
      <x:c r="F727" s="11" t="n">
        <x:v>0</x:v>
      </x:c>
      <x:c r="G727" s="12" t="n">
        <x:v>0</x:v>
      </x:c>
      <x:c r="H727" s="9" t="n">
        <x:v>0</x:v>
      </x:c>
      <x:c r="I727" s="9"/>
      <x:c r="J727" s="13"/>
      <x:c r="K727" s="9" t="str">
        <x:v>Exportado</x:v>
      </x:c>
      <x:c r="L727" s="9" t="str">
        <x:v>F077, F078, F079</x:v>
      </x:c>
    </x:row>
    <x:row r="728" ht="24" customHeight="1">
      <x:c r="A728" s="9" t="str">
        <x:v>C07</x:v>
      </x:c>
      <x:c r="B728" s="9" t="str">
        <x:v>[TRON] - YouTube 03 -  VT 5 Seg - {Reg SC} - 07/10</x:v>
      </x:c>
      <x:c r="C728" s="10" t="d">
        <x:v>2026-10-01T12:00:00.000Z</x:v>
      </x:c>
      <x:c r="D728" s="11" t="n">
        <x:v>0</x:v>
      </x:c>
      <x:c r="E728" s="11" t="n">
        <x:v>0</x:v>
      </x:c>
      <x:c r="F728" s="11" t="n">
        <x:v>0</x:v>
      </x:c>
      <x:c r="G728" s="12" t="n">
        <x:v>0</x:v>
      </x:c>
      <x:c r="H728" s="9" t="n">
        <x:v>0</x:v>
      </x:c>
      <x:c r="I728" s="9"/>
      <x:c r="J728" s="13"/>
      <x:c r="K728" s="9" t="str">
        <x:v>Exportado</x:v>
      </x:c>
      <x:c r="L728" s="9" t="str">
        <x:v>F077, F078, F079</x:v>
      </x:c>
    </x:row>
    <x:row r="729" ht="24" customHeight="1">
      <x:c r="A729" s="9" t="str">
        <x:v>C07</x:v>
      </x:c>
      <x:c r="B729" s="9" t="str">
        <x:v>[TRON] - YouTube 03 -  VT 5 Seg - {Reg SC} - 07/10</x:v>
      </x:c>
      <x:c r="C729" s="10" t="d">
        <x:v>2026-10-02T12:00:00.000Z</x:v>
      </x:c>
      <x:c r="D729" s="11" t="n">
        <x:v>0</x:v>
      </x:c>
      <x:c r="E729" s="11" t="n">
        <x:v>0</x:v>
      </x:c>
      <x:c r="F729" s="11" t="n">
        <x:v>0</x:v>
      </x:c>
      <x:c r="G729" s="12" t="n">
        <x:v>0</x:v>
      </x:c>
      <x:c r="H729" s="9" t="n">
        <x:v>0</x:v>
      </x:c>
      <x:c r="I729" s="9"/>
      <x:c r="J729" s="13"/>
      <x:c r="K729" s="9" t="str">
        <x:v>Exportado</x:v>
      </x:c>
      <x:c r="L729" s="9" t="str">
        <x:v>F077, F078, F079</x:v>
      </x:c>
    </x:row>
    <x:row r="730" ht="24" customHeight="1">
      <x:c r="A730" s="9" t="str">
        <x:v>C07</x:v>
      </x:c>
      <x:c r="B730" s="9" t="str">
        <x:v>[TRON] - YouTube 03 -  VT 5 Seg - {Reg SC} - 07/10</x:v>
      </x:c>
      <x:c r="C730" s="10" t="d">
        <x:v>2026-10-03T12:00:00.000Z</x:v>
      </x:c>
      <x:c r="D730" s="11" t="n">
        <x:v>0</x:v>
      </x:c>
      <x:c r="E730" s="11" t="n">
        <x:v>0</x:v>
      </x:c>
      <x:c r="F730" s="11" t="n">
        <x:v>0</x:v>
      </x:c>
      <x:c r="G730" s="12" t="n">
        <x:v>0</x:v>
      </x:c>
      <x:c r="H730" s="9" t="n">
        <x:v>0</x:v>
      </x:c>
      <x:c r="I730" s="9"/>
      <x:c r="J730" s="13"/>
      <x:c r="K730" s="9" t="str">
        <x:v>Exportado</x:v>
      </x:c>
      <x:c r="L730" s="9" t="str">
        <x:v>F077, F078, F079</x:v>
      </x:c>
    </x:row>
    <x:row r="731" ht="24" customHeight="1">
      <x:c r="A731" s="9" t="str">
        <x:v>C07</x:v>
      </x:c>
      <x:c r="B731" s="9" t="str">
        <x:v>[TRON] - YouTube 03 -  VT 5 Seg - {Reg SC} - 07/10</x:v>
      </x:c>
      <x:c r="C731" s="10" t="d">
        <x:v>2026-10-04T12:00:00.000Z</x:v>
      </x:c>
      <x:c r="D731" s="11" t="n">
        <x:v>0</x:v>
      </x:c>
      <x:c r="E731" s="11" t="n">
        <x:v>0</x:v>
      </x:c>
      <x:c r="F731" s="11" t="n">
        <x:v>0</x:v>
      </x:c>
      <x:c r="G731" s="12" t="n">
        <x:v>0</x:v>
      </x:c>
      <x:c r="H731" s="9" t="n">
        <x:v>0</x:v>
      </x:c>
      <x:c r="I731" s="9"/>
      <x:c r="J731" s="13"/>
      <x:c r="K731" s="9" t="str">
        <x:v>Exportado</x:v>
      </x:c>
      <x:c r="L731" s="9" t="str">
        <x:v>F077, F078, F079</x:v>
      </x:c>
    </x:row>
    <x:row r="732" ht="24" customHeight="1">
      <x:c r="A732" s="9" t="str">
        <x:v>C07</x:v>
      </x:c>
      <x:c r="B732" s="9" t="str">
        <x:v>[TRON] - YouTube 03 -  VT 5 Seg - {Reg SC} - 07/10</x:v>
      </x:c>
      <x:c r="C732" s="10" t="d">
        <x:v>2026-10-05T12:00:00.000Z</x:v>
      </x:c>
      <x:c r="D732" s="11" t="n">
        <x:v>0</x:v>
      </x:c>
      <x:c r="E732" s="11" t="n">
        <x:v>0</x:v>
      </x:c>
      <x:c r="F732" s="11" t="n">
        <x:v>0</x:v>
      </x:c>
      <x:c r="G732" s="12" t="n">
        <x:v>0</x:v>
      </x:c>
      <x:c r="H732" s="9" t="n">
        <x:v>0</x:v>
      </x:c>
      <x:c r="I732" s="9"/>
      <x:c r="J732" s="13"/>
      <x:c r="K732" s="9" t="str">
        <x:v>Exportado</x:v>
      </x:c>
      <x:c r="L732" s="9" t="str">
        <x:v>F077, F078, F079</x:v>
      </x:c>
    </x:row>
    <x:row r="733" ht="24" customHeight="1">
      <x:c r="A733" s="9" t="str">
        <x:v>C07</x:v>
      </x:c>
      <x:c r="B733" s="9" t="str">
        <x:v>[TRON] - YouTube 03 -  VT 5 Seg - {Reg SC} - 07/10</x:v>
      </x:c>
      <x:c r="C733" s="10" t="d">
        <x:v>2026-10-06T12:00:00.000Z</x:v>
      </x:c>
      <x:c r="D733" s="11" t="n">
        <x:v>0</x:v>
      </x:c>
      <x:c r="E733" s="11" t="n">
        <x:v>0</x:v>
      </x:c>
      <x:c r="F733" s="11" t="n">
        <x:v>0</x:v>
      </x:c>
      <x:c r="G733" s="12" t="n">
        <x:v>0</x:v>
      </x:c>
      <x:c r="H733" s="9" t="n">
        <x:v>0</x:v>
      </x:c>
      <x:c r="I733" s="9"/>
      <x:c r="J733" s="13"/>
      <x:c r="K733" s="9" t="str">
        <x:v>Exportado</x:v>
      </x:c>
      <x:c r="L733" s="9" t="str">
        <x:v>F077, F078, F079</x:v>
      </x:c>
    </x:row>
    <x:row r="734" ht="24" customHeight="1">
      <x:c r="A734" s="9" t="str">
        <x:v>C07</x:v>
      </x:c>
      <x:c r="B734" s="9" t="str">
        <x:v>[TRON] - YouTube 03 -  VT 5 Seg - {Reg SC} - 07/10</x:v>
      </x:c>
      <x:c r="C734" s="10" t="d">
        <x:v>2026-10-07T12:00:00.000Z</x:v>
      </x:c>
      <x:c r="D734" s="11" t="n">
        <x:v>3965</x:v>
      </x:c>
      <x:c r="E734" s="11" t="n">
        <x:v>659</x:v>
      </x:c>
      <x:c r="F734" s="11" t="n">
        <x:v>3</x:v>
      </x:c>
      <x:c r="G734" s="12" t="n">
        <x:v>14.92</x:v>
      </x:c>
      <x:c r="H734" s="9" t="n">
        <x:v>13</x:v>
      </x:c>
      <x:c r="I734" s="9"/>
      <x:c r="J734" s="13" t="n">
        <x:v>0</x:v>
      </x:c>
      <x:c r="K734" s="9" t="str">
        <x:v>Exportado</x:v>
      </x:c>
      <x:c r="L734" s="9" t="str">
        <x:v>F077, F078, F079</x:v>
      </x:c>
    </x:row>
    <x:row r="735" ht="24" customHeight="1">
      <x:c r="A735" s="9" t="str">
        <x:v>C07</x:v>
      </x:c>
      <x:c r="B735" s="9" t="str">
        <x:v>[TRON] - YouTube 03 -  VT 5 Seg - {Reg SC} - 07/10</x:v>
      </x:c>
      <x:c r="C735" s="10" t="d">
        <x:v>2026-10-08T12:00:00.000Z</x:v>
      </x:c>
      <x:c r="D735" s="11" t="n">
        <x:v>6285</x:v>
      </x:c>
      <x:c r="E735" s="11" t="n">
        <x:v>1792</x:v>
      </x:c>
      <x:c r="F735" s="11" t="n">
        <x:v>8</x:v>
      </x:c>
      <x:c r="G735" s="12" t="n">
        <x:v>15.85</x:v>
      </x:c>
      <x:c r="H735" s="9" t="n">
        <x:v>13</x:v>
      </x:c>
      <x:c r="I735" s="9"/>
      <x:c r="J735" s="13" t="n">
        <x:v>0.0007000000000000001</x:v>
      </x:c>
      <x:c r="K735" s="9" t="str">
        <x:v>Exportado</x:v>
      </x:c>
      <x:c r="L735" s="9" t="str">
        <x:v>F077, F078, F079</x:v>
      </x:c>
    </x:row>
    <x:row r="736" ht="24" customHeight="1">
      <x:c r="A736" s="9" t="str">
        <x:v>C07</x:v>
      </x:c>
      <x:c r="B736" s="9" t="str">
        <x:v>[TRON] - YouTube 03 -  VT 5 Seg - {Reg SC} - 07/10</x:v>
      </x:c>
      <x:c r="C736" s="10" t="d">
        <x:v>2026-10-09T12:00:00.000Z</x:v>
      </x:c>
      <x:c r="D736" s="11" t="n">
        <x:v>6779</x:v>
      </x:c>
      <x:c r="E736" s="11" t="n">
        <x:v>2225</x:v>
      </x:c>
      <x:c r="F736" s="11" t="n">
        <x:v>22</x:v>
      </x:c>
      <x:c r="G736" s="12" t="n">
        <x:v>15.88</x:v>
      </x:c>
      <x:c r="H736" s="9" t="n">
        <x:v>3</x:v>
      </x:c>
      <x:c r="I736" s="9"/>
      <x:c r="J736" s="13" t="n">
        <x:v>0.0012</x:v>
      </x:c>
      <x:c r="K736" s="9" t="str">
        <x:v>Exportado</x:v>
      </x:c>
      <x:c r="L736" s="9" t="str">
        <x:v>F077, F078, F079</x:v>
      </x:c>
    </x:row>
    <x:row r="737" ht="24" customHeight="1">
      <x:c r="A737" s="9" t="str">
        <x:v>C07</x:v>
      </x:c>
      <x:c r="B737" s="9" t="str">
        <x:v>[TRON] - YouTube 03 -  VT 5 Seg - {Reg SC} - 07/10</x:v>
      </x:c>
      <x:c r="C737" s="10" t="d">
        <x:v>2026-10-10T12:00:00.000Z</x:v>
      </x:c>
      <x:c r="D737" s="11" t="n">
        <x:v>5492</x:v>
      </x:c>
      <x:c r="E737" s="11" t="n">
        <x:v>3477</x:v>
      </x:c>
      <x:c r="F737" s="11" t="n">
        <x:v>1</x:v>
      </x:c>
      <x:c r="G737" s="12" t="n">
        <x:v>15.68</x:v>
      </x:c>
      <x:c r="H737" s="9" t="n">
        <x:v>1</x:v>
      </x:c>
      <x:c r="I737" s="9"/>
      <x:c r="J737" s="13" t="n">
        <x:v>0</x:v>
      </x:c>
      <x:c r="K737" s="9" t="str">
        <x:v>Exportado</x:v>
      </x:c>
      <x:c r="L737" s="9" t="str">
        <x:v>F077, F078, F079</x:v>
      </x:c>
    </x:row>
    <x:row r="738" ht="24" customHeight="1">
      <x:c r="A738" s="9" t="str">
        <x:v>C07</x:v>
      </x:c>
      <x:c r="B738" s="9" t="str">
        <x:v>[TRON] - YouTube 03 -  VT 5 Seg - {Reg SC} - 07/10</x:v>
      </x:c>
      <x:c r="C738" s="10" t="d">
        <x:v>2026-10-11T12:00:00.000Z</x:v>
      </x:c>
      <x:c r="D738" s="11" t="n">
        <x:v>6062</x:v>
      </x:c>
      <x:c r="E738" s="11" t="n">
        <x:v>2418</x:v>
      </x:c>
      <x:c r="F738" s="11" t="n">
        <x:v>7</x:v>
      </x:c>
      <x:c r="G738" s="12" t="n">
        <x:v>15.67</x:v>
      </x:c>
      <x:c r="H738" s="9" t="n">
        <x:v>4</x:v>
      </x:c>
      <x:c r="I738" s="9"/>
      <x:c r="J738" s="13" t="n">
        <x:v>0</x:v>
      </x:c>
      <x:c r="K738" s="9" t="str">
        <x:v>Exportado</x:v>
      </x:c>
      <x:c r="L738" s="9" t="str">
        <x:v>F077, F078, F079</x:v>
      </x:c>
    </x:row>
    <x:row r="739" ht="24" customHeight="1">
      <x:c r="A739" s="9" t="str">
        <x:v>C07</x:v>
      </x:c>
      <x:c r="B739" s="9" t="str">
        <x:v>[TRON] - YouTube 03 -  VT 5 Seg - {Reg SC} - 07/10</x:v>
      </x:c>
      <x:c r="C739" s="10" t="d">
        <x:v>2026-10-12T12:00:00.000Z</x:v>
      </x:c>
      <x:c r="D739" s="11" t="n">
        <x:v>6128</x:v>
      </x:c>
      <x:c r="E739" s="11" t="n">
        <x:v>2080</x:v>
      </x:c>
      <x:c r="F739" s="11" t="n">
        <x:v>12</x:v>
      </x:c>
      <x:c r="G739" s="12" t="n">
        <x:v>15.63</x:v>
      </x:c>
      <x:c r="H739" s="9" t="n">
        <x:v>7</x:v>
      </x:c>
      <x:c r="I739" s="9"/>
      <x:c r="J739" s="13" t="n">
        <x:v>0</x:v>
      </x:c>
      <x:c r="K739" s="9" t="str">
        <x:v>Exportado</x:v>
      </x:c>
      <x:c r="L739" s="9" t="str">
        <x:v>F077, F078, F079</x:v>
      </x:c>
    </x:row>
    <x:row r="740" ht="24" customHeight="1">
      <x:c r="A740" s="9" t="str">
        <x:v>C07</x:v>
      </x:c>
      <x:c r="B740" s="9" t="str">
        <x:v>[TRON] - YouTube 03 -  VT 5 Seg - {Reg SC} - 07/10</x:v>
      </x:c>
      <x:c r="C740" s="10" t="d">
        <x:v>2026-10-13T12:00:00.000Z</x:v>
      </x:c>
      <x:c r="D740" s="11" t="n">
        <x:v>6296</x:v>
      </x:c>
      <x:c r="E740" s="11" t="n">
        <x:v>2194</x:v>
      </x:c>
      <x:c r="F740" s="11" t="n">
        <x:v>11</x:v>
      </x:c>
      <x:c r="G740" s="12" t="n">
        <x:v>15.62</x:v>
      </x:c>
      <x:c r="H740" s="9" t="n">
        <x:v>9</x:v>
      </x:c>
      <x:c r="I740" s="9"/>
      <x:c r="J740" s="13" t="n">
        <x:v>0</x:v>
      </x:c>
      <x:c r="K740" s="9" t="str">
        <x:v>Exportado</x:v>
      </x:c>
      <x:c r="L740" s="9" t="str">
        <x:v>F077, F078, F079</x:v>
      </x:c>
    </x:row>
    <x:row r="741" ht="24" customHeight="1">
      <x:c r="A741" s="9" t="str">
        <x:v>C08</x:v>
      </x:c>
      <x:c r="B741" s="9" t="str">
        <x:v>[TRON] - YouTube 04 -  VT 5 Seg - {Reg SC} - 07/10</x:v>
      </x:c>
      <x:c r="C741" s="10" t="d">
        <x:v>2026-07-01T12:00:00.000Z</x:v>
      </x:c>
      <x:c r="D741" s="11"/>
      <x:c r="E741" s="11"/>
      <x:c r="F741" s="11"/>
      <x:c r="G741" s="12"/>
      <x:c r="H741" s="9"/>
      <x:c r="I741" s="9"/>
      <x:c r="J741" s="13"/>
      <x:c r="K741" s="9" t="str">
        <x:v>Sem exportação</x:v>
      </x:c>
      <x:c r="L741" s="9"/>
    </x:row>
    <x:row r="742" ht="24" customHeight="1">
      <x:c r="A742" s="9" t="str">
        <x:v>C08</x:v>
      </x:c>
      <x:c r="B742" s="9" t="str">
        <x:v>[TRON] - YouTube 04 -  VT 5 Seg - {Reg SC} - 07/10</x:v>
      </x:c>
      <x:c r="C742" s="10" t="d">
        <x:v>2026-07-02T12:00:00.000Z</x:v>
      </x:c>
      <x:c r="D742" s="11"/>
      <x:c r="E742" s="11"/>
      <x:c r="F742" s="11"/>
      <x:c r="G742" s="12"/>
      <x:c r="H742" s="9"/>
      <x:c r="I742" s="9"/>
      <x:c r="J742" s="13"/>
      <x:c r="K742" s="9" t="str">
        <x:v>Sem exportação</x:v>
      </x:c>
      <x:c r="L742" s="9"/>
    </x:row>
    <x:row r="743" ht="24" customHeight="1">
      <x:c r="A743" s="9" t="str">
        <x:v>C08</x:v>
      </x:c>
      <x:c r="B743" s="9" t="str">
        <x:v>[TRON] - YouTube 04 -  VT 5 Seg - {Reg SC} - 07/10</x:v>
      </x:c>
      <x:c r="C743" s="10" t="d">
        <x:v>2026-07-03T12:00:00.000Z</x:v>
      </x:c>
      <x:c r="D743" s="11"/>
      <x:c r="E743" s="11"/>
      <x:c r="F743" s="11"/>
      <x:c r="G743" s="12"/>
      <x:c r="H743" s="9"/>
      <x:c r="I743" s="9"/>
      <x:c r="J743" s="13"/>
      <x:c r="K743" s="9" t="str">
        <x:v>Sem exportação</x:v>
      </x:c>
      <x:c r="L743" s="9"/>
    </x:row>
    <x:row r="744" ht="24" customHeight="1">
      <x:c r="A744" s="9" t="str">
        <x:v>C08</x:v>
      </x:c>
      <x:c r="B744" s="9" t="str">
        <x:v>[TRON] - YouTube 04 -  VT 5 Seg - {Reg SC} - 07/10</x:v>
      </x:c>
      <x:c r="C744" s="10" t="d">
        <x:v>2026-07-04T12:00:00.000Z</x:v>
      </x:c>
      <x:c r="D744" s="11"/>
      <x:c r="E744" s="11"/>
      <x:c r="F744" s="11"/>
      <x:c r="G744" s="12"/>
      <x:c r="H744" s="9"/>
      <x:c r="I744" s="9"/>
      <x:c r="J744" s="13"/>
      <x:c r="K744" s="9" t="str">
        <x:v>Sem exportação</x:v>
      </x:c>
      <x:c r="L744" s="9"/>
    </x:row>
    <x:row r="745" ht="24" customHeight="1">
      <x:c r="A745" s="9" t="str">
        <x:v>C08</x:v>
      </x:c>
      <x:c r="B745" s="9" t="str">
        <x:v>[TRON] - YouTube 04 -  VT 5 Seg - {Reg SC} - 07/10</x:v>
      </x:c>
      <x:c r="C745" s="10" t="d">
        <x:v>2026-07-05T12:00:00.000Z</x:v>
      </x:c>
      <x:c r="D745" s="11"/>
      <x:c r="E745" s="11"/>
      <x:c r="F745" s="11"/>
      <x:c r="G745" s="12"/>
      <x:c r="H745" s="9"/>
      <x:c r="I745" s="9"/>
      <x:c r="J745" s="13"/>
      <x:c r="K745" s="9" t="str">
        <x:v>Sem exportação</x:v>
      </x:c>
      <x:c r="L745" s="9"/>
    </x:row>
    <x:row r="746" ht="24" customHeight="1">
      <x:c r="A746" s="9" t="str">
        <x:v>C08</x:v>
      </x:c>
      <x:c r="B746" s="9" t="str">
        <x:v>[TRON] - YouTube 04 -  VT 5 Seg - {Reg SC} - 07/10</x:v>
      </x:c>
      <x:c r="C746" s="10" t="d">
        <x:v>2026-07-06T12:00:00.000Z</x:v>
      </x:c>
      <x:c r="D746" s="11"/>
      <x:c r="E746" s="11"/>
      <x:c r="F746" s="11"/>
      <x:c r="G746" s="12"/>
      <x:c r="H746" s="9"/>
      <x:c r="I746" s="9"/>
      <x:c r="J746" s="13"/>
      <x:c r="K746" s="9" t="str">
        <x:v>Sem exportação</x:v>
      </x:c>
      <x:c r="L746" s="9"/>
    </x:row>
    <x:row r="747" ht="24" customHeight="1">
      <x:c r="A747" s="9" t="str">
        <x:v>C08</x:v>
      </x:c>
      <x:c r="B747" s="9" t="str">
        <x:v>[TRON] - YouTube 04 -  VT 5 Seg - {Reg SC} - 07/10</x:v>
      </x:c>
      <x:c r="C747" s="10" t="d">
        <x:v>2026-07-07T12:00:00.000Z</x:v>
      </x:c>
      <x:c r="D747" s="11"/>
      <x:c r="E747" s="11"/>
      <x:c r="F747" s="11"/>
      <x:c r="G747" s="12"/>
      <x:c r="H747" s="9"/>
      <x:c r="I747" s="9"/>
      <x:c r="J747" s="13"/>
      <x:c r="K747" s="9" t="str">
        <x:v>Sem exportação</x:v>
      </x:c>
      <x:c r="L747" s="9"/>
    </x:row>
    <x:row r="748" ht="24" customHeight="1">
      <x:c r="A748" s="9" t="str">
        <x:v>C08</x:v>
      </x:c>
      <x:c r="B748" s="9" t="str">
        <x:v>[TRON] - YouTube 04 -  VT 5 Seg - {Reg SC} - 07/10</x:v>
      </x:c>
      <x:c r="C748" s="10" t="d">
        <x:v>2026-07-08T12:00:00.000Z</x:v>
      </x:c>
      <x:c r="D748" s="11"/>
      <x:c r="E748" s="11"/>
      <x:c r="F748" s="11"/>
      <x:c r="G748" s="12"/>
      <x:c r="H748" s="9"/>
      <x:c r="I748" s="9"/>
      <x:c r="J748" s="13"/>
      <x:c r="K748" s="9" t="str">
        <x:v>Sem exportação</x:v>
      </x:c>
      <x:c r="L748" s="9"/>
    </x:row>
    <x:row r="749" ht="24" customHeight="1">
      <x:c r="A749" s="9" t="str">
        <x:v>C08</x:v>
      </x:c>
      <x:c r="B749" s="9" t="str">
        <x:v>[TRON] - YouTube 04 -  VT 5 Seg - {Reg SC} - 07/10</x:v>
      </x:c>
      <x:c r="C749" s="10" t="d">
        <x:v>2026-07-09T12:00:00.000Z</x:v>
      </x:c>
      <x:c r="D749" s="11"/>
      <x:c r="E749" s="11"/>
      <x:c r="F749" s="11"/>
      <x:c r="G749" s="12"/>
      <x:c r="H749" s="9"/>
      <x:c r="I749" s="9"/>
      <x:c r="J749" s="13"/>
      <x:c r="K749" s="9" t="str">
        <x:v>Sem exportação</x:v>
      </x:c>
      <x:c r="L749" s="9"/>
    </x:row>
    <x:row r="750" ht="24" customHeight="1">
      <x:c r="A750" s="9" t="str">
        <x:v>C08</x:v>
      </x:c>
      <x:c r="B750" s="9" t="str">
        <x:v>[TRON] - YouTube 04 -  VT 5 Seg - {Reg SC} - 07/10</x:v>
      </x:c>
      <x:c r="C750" s="10" t="d">
        <x:v>2026-07-10T12:00:00.000Z</x:v>
      </x:c>
      <x:c r="D750" s="11"/>
      <x:c r="E750" s="11"/>
      <x:c r="F750" s="11"/>
      <x:c r="G750" s="12"/>
      <x:c r="H750" s="9"/>
      <x:c r="I750" s="9"/>
      <x:c r="J750" s="13"/>
      <x:c r="K750" s="9" t="str">
        <x:v>Sem exportação</x:v>
      </x:c>
      <x:c r="L750" s="9"/>
    </x:row>
    <x:row r="751" ht="24" customHeight="1">
      <x:c r="A751" s="9" t="str">
        <x:v>C08</x:v>
      </x:c>
      <x:c r="B751" s="9" t="str">
        <x:v>[TRON] - YouTube 04 -  VT 5 Seg - {Reg SC} - 07/10</x:v>
      </x:c>
      <x:c r="C751" s="10" t="d">
        <x:v>2026-07-11T12:00:00.000Z</x:v>
      </x:c>
      <x:c r="D751" s="11"/>
      <x:c r="E751" s="11"/>
      <x:c r="F751" s="11"/>
      <x:c r="G751" s="12"/>
      <x:c r="H751" s="9"/>
      <x:c r="I751" s="9"/>
      <x:c r="J751" s="13"/>
      <x:c r="K751" s="9" t="str">
        <x:v>Sem exportação</x:v>
      </x:c>
      <x:c r="L751" s="9"/>
    </x:row>
    <x:row r="752" ht="24" customHeight="1">
      <x:c r="A752" s="9" t="str">
        <x:v>C08</x:v>
      </x:c>
      <x:c r="B752" s="9" t="str">
        <x:v>[TRON] - YouTube 04 -  VT 5 Seg - {Reg SC} - 07/10</x:v>
      </x:c>
      <x:c r="C752" s="10" t="d">
        <x:v>2026-07-12T12:00:00.000Z</x:v>
      </x:c>
      <x:c r="D752" s="11"/>
      <x:c r="E752" s="11"/>
      <x:c r="F752" s="11"/>
      <x:c r="G752" s="12"/>
      <x:c r="H752" s="9"/>
      <x:c r="I752" s="9"/>
      <x:c r="J752" s="13"/>
      <x:c r="K752" s="9" t="str">
        <x:v>Sem exportação</x:v>
      </x:c>
      <x:c r="L752" s="9"/>
    </x:row>
    <x:row r="753" ht="24" customHeight="1">
      <x:c r="A753" s="9" t="str">
        <x:v>C08</x:v>
      </x:c>
      <x:c r="B753" s="9" t="str">
        <x:v>[TRON] - YouTube 04 -  VT 5 Seg - {Reg SC} - 07/10</x:v>
      </x:c>
      <x:c r="C753" s="10" t="d">
        <x:v>2026-07-13T12:00:00.000Z</x:v>
      </x:c>
      <x:c r="D753" s="11"/>
      <x:c r="E753" s="11"/>
      <x:c r="F753" s="11"/>
      <x:c r="G753" s="12"/>
      <x:c r="H753" s="9"/>
      <x:c r="I753" s="9"/>
      <x:c r="J753" s="13"/>
      <x:c r="K753" s="9" t="str">
        <x:v>Sem exportação</x:v>
      </x:c>
      <x:c r="L753" s="9"/>
    </x:row>
    <x:row r="754" ht="24" customHeight="1">
      <x:c r="A754" s="9" t="str">
        <x:v>C08</x:v>
      </x:c>
      <x:c r="B754" s="9" t="str">
        <x:v>[TRON] - YouTube 04 -  VT 5 Seg - {Reg SC} - 07/10</x:v>
      </x:c>
      <x:c r="C754" s="10" t="d">
        <x:v>2026-07-14T12:00:00.000Z</x:v>
      </x:c>
      <x:c r="D754" s="11"/>
      <x:c r="E754" s="11"/>
      <x:c r="F754" s="11"/>
      <x:c r="G754" s="12"/>
      <x:c r="H754" s="9"/>
      <x:c r="I754" s="9"/>
      <x:c r="J754" s="13"/>
      <x:c r="K754" s="9" t="str">
        <x:v>Sem exportação</x:v>
      </x:c>
      <x:c r="L754" s="9"/>
    </x:row>
    <x:row r="755" ht="24" customHeight="1">
      <x:c r="A755" s="9" t="str">
        <x:v>C08</x:v>
      </x:c>
      <x:c r="B755" s="9" t="str">
        <x:v>[TRON] - YouTube 04 -  VT 5 Seg - {Reg SC} - 07/10</x:v>
      </x:c>
      <x:c r="C755" s="10" t="d">
        <x:v>2026-07-15T12:00:00.000Z</x:v>
      </x:c>
      <x:c r="D755" s="11"/>
      <x:c r="E755" s="11"/>
      <x:c r="F755" s="11"/>
      <x:c r="G755" s="12"/>
      <x:c r="H755" s="9"/>
      <x:c r="I755" s="9"/>
      <x:c r="J755" s="13"/>
      <x:c r="K755" s="9" t="str">
        <x:v>Sem exportação</x:v>
      </x:c>
      <x:c r="L755" s="9"/>
    </x:row>
    <x:row r="756" ht="24" customHeight="1">
      <x:c r="A756" s="9" t="str">
        <x:v>C08</x:v>
      </x:c>
      <x:c r="B756" s="9" t="str">
        <x:v>[TRON] - YouTube 04 -  VT 5 Seg - {Reg SC} - 07/10</x:v>
      </x:c>
      <x:c r="C756" s="10" t="d">
        <x:v>2026-07-16T12:00:00.000Z</x:v>
      </x:c>
      <x:c r="D756" s="11"/>
      <x:c r="E756" s="11"/>
      <x:c r="F756" s="11"/>
      <x:c r="G756" s="12"/>
      <x:c r="H756" s="9"/>
      <x:c r="I756" s="9"/>
      <x:c r="J756" s="13"/>
      <x:c r="K756" s="9" t="str">
        <x:v>Sem exportação</x:v>
      </x:c>
      <x:c r="L756" s="9"/>
    </x:row>
    <x:row r="757" ht="24" customHeight="1">
      <x:c r="A757" s="9" t="str">
        <x:v>C08</x:v>
      </x:c>
      <x:c r="B757" s="9" t="str">
        <x:v>[TRON] - YouTube 04 -  VT 5 Seg - {Reg SC} - 07/10</x:v>
      </x:c>
      <x:c r="C757" s="10" t="d">
        <x:v>2026-07-17T12:00:00.000Z</x:v>
      </x:c>
      <x:c r="D757" s="11"/>
      <x:c r="E757" s="11"/>
      <x:c r="F757" s="11"/>
      <x:c r="G757" s="12"/>
      <x:c r="H757" s="9"/>
      <x:c r="I757" s="9"/>
      <x:c r="J757" s="13"/>
      <x:c r="K757" s="9" t="str">
        <x:v>Sem exportação</x:v>
      </x:c>
      <x:c r="L757" s="9"/>
    </x:row>
    <x:row r="758" ht="24" customHeight="1">
      <x:c r="A758" s="9" t="str">
        <x:v>C08</x:v>
      </x:c>
      <x:c r="B758" s="9" t="str">
        <x:v>[TRON] - YouTube 04 -  VT 5 Seg - {Reg SC} - 07/10</x:v>
      </x:c>
      <x:c r="C758" s="10" t="d">
        <x:v>2026-07-18T12:00:00.000Z</x:v>
      </x:c>
      <x:c r="D758" s="11"/>
      <x:c r="E758" s="11"/>
      <x:c r="F758" s="11"/>
      <x:c r="G758" s="12"/>
      <x:c r="H758" s="9"/>
      <x:c r="I758" s="9"/>
      <x:c r="J758" s="13"/>
      <x:c r="K758" s="9" t="str">
        <x:v>Sem exportação</x:v>
      </x:c>
      <x:c r="L758" s="9"/>
    </x:row>
    <x:row r="759" ht="24" customHeight="1">
      <x:c r="A759" s="9" t="str">
        <x:v>C08</x:v>
      </x:c>
      <x:c r="B759" s="9" t="str">
        <x:v>[TRON] - YouTube 04 -  VT 5 Seg - {Reg SC} - 07/10</x:v>
      </x:c>
      <x:c r="C759" s="10" t="d">
        <x:v>2026-07-19T12:00:00.000Z</x:v>
      </x:c>
      <x:c r="D759" s="11"/>
      <x:c r="E759" s="11"/>
      <x:c r="F759" s="11"/>
      <x:c r="G759" s="12"/>
      <x:c r="H759" s="9"/>
      <x:c r="I759" s="9"/>
      <x:c r="J759" s="13"/>
      <x:c r="K759" s="9" t="str">
        <x:v>Sem exportação</x:v>
      </x:c>
      <x:c r="L759" s="9"/>
    </x:row>
    <x:row r="760" ht="24" customHeight="1">
      <x:c r="A760" s="9" t="str">
        <x:v>C08</x:v>
      </x:c>
      <x:c r="B760" s="9" t="str">
        <x:v>[TRON] - YouTube 04 -  VT 5 Seg - {Reg SC} - 07/10</x:v>
      </x:c>
      <x:c r="C760" s="10" t="d">
        <x:v>2026-07-20T12:00:00.000Z</x:v>
      </x:c>
      <x:c r="D760" s="11"/>
      <x:c r="E760" s="11"/>
      <x:c r="F760" s="11"/>
      <x:c r="G760" s="12"/>
      <x:c r="H760" s="9"/>
      <x:c r="I760" s="9"/>
      <x:c r="J760" s="13"/>
      <x:c r="K760" s="9" t="str">
        <x:v>Sem exportação</x:v>
      </x:c>
      <x:c r="L760" s="9"/>
    </x:row>
    <x:row r="761" ht="24" customHeight="1">
      <x:c r="A761" s="9" t="str">
        <x:v>C08</x:v>
      </x:c>
      <x:c r="B761" s="9" t="str">
        <x:v>[TRON] - YouTube 04 -  VT 5 Seg - {Reg SC} - 07/10</x:v>
      </x:c>
      <x:c r="C761" s="10" t="d">
        <x:v>2026-07-21T12:00:00.000Z</x:v>
      </x:c>
      <x:c r="D761" s="11"/>
      <x:c r="E761" s="11"/>
      <x:c r="F761" s="11"/>
      <x:c r="G761" s="12"/>
      <x:c r="H761" s="9"/>
      <x:c r="I761" s="9"/>
      <x:c r="J761" s="13"/>
      <x:c r="K761" s="9" t="str">
        <x:v>Sem exportação</x:v>
      </x:c>
      <x:c r="L761" s="9"/>
    </x:row>
    <x:row r="762" ht="24" customHeight="1">
      <x:c r="A762" s="9" t="str">
        <x:v>C08</x:v>
      </x:c>
      <x:c r="B762" s="9" t="str">
        <x:v>[TRON] - YouTube 04 -  VT 5 Seg - {Reg SC} - 07/10</x:v>
      </x:c>
      <x:c r="C762" s="10" t="d">
        <x:v>2026-07-22T12:00:00.000Z</x:v>
      </x:c>
      <x:c r="D762" s="11"/>
      <x:c r="E762" s="11"/>
      <x:c r="F762" s="11"/>
      <x:c r="G762" s="12"/>
      <x:c r="H762" s="9"/>
      <x:c r="I762" s="9"/>
      <x:c r="J762" s="13"/>
      <x:c r="K762" s="9" t="str">
        <x:v>Sem exportação</x:v>
      </x:c>
      <x:c r="L762" s="9"/>
    </x:row>
    <x:row r="763" ht="24" customHeight="1">
      <x:c r="A763" s="9" t="str">
        <x:v>C08</x:v>
      </x:c>
      <x:c r="B763" s="9" t="str">
        <x:v>[TRON] - YouTube 04 -  VT 5 Seg - {Reg SC} - 07/10</x:v>
      </x:c>
      <x:c r="C763" s="10" t="d">
        <x:v>2026-07-23T12:00:00.000Z</x:v>
      </x:c>
      <x:c r="D763" s="11"/>
      <x:c r="E763" s="11"/>
      <x:c r="F763" s="11"/>
      <x:c r="G763" s="12"/>
      <x:c r="H763" s="9"/>
      <x:c r="I763" s="9"/>
      <x:c r="J763" s="13"/>
      <x:c r="K763" s="9" t="str">
        <x:v>Sem exportação</x:v>
      </x:c>
      <x:c r="L763" s="9"/>
    </x:row>
    <x:row r="764" ht="24" customHeight="1">
      <x:c r="A764" s="9" t="str">
        <x:v>C08</x:v>
      </x:c>
      <x:c r="B764" s="9" t="str">
        <x:v>[TRON] - YouTube 04 -  VT 5 Seg - {Reg SC} - 07/10</x:v>
      </x:c>
      <x:c r="C764" s="10" t="d">
        <x:v>2026-07-24T12:00:00.000Z</x:v>
      </x:c>
      <x:c r="D764" s="11"/>
      <x:c r="E764" s="11"/>
      <x:c r="F764" s="11"/>
      <x:c r="G764" s="12"/>
      <x:c r="H764" s="9"/>
      <x:c r="I764" s="9"/>
      <x:c r="J764" s="13"/>
      <x:c r="K764" s="9" t="str">
        <x:v>Sem exportação</x:v>
      </x:c>
      <x:c r="L764" s="9"/>
    </x:row>
    <x:row r="765" ht="24" customHeight="1">
      <x:c r="A765" s="9" t="str">
        <x:v>C08</x:v>
      </x:c>
      <x:c r="B765" s="9" t="str">
        <x:v>[TRON] - YouTube 04 -  VT 5 Seg - {Reg SC} - 07/10</x:v>
      </x:c>
      <x:c r="C765" s="10" t="d">
        <x:v>2026-07-25T12:00:00.000Z</x:v>
      </x:c>
      <x:c r="D765" s="11"/>
      <x:c r="E765" s="11"/>
      <x:c r="F765" s="11"/>
      <x:c r="G765" s="12"/>
      <x:c r="H765" s="9"/>
      <x:c r="I765" s="9"/>
      <x:c r="J765" s="13"/>
      <x:c r="K765" s="9" t="str">
        <x:v>Sem exportação</x:v>
      </x:c>
      <x:c r="L765" s="9"/>
    </x:row>
    <x:row r="766" ht="24" customHeight="1">
      <x:c r="A766" s="9" t="str">
        <x:v>C08</x:v>
      </x:c>
      <x:c r="B766" s="9" t="str">
        <x:v>[TRON] - YouTube 04 -  VT 5 Seg - {Reg SC} - 07/10</x:v>
      </x:c>
      <x:c r="C766" s="10" t="d">
        <x:v>2026-07-26T12:00:00.000Z</x:v>
      </x:c>
      <x:c r="D766" s="11"/>
      <x:c r="E766" s="11"/>
      <x:c r="F766" s="11"/>
      <x:c r="G766" s="12"/>
      <x:c r="H766" s="9"/>
      <x:c r="I766" s="9"/>
      <x:c r="J766" s="13"/>
      <x:c r="K766" s="9" t="str">
        <x:v>Sem exportação</x:v>
      </x:c>
      <x:c r="L766" s="9"/>
    </x:row>
    <x:row r="767" ht="24" customHeight="1">
      <x:c r="A767" s="9" t="str">
        <x:v>C08</x:v>
      </x:c>
      <x:c r="B767" s="9" t="str">
        <x:v>[TRON] - YouTube 04 -  VT 5 Seg - {Reg SC} - 07/10</x:v>
      </x:c>
      <x:c r="C767" s="10" t="d">
        <x:v>2026-07-27T12:00:00.000Z</x:v>
      </x:c>
      <x:c r="D767" s="11"/>
      <x:c r="E767" s="11"/>
      <x:c r="F767" s="11"/>
      <x:c r="G767" s="12"/>
      <x:c r="H767" s="9"/>
      <x:c r="I767" s="9"/>
      <x:c r="J767" s="13"/>
      <x:c r="K767" s="9" t="str">
        <x:v>Sem exportação</x:v>
      </x:c>
      <x:c r="L767" s="9"/>
    </x:row>
    <x:row r="768" ht="24" customHeight="1">
      <x:c r="A768" s="9" t="str">
        <x:v>C08</x:v>
      </x:c>
      <x:c r="B768" s="9" t="str">
        <x:v>[TRON] - YouTube 04 -  VT 5 Seg - {Reg SC} - 07/10</x:v>
      </x:c>
      <x:c r="C768" s="10" t="d">
        <x:v>2026-07-28T12:00:00.000Z</x:v>
      </x:c>
      <x:c r="D768" s="11"/>
      <x:c r="E768" s="11"/>
      <x:c r="F768" s="11"/>
      <x:c r="G768" s="12"/>
      <x:c r="H768" s="9"/>
      <x:c r="I768" s="9"/>
      <x:c r="J768" s="13"/>
      <x:c r="K768" s="9" t="str">
        <x:v>Sem exportação</x:v>
      </x:c>
      <x:c r="L768" s="9"/>
    </x:row>
    <x:row r="769" ht="24" customHeight="1">
      <x:c r="A769" s="9" t="str">
        <x:v>C08</x:v>
      </x:c>
      <x:c r="B769" s="9" t="str">
        <x:v>[TRON] - YouTube 04 -  VT 5 Seg - {Reg SC} - 07/10</x:v>
      </x:c>
      <x:c r="C769" s="10" t="d">
        <x:v>2026-07-29T12:00:00.000Z</x:v>
      </x:c>
      <x:c r="D769" s="11"/>
      <x:c r="E769" s="11"/>
      <x:c r="F769" s="11"/>
      <x:c r="G769" s="12"/>
      <x:c r="H769" s="9"/>
      <x:c r="I769" s="9"/>
      <x:c r="J769" s="13"/>
      <x:c r="K769" s="9" t="str">
        <x:v>Sem exportação</x:v>
      </x:c>
      <x:c r="L769" s="9"/>
    </x:row>
    <x:row r="770" ht="24" customHeight="1">
      <x:c r="A770" s="9" t="str">
        <x:v>C08</x:v>
      </x:c>
      <x:c r="B770" s="9" t="str">
        <x:v>[TRON] - YouTube 04 -  VT 5 Seg - {Reg SC} - 07/10</x:v>
      </x:c>
      <x:c r="C770" s="10" t="d">
        <x:v>2026-07-30T12:00:00.000Z</x:v>
      </x:c>
      <x:c r="D770" s="11"/>
      <x:c r="E770" s="11"/>
      <x:c r="F770" s="11"/>
      <x:c r="G770" s="12"/>
      <x:c r="H770" s="9"/>
      <x:c r="I770" s="9"/>
      <x:c r="J770" s="13"/>
      <x:c r="K770" s="9" t="str">
        <x:v>Sem exportação</x:v>
      </x:c>
      <x:c r="L770" s="9"/>
    </x:row>
    <x:row r="771" ht="24" customHeight="1">
      <x:c r="A771" s="9" t="str">
        <x:v>C08</x:v>
      </x:c>
      <x:c r="B771" s="9" t="str">
        <x:v>[TRON] - YouTube 04 -  VT 5 Seg - {Reg SC} - 07/10</x:v>
      </x:c>
      <x:c r="C771" s="10" t="d">
        <x:v>2026-07-31T12:00:00.000Z</x:v>
      </x:c>
      <x:c r="D771" s="11"/>
      <x:c r="E771" s="11"/>
      <x:c r="F771" s="11"/>
      <x:c r="G771" s="12"/>
      <x:c r="H771" s="9"/>
      <x:c r="I771" s="9"/>
      <x:c r="J771" s="13"/>
      <x:c r="K771" s="9" t="str">
        <x:v>Sem exportação</x:v>
      </x:c>
      <x:c r="L771" s="9"/>
    </x:row>
    <x:row r="772" ht="24" customHeight="1">
      <x:c r="A772" s="9" t="str">
        <x:v>C08</x:v>
      </x:c>
      <x:c r="B772" s="9" t="str">
        <x:v>[TRON] - YouTube 04 -  VT 5 Seg - {Reg SC} - 07/10</x:v>
      </x:c>
      <x:c r="C772" s="10" t="d">
        <x:v>2026-08-01T12:00:00.000Z</x:v>
      </x:c>
      <x:c r="D772" s="11"/>
      <x:c r="E772" s="11"/>
      <x:c r="F772" s="11"/>
      <x:c r="G772" s="12"/>
      <x:c r="H772" s="9"/>
      <x:c r="I772" s="9"/>
      <x:c r="J772" s="13"/>
      <x:c r="K772" s="9" t="str">
        <x:v>Sem exportação</x:v>
      </x:c>
      <x:c r="L772" s="9"/>
    </x:row>
    <x:row r="773" ht="24" customHeight="1">
      <x:c r="A773" s="9" t="str">
        <x:v>C08</x:v>
      </x:c>
      <x:c r="B773" s="9" t="str">
        <x:v>[TRON] - YouTube 04 -  VT 5 Seg - {Reg SC} - 07/10</x:v>
      </x:c>
      <x:c r="C773" s="10" t="d">
        <x:v>2026-08-02T12:00:00.000Z</x:v>
      </x:c>
      <x:c r="D773" s="11"/>
      <x:c r="E773" s="11"/>
      <x:c r="F773" s="11"/>
      <x:c r="G773" s="12"/>
      <x:c r="H773" s="9"/>
      <x:c r="I773" s="9"/>
      <x:c r="J773" s="13"/>
      <x:c r="K773" s="9" t="str">
        <x:v>Sem exportação</x:v>
      </x:c>
      <x:c r="L773" s="9"/>
    </x:row>
    <x:row r="774" ht="24" customHeight="1">
      <x:c r="A774" s="9" t="str">
        <x:v>C08</x:v>
      </x:c>
      <x:c r="B774" s="9" t="str">
        <x:v>[TRON] - YouTube 04 -  VT 5 Seg - {Reg SC} - 07/10</x:v>
      </x:c>
      <x:c r="C774" s="10" t="d">
        <x:v>2026-08-03T12:00:00.000Z</x:v>
      </x:c>
      <x:c r="D774" s="11"/>
      <x:c r="E774" s="11"/>
      <x:c r="F774" s="11"/>
      <x:c r="G774" s="12"/>
      <x:c r="H774" s="9"/>
      <x:c r="I774" s="9"/>
      <x:c r="J774" s="13"/>
      <x:c r="K774" s="9" t="str">
        <x:v>Sem exportação</x:v>
      </x:c>
      <x:c r="L774" s="9"/>
    </x:row>
    <x:row r="775" ht="24" customHeight="1">
      <x:c r="A775" s="9" t="str">
        <x:v>C08</x:v>
      </x:c>
      <x:c r="B775" s="9" t="str">
        <x:v>[TRON] - YouTube 04 -  VT 5 Seg - {Reg SC} - 07/10</x:v>
      </x:c>
      <x:c r="C775" s="10" t="d">
        <x:v>2026-08-04T12:00:00.000Z</x:v>
      </x:c>
      <x:c r="D775" s="11"/>
      <x:c r="E775" s="11"/>
      <x:c r="F775" s="11"/>
      <x:c r="G775" s="12"/>
      <x:c r="H775" s="9"/>
      <x:c r="I775" s="9"/>
      <x:c r="J775" s="13"/>
      <x:c r="K775" s="9" t="str">
        <x:v>Sem exportação</x:v>
      </x:c>
      <x:c r="L775" s="9"/>
    </x:row>
    <x:row r="776" ht="24" customHeight="1">
      <x:c r="A776" s="9" t="str">
        <x:v>C08</x:v>
      </x:c>
      <x:c r="B776" s="9" t="str">
        <x:v>[TRON] - YouTube 04 -  VT 5 Seg - {Reg SC} - 07/10</x:v>
      </x:c>
      <x:c r="C776" s="10" t="d">
        <x:v>2026-08-05T12:00:00.000Z</x:v>
      </x:c>
      <x:c r="D776" s="11"/>
      <x:c r="E776" s="11"/>
      <x:c r="F776" s="11"/>
      <x:c r="G776" s="12"/>
      <x:c r="H776" s="9"/>
      <x:c r="I776" s="9"/>
      <x:c r="J776" s="13"/>
      <x:c r="K776" s="9" t="str">
        <x:v>Sem exportação</x:v>
      </x:c>
      <x:c r="L776" s="9"/>
    </x:row>
    <x:row r="777" ht="24" customHeight="1">
      <x:c r="A777" s="9" t="str">
        <x:v>C08</x:v>
      </x:c>
      <x:c r="B777" s="9" t="str">
        <x:v>[TRON] - YouTube 04 -  VT 5 Seg - {Reg SC} - 07/10</x:v>
      </x:c>
      <x:c r="C777" s="10" t="d">
        <x:v>2026-08-06T12:00:00.000Z</x:v>
      </x:c>
      <x:c r="D777" s="11"/>
      <x:c r="E777" s="11"/>
      <x:c r="F777" s="11"/>
      <x:c r="G777" s="12"/>
      <x:c r="H777" s="9"/>
      <x:c r="I777" s="9"/>
      <x:c r="J777" s="13"/>
      <x:c r="K777" s="9" t="str">
        <x:v>Sem exportação</x:v>
      </x:c>
      <x:c r="L777" s="9"/>
    </x:row>
    <x:row r="778" ht="24" customHeight="1">
      <x:c r="A778" s="9" t="str">
        <x:v>C08</x:v>
      </x:c>
      <x:c r="B778" s="9" t="str">
        <x:v>[TRON] - YouTube 04 -  VT 5 Seg - {Reg SC} - 07/10</x:v>
      </x:c>
      <x:c r="C778" s="10" t="d">
        <x:v>2026-08-07T12:00:00.000Z</x:v>
      </x:c>
      <x:c r="D778" s="11"/>
      <x:c r="E778" s="11"/>
      <x:c r="F778" s="11"/>
      <x:c r="G778" s="12"/>
      <x:c r="H778" s="9"/>
      <x:c r="I778" s="9"/>
      <x:c r="J778" s="13"/>
      <x:c r="K778" s="9" t="str">
        <x:v>Sem exportação</x:v>
      </x:c>
      <x:c r="L778" s="9"/>
    </x:row>
    <x:row r="779" ht="24" customHeight="1">
      <x:c r="A779" s="9" t="str">
        <x:v>C08</x:v>
      </x:c>
      <x:c r="B779" s="9" t="str">
        <x:v>[TRON] - YouTube 04 -  VT 5 Seg - {Reg SC} - 07/10</x:v>
      </x:c>
      <x:c r="C779" s="10" t="d">
        <x:v>2026-08-08T12:00:00.000Z</x:v>
      </x:c>
      <x:c r="D779" s="11"/>
      <x:c r="E779" s="11"/>
      <x:c r="F779" s="11"/>
      <x:c r="G779" s="12"/>
      <x:c r="H779" s="9"/>
      <x:c r="I779" s="9"/>
      <x:c r="J779" s="13"/>
      <x:c r="K779" s="9" t="str">
        <x:v>Sem exportação</x:v>
      </x:c>
      <x:c r="L779" s="9"/>
    </x:row>
    <x:row r="780" ht="24" customHeight="1">
      <x:c r="A780" s="9" t="str">
        <x:v>C08</x:v>
      </x:c>
      <x:c r="B780" s="9" t="str">
        <x:v>[TRON] - YouTube 04 -  VT 5 Seg - {Reg SC} - 07/10</x:v>
      </x:c>
      <x:c r="C780" s="10" t="d">
        <x:v>2026-08-09T12:00:00.000Z</x:v>
      </x:c>
      <x:c r="D780" s="11"/>
      <x:c r="E780" s="11"/>
      <x:c r="F780" s="11"/>
      <x:c r="G780" s="12"/>
      <x:c r="H780" s="9"/>
      <x:c r="I780" s="9"/>
      <x:c r="J780" s="13"/>
      <x:c r="K780" s="9" t="str">
        <x:v>Sem exportação</x:v>
      </x:c>
      <x:c r="L780" s="9"/>
    </x:row>
    <x:row r="781" ht="24" customHeight="1">
      <x:c r="A781" s="9" t="str">
        <x:v>C08</x:v>
      </x:c>
      <x:c r="B781" s="9" t="str">
        <x:v>[TRON] - YouTube 04 -  VT 5 Seg - {Reg SC} - 07/10</x:v>
      </x:c>
      <x:c r="C781" s="10" t="d">
        <x:v>2026-08-10T12:00:00.000Z</x:v>
      </x:c>
      <x:c r="D781" s="11"/>
      <x:c r="E781" s="11"/>
      <x:c r="F781" s="11"/>
      <x:c r="G781" s="12"/>
      <x:c r="H781" s="9"/>
      <x:c r="I781" s="9"/>
      <x:c r="J781" s="13"/>
      <x:c r="K781" s="9" t="str">
        <x:v>Sem exportação</x:v>
      </x:c>
      <x:c r="L781" s="9"/>
    </x:row>
    <x:row r="782" ht="24" customHeight="1">
      <x:c r="A782" s="9" t="str">
        <x:v>C08</x:v>
      </x:c>
      <x:c r="B782" s="9" t="str">
        <x:v>[TRON] - YouTube 04 -  VT 5 Seg - {Reg SC} - 07/10</x:v>
      </x:c>
      <x:c r="C782" s="10" t="d">
        <x:v>2026-08-11T12:00:00.000Z</x:v>
      </x:c>
      <x:c r="D782" s="11"/>
      <x:c r="E782" s="11"/>
      <x:c r="F782" s="11"/>
      <x:c r="G782" s="12"/>
      <x:c r="H782" s="9"/>
      <x:c r="I782" s="9"/>
      <x:c r="J782" s="13"/>
      <x:c r="K782" s="9" t="str">
        <x:v>Sem exportação</x:v>
      </x:c>
      <x:c r="L782" s="9"/>
    </x:row>
    <x:row r="783" ht="24" customHeight="1">
      <x:c r="A783" s="9" t="str">
        <x:v>C08</x:v>
      </x:c>
      <x:c r="B783" s="9" t="str">
        <x:v>[TRON] - YouTube 04 -  VT 5 Seg - {Reg SC} - 07/10</x:v>
      </x:c>
      <x:c r="C783" s="10" t="d">
        <x:v>2026-08-12T12:00:00.000Z</x:v>
      </x:c>
      <x:c r="D783" s="11"/>
      <x:c r="E783" s="11"/>
      <x:c r="F783" s="11"/>
      <x:c r="G783" s="12"/>
      <x:c r="H783" s="9"/>
      <x:c r="I783" s="9"/>
      <x:c r="J783" s="13"/>
      <x:c r="K783" s="9" t="str">
        <x:v>Sem exportação</x:v>
      </x:c>
      <x:c r="L783" s="9"/>
    </x:row>
    <x:row r="784" ht="24" customHeight="1">
      <x:c r="A784" s="9" t="str">
        <x:v>C08</x:v>
      </x:c>
      <x:c r="B784" s="9" t="str">
        <x:v>[TRON] - YouTube 04 -  VT 5 Seg - {Reg SC} - 07/10</x:v>
      </x:c>
      <x:c r="C784" s="10" t="d">
        <x:v>2026-08-13T12:00:00.000Z</x:v>
      </x:c>
      <x:c r="D784" s="11"/>
      <x:c r="E784" s="11"/>
      <x:c r="F784" s="11"/>
      <x:c r="G784" s="12"/>
      <x:c r="H784" s="9"/>
      <x:c r="I784" s="9"/>
      <x:c r="J784" s="13"/>
      <x:c r="K784" s="9" t="str">
        <x:v>Sem exportação</x:v>
      </x:c>
      <x:c r="L784" s="9"/>
    </x:row>
    <x:row r="785" ht="24" customHeight="1">
      <x:c r="A785" s="9" t="str">
        <x:v>C08</x:v>
      </x:c>
      <x:c r="B785" s="9" t="str">
        <x:v>[TRON] - YouTube 04 -  VT 5 Seg - {Reg SC} - 07/10</x:v>
      </x:c>
      <x:c r="C785" s="10" t="d">
        <x:v>2026-08-14T12:00:00.000Z</x:v>
      </x:c>
      <x:c r="D785" s="11"/>
      <x:c r="E785" s="11"/>
      <x:c r="F785" s="11"/>
      <x:c r="G785" s="12"/>
      <x:c r="H785" s="9"/>
      <x:c r="I785" s="9"/>
      <x:c r="J785" s="13"/>
      <x:c r="K785" s="9" t="str">
        <x:v>Sem exportação</x:v>
      </x:c>
      <x:c r="L785" s="9"/>
    </x:row>
    <x:row r="786" ht="24" customHeight="1">
      <x:c r="A786" s="9" t="str">
        <x:v>C08</x:v>
      </x:c>
      <x:c r="B786" s="9" t="str">
        <x:v>[TRON] - YouTube 04 -  VT 5 Seg - {Reg SC} - 07/10</x:v>
      </x:c>
      <x:c r="C786" s="10" t="d">
        <x:v>2026-08-15T12:00:00.000Z</x:v>
      </x:c>
      <x:c r="D786" s="11"/>
      <x:c r="E786" s="11"/>
      <x:c r="F786" s="11"/>
      <x:c r="G786" s="12"/>
      <x:c r="H786" s="9"/>
      <x:c r="I786" s="9"/>
      <x:c r="J786" s="13"/>
      <x:c r="K786" s="9" t="str">
        <x:v>Sem exportação</x:v>
      </x:c>
      <x:c r="L786" s="9"/>
    </x:row>
    <x:row r="787" ht="24" customHeight="1">
      <x:c r="A787" s="9" t="str">
        <x:v>C08</x:v>
      </x:c>
      <x:c r="B787" s="9" t="str">
        <x:v>[TRON] - YouTube 04 -  VT 5 Seg - {Reg SC} - 07/10</x:v>
      </x:c>
      <x:c r="C787" s="10" t="d">
        <x:v>2026-08-16T12:00:00.000Z</x:v>
      </x:c>
      <x:c r="D787" s="11"/>
      <x:c r="E787" s="11"/>
      <x:c r="F787" s="11"/>
      <x:c r="G787" s="12"/>
      <x:c r="H787" s="9"/>
      <x:c r="I787" s="9"/>
      <x:c r="J787" s="13"/>
      <x:c r="K787" s="9" t="str">
        <x:v>Sem exportação</x:v>
      </x:c>
      <x:c r="L787" s="9"/>
    </x:row>
    <x:row r="788" ht="24" customHeight="1">
      <x:c r="A788" s="9" t="str">
        <x:v>C08</x:v>
      </x:c>
      <x:c r="B788" s="9" t="str">
        <x:v>[TRON] - YouTube 04 -  VT 5 Seg - {Reg SC} - 07/10</x:v>
      </x:c>
      <x:c r="C788" s="10" t="d">
        <x:v>2026-08-17T12:00:00.000Z</x:v>
      </x:c>
      <x:c r="D788" s="11"/>
      <x:c r="E788" s="11"/>
      <x:c r="F788" s="11"/>
      <x:c r="G788" s="12"/>
      <x:c r="H788" s="9"/>
      <x:c r="I788" s="9"/>
      <x:c r="J788" s="13"/>
      <x:c r="K788" s="9" t="str">
        <x:v>Sem exportação</x:v>
      </x:c>
      <x:c r="L788" s="9"/>
    </x:row>
    <x:row r="789" ht="24" customHeight="1">
      <x:c r="A789" s="9" t="str">
        <x:v>C08</x:v>
      </x:c>
      <x:c r="B789" s="9" t="str">
        <x:v>[TRON] - YouTube 04 -  VT 5 Seg - {Reg SC} - 07/10</x:v>
      </x:c>
      <x:c r="C789" s="10" t="d">
        <x:v>2026-08-18T12:00:00.000Z</x:v>
      </x:c>
      <x:c r="D789" s="11"/>
      <x:c r="E789" s="11"/>
      <x:c r="F789" s="11"/>
      <x:c r="G789" s="12"/>
      <x:c r="H789" s="9"/>
      <x:c r="I789" s="9"/>
      <x:c r="J789" s="13"/>
      <x:c r="K789" s="9" t="str">
        <x:v>Sem exportação</x:v>
      </x:c>
      <x:c r="L789" s="9"/>
    </x:row>
    <x:row r="790" ht="24" customHeight="1">
      <x:c r="A790" s="9" t="str">
        <x:v>C08</x:v>
      </x:c>
      <x:c r="B790" s="9" t="str">
        <x:v>[TRON] - YouTube 04 -  VT 5 Seg - {Reg SC} - 07/10</x:v>
      </x:c>
      <x:c r="C790" s="10" t="d">
        <x:v>2026-08-19T12:00:00.000Z</x:v>
      </x:c>
      <x:c r="D790" s="11"/>
      <x:c r="E790" s="11"/>
      <x:c r="F790" s="11"/>
      <x:c r="G790" s="12"/>
      <x:c r="H790" s="9"/>
      <x:c r="I790" s="9"/>
      <x:c r="J790" s="13"/>
      <x:c r="K790" s="9" t="str">
        <x:v>Sem exportação</x:v>
      </x:c>
      <x:c r="L790" s="9"/>
    </x:row>
    <x:row r="791" ht="24" customHeight="1">
      <x:c r="A791" s="9" t="str">
        <x:v>C08</x:v>
      </x:c>
      <x:c r="B791" s="9" t="str">
        <x:v>[TRON] - YouTube 04 -  VT 5 Seg - {Reg SC} - 07/10</x:v>
      </x:c>
      <x:c r="C791" s="10" t="d">
        <x:v>2026-08-20T12:00:00.000Z</x:v>
      </x:c>
      <x:c r="D791" s="11"/>
      <x:c r="E791" s="11"/>
      <x:c r="F791" s="11"/>
      <x:c r="G791" s="12"/>
      <x:c r="H791" s="9"/>
      <x:c r="I791" s="9"/>
      <x:c r="J791" s="13"/>
      <x:c r="K791" s="9" t="str">
        <x:v>Sem exportação</x:v>
      </x:c>
      <x:c r="L791" s="9"/>
    </x:row>
    <x:row r="792" ht="24" customHeight="1">
      <x:c r="A792" s="9" t="str">
        <x:v>C08</x:v>
      </x:c>
      <x:c r="B792" s="9" t="str">
        <x:v>[TRON] - YouTube 04 -  VT 5 Seg - {Reg SC} - 07/10</x:v>
      </x:c>
      <x:c r="C792" s="10" t="d">
        <x:v>2026-08-21T12:00:00.000Z</x:v>
      </x:c>
      <x:c r="D792" s="11"/>
      <x:c r="E792" s="11"/>
      <x:c r="F792" s="11"/>
      <x:c r="G792" s="12"/>
      <x:c r="H792" s="9"/>
      <x:c r="I792" s="9"/>
      <x:c r="J792" s="13"/>
      <x:c r="K792" s="9" t="str">
        <x:v>Sem exportação</x:v>
      </x:c>
      <x:c r="L792" s="9"/>
    </x:row>
    <x:row r="793" ht="24" customHeight="1">
      <x:c r="A793" s="9" t="str">
        <x:v>C08</x:v>
      </x:c>
      <x:c r="B793" s="9" t="str">
        <x:v>[TRON] - YouTube 04 -  VT 5 Seg - {Reg SC} - 07/10</x:v>
      </x:c>
      <x:c r="C793" s="10" t="d">
        <x:v>2026-08-22T12:00:00.000Z</x:v>
      </x:c>
      <x:c r="D793" s="11"/>
      <x:c r="E793" s="11"/>
      <x:c r="F793" s="11"/>
      <x:c r="G793" s="12"/>
      <x:c r="H793" s="9"/>
      <x:c r="I793" s="9"/>
      <x:c r="J793" s="13"/>
      <x:c r="K793" s="9" t="str">
        <x:v>Sem exportação</x:v>
      </x:c>
      <x:c r="L793" s="9"/>
    </x:row>
    <x:row r="794" ht="24" customHeight="1">
      <x:c r="A794" s="9" t="str">
        <x:v>C08</x:v>
      </x:c>
      <x:c r="B794" s="9" t="str">
        <x:v>[TRON] - YouTube 04 -  VT 5 Seg - {Reg SC} - 07/10</x:v>
      </x:c>
      <x:c r="C794" s="10" t="d">
        <x:v>2026-08-23T12:00:00.000Z</x:v>
      </x:c>
      <x:c r="D794" s="11"/>
      <x:c r="E794" s="11"/>
      <x:c r="F794" s="11"/>
      <x:c r="G794" s="12"/>
      <x:c r="H794" s="9"/>
      <x:c r="I794" s="9"/>
      <x:c r="J794" s="13"/>
      <x:c r="K794" s="9" t="str">
        <x:v>Sem exportação</x:v>
      </x:c>
      <x:c r="L794" s="9"/>
    </x:row>
    <x:row r="795" ht="24" customHeight="1">
      <x:c r="A795" s="9" t="str">
        <x:v>C08</x:v>
      </x:c>
      <x:c r="B795" s="9" t="str">
        <x:v>[TRON] - YouTube 04 -  VT 5 Seg - {Reg SC} - 07/10</x:v>
      </x:c>
      <x:c r="C795" s="10" t="d">
        <x:v>2026-08-24T12:00:00.000Z</x:v>
      </x:c>
      <x:c r="D795" s="11"/>
      <x:c r="E795" s="11"/>
      <x:c r="F795" s="11"/>
      <x:c r="G795" s="12"/>
      <x:c r="H795" s="9"/>
      <x:c r="I795" s="9"/>
      <x:c r="J795" s="13"/>
      <x:c r="K795" s="9" t="str">
        <x:v>Sem exportação</x:v>
      </x:c>
      <x:c r="L795" s="9"/>
    </x:row>
    <x:row r="796" ht="24" customHeight="1">
      <x:c r="A796" s="9" t="str">
        <x:v>C08</x:v>
      </x:c>
      <x:c r="B796" s="9" t="str">
        <x:v>[TRON] - YouTube 04 -  VT 5 Seg - {Reg SC} - 07/10</x:v>
      </x:c>
      <x:c r="C796" s="10" t="d">
        <x:v>2026-08-25T12:00:00.000Z</x:v>
      </x:c>
      <x:c r="D796" s="11"/>
      <x:c r="E796" s="11"/>
      <x:c r="F796" s="11"/>
      <x:c r="G796" s="12"/>
      <x:c r="H796" s="9"/>
      <x:c r="I796" s="9"/>
      <x:c r="J796" s="13"/>
      <x:c r="K796" s="9" t="str">
        <x:v>Sem exportação</x:v>
      </x:c>
      <x:c r="L796" s="9"/>
    </x:row>
    <x:row r="797" ht="24" customHeight="1">
      <x:c r="A797" s="9" t="str">
        <x:v>C08</x:v>
      </x:c>
      <x:c r="B797" s="9" t="str">
        <x:v>[TRON] - YouTube 04 -  VT 5 Seg - {Reg SC} - 07/10</x:v>
      </x:c>
      <x:c r="C797" s="10" t="d">
        <x:v>2026-08-26T12:00:00.000Z</x:v>
      </x:c>
      <x:c r="D797" s="11"/>
      <x:c r="E797" s="11"/>
      <x:c r="F797" s="11"/>
      <x:c r="G797" s="12"/>
      <x:c r="H797" s="9"/>
      <x:c r="I797" s="9"/>
      <x:c r="J797" s="13"/>
      <x:c r="K797" s="9" t="str">
        <x:v>Sem exportação</x:v>
      </x:c>
      <x:c r="L797" s="9"/>
    </x:row>
    <x:row r="798" ht="24" customHeight="1">
      <x:c r="A798" s="9" t="str">
        <x:v>C08</x:v>
      </x:c>
      <x:c r="B798" s="9" t="str">
        <x:v>[TRON] - YouTube 04 -  VT 5 Seg - {Reg SC} - 07/10</x:v>
      </x:c>
      <x:c r="C798" s="10" t="d">
        <x:v>2026-08-27T12:00:00.000Z</x:v>
      </x:c>
      <x:c r="D798" s="11"/>
      <x:c r="E798" s="11"/>
      <x:c r="F798" s="11"/>
      <x:c r="G798" s="12"/>
      <x:c r="H798" s="9"/>
      <x:c r="I798" s="9"/>
      <x:c r="J798" s="13"/>
      <x:c r="K798" s="9" t="str">
        <x:v>Sem exportação</x:v>
      </x:c>
      <x:c r="L798" s="9"/>
    </x:row>
    <x:row r="799" ht="24" customHeight="1">
      <x:c r="A799" s="9" t="str">
        <x:v>C08</x:v>
      </x:c>
      <x:c r="B799" s="9" t="str">
        <x:v>[TRON] - YouTube 04 -  VT 5 Seg - {Reg SC} - 07/10</x:v>
      </x:c>
      <x:c r="C799" s="10" t="d">
        <x:v>2026-08-28T12:00:00.000Z</x:v>
      </x:c>
      <x:c r="D799" s="11"/>
      <x:c r="E799" s="11"/>
      <x:c r="F799" s="11"/>
      <x:c r="G799" s="12"/>
      <x:c r="H799" s="9"/>
      <x:c r="I799" s="9"/>
      <x:c r="J799" s="13"/>
      <x:c r="K799" s="9" t="str">
        <x:v>Sem exportação</x:v>
      </x:c>
      <x:c r="L799" s="9"/>
    </x:row>
    <x:row r="800" ht="24" customHeight="1">
      <x:c r="A800" s="9" t="str">
        <x:v>C08</x:v>
      </x:c>
      <x:c r="B800" s="9" t="str">
        <x:v>[TRON] - YouTube 04 -  VT 5 Seg - {Reg SC} - 07/10</x:v>
      </x:c>
      <x:c r="C800" s="10" t="d">
        <x:v>2026-08-29T12:00:00.000Z</x:v>
      </x:c>
      <x:c r="D800" s="11"/>
      <x:c r="E800" s="11"/>
      <x:c r="F800" s="11"/>
      <x:c r="G800" s="12"/>
      <x:c r="H800" s="9"/>
      <x:c r="I800" s="9"/>
      <x:c r="J800" s="13"/>
      <x:c r="K800" s="9" t="str">
        <x:v>Sem exportação</x:v>
      </x:c>
      <x:c r="L800" s="9"/>
    </x:row>
    <x:row r="801" ht="24" customHeight="1">
      <x:c r="A801" s="9" t="str">
        <x:v>C08</x:v>
      </x:c>
      <x:c r="B801" s="9" t="str">
        <x:v>[TRON] - YouTube 04 -  VT 5 Seg - {Reg SC} - 07/10</x:v>
      </x:c>
      <x:c r="C801" s="10" t="d">
        <x:v>2026-08-30T12:00:00.000Z</x:v>
      </x:c>
      <x:c r="D801" s="11"/>
      <x:c r="E801" s="11"/>
      <x:c r="F801" s="11"/>
      <x:c r="G801" s="12"/>
      <x:c r="H801" s="9"/>
      <x:c r="I801" s="9"/>
      <x:c r="J801" s="13"/>
      <x:c r="K801" s="9" t="str">
        <x:v>Sem exportação</x:v>
      </x:c>
      <x:c r="L801" s="9"/>
    </x:row>
    <x:row r="802" ht="24" customHeight="1">
      <x:c r="A802" s="9" t="str">
        <x:v>C08</x:v>
      </x:c>
      <x:c r="B802" s="9" t="str">
        <x:v>[TRON] - YouTube 04 -  VT 5 Seg - {Reg SC} - 07/10</x:v>
      </x:c>
      <x:c r="C802" s="10" t="d">
        <x:v>2026-08-31T12:00:00.000Z</x:v>
      </x:c>
      <x:c r="D802" s="11"/>
      <x:c r="E802" s="11"/>
      <x:c r="F802" s="11"/>
      <x:c r="G802" s="12"/>
      <x:c r="H802" s="9"/>
      <x:c r="I802" s="9"/>
      <x:c r="J802" s="13"/>
      <x:c r="K802" s="9" t="str">
        <x:v>Sem exportação</x:v>
      </x:c>
      <x:c r="L802" s="9"/>
    </x:row>
    <x:row r="803" ht="24" customHeight="1">
      <x:c r="A803" s="9" t="str">
        <x:v>C08</x:v>
      </x:c>
      <x:c r="B803" s="9" t="str">
        <x:v>[TRON] - YouTube 04 -  VT 5 Seg - {Reg SC} - 07/10</x:v>
      </x:c>
      <x:c r="C803" s="10" t="d">
        <x:v>2026-09-01T12:00:00.000Z</x:v>
      </x:c>
      <x:c r="D803" s="11" t="n">
        <x:v>0</x:v>
      </x:c>
      <x:c r="E803" s="11" t="n">
        <x:v>0</x:v>
      </x:c>
      <x:c r="F803" s="11" t="n">
        <x:v>0</x:v>
      </x:c>
      <x:c r="G803" s="12" t="n">
        <x:v>0</x:v>
      </x:c>
      <x:c r="H803" s="9" t="n">
        <x:v>0</x:v>
      </x:c>
      <x:c r="I803" s="9"/>
      <x:c r="J803" s="13"/>
      <x:c r="K803" s="9" t="str">
        <x:v>Exportado</x:v>
      </x:c>
      <x:c r="L803" s="9" t="str">
        <x:v>F092, F093, F094</x:v>
      </x:c>
    </x:row>
    <x:row r="804" ht="24" customHeight="1">
      <x:c r="A804" s="9" t="str">
        <x:v>C08</x:v>
      </x:c>
      <x:c r="B804" s="9" t="str">
        <x:v>[TRON] - YouTube 04 -  VT 5 Seg - {Reg SC} - 07/10</x:v>
      </x:c>
      <x:c r="C804" s="10" t="d">
        <x:v>2026-09-02T12:00:00.000Z</x:v>
      </x:c>
      <x:c r="D804" s="11" t="n">
        <x:v>0</x:v>
      </x:c>
      <x:c r="E804" s="11" t="n">
        <x:v>0</x:v>
      </x:c>
      <x:c r="F804" s="11" t="n">
        <x:v>0</x:v>
      </x:c>
      <x:c r="G804" s="12" t="n">
        <x:v>0</x:v>
      </x:c>
      <x:c r="H804" s="9" t="n">
        <x:v>0</x:v>
      </x:c>
      <x:c r="I804" s="9"/>
      <x:c r="J804" s="13"/>
      <x:c r="K804" s="9" t="str">
        <x:v>Exportado</x:v>
      </x:c>
      <x:c r="L804" s="9" t="str">
        <x:v>F092, F093, F094</x:v>
      </x:c>
    </x:row>
    <x:row r="805" ht="24" customHeight="1">
      <x:c r="A805" s="9" t="str">
        <x:v>C08</x:v>
      </x:c>
      <x:c r="B805" s="9" t="str">
        <x:v>[TRON] - YouTube 04 -  VT 5 Seg - {Reg SC} - 07/10</x:v>
      </x:c>
      <x:c r="C805" s="10" t="d">
        <x:v>2026-09-03T12:00:00.000Z</x:v>
      </x:c>
      <x:c r="D805" s="11" t="n">
        <x:v>0</x:v>
      </x:c>
      <x:c r="E805" s="11" t="n">
        <x:v>0</x:v>
      </x:c>
      <x:c r="F805" s="11" t="n">
        <x:v>0</x:v>
      </x:c>
      <x:c r="G805" s="12" t="n">
        <x:v>0</x:v>
      </x:c>
      <x:c r="H805" s="9" t="n">
        <x:v>0</x:v>
      </x:c>
      <x:c r="I805" s="9"/>
      <x:c r="J805" s="13"/>
      <x:c r="K805" s="9" t="str">
        <x:v>Exportado</x:v>
      </x:c>
      <x:c r="L805" s="9" t="str">
        <x:v>F092, F093, F094</x:v>
      </x:c>
    </x:row>
    <x:row r="806" ht="24" customHeight="1">
      <x:c r="A806" s="9" t="str">
        <x:v>C08</x:v>
      </x:c>
      <x:c r="B806" s="9" t="str">
        <x:v>[TRON] - YouTube 04 -  VT 5 Seg - {Reg SC} - 07/10</x:v>
      </x:c>
      <x:c r="C806" s="10" t="d">
        <x:v>2026-09-04T12:00:00.000Z</x:v>
      </x:c>
      <x:c r="D806" s="11" t="n">
        <x:v>0</x:v>
      </x:c>
      <x:c r="E806" s="11" t="n">
        <x:v>0</x:v>
      </x:c>
      <x:c r="F806" s="11" t="n">
        <x:v>0</x:v>
      </x:c>
      <x:c r="G806" s="12" t="n">
        <x:v>0</x:v>
      </x:c>
      <x:c r="H806" s="9" t="n">
        <x:v>0</x:v>
      </x:c>
      <x:c r="I806" s="9"/>
      <x:c r="J806" s="13"/>
      <x:c r="K806" s="9" t="str">
        <x:v>Exportado</x:v>
      </x:c>
      <x:c r="L806" s="9" t="str">
        <x:v>F092, F093, F094</x:v>
      </x:c>
    </x:row>
    <x:row r="807" ht="24" customHeight="1">
      <x:c r="A807" s="9" t="str">
        <x:v>C08</x:v>
      </x:c>
      <x:c r="B807" s="9" t="str">
        <x:v>[TRON] - YouTube 04 -  VT 5 Seg - {Reg SC} - 07/10</x:v>
      </x:c>
      <x:c r="C807" s="10" t="d">
        <x:v>2026-09-05T12:00:00.000Z</x:v>
      </x:c>
      <x:c r="D807" s="11" t="n">
        <x:v>0</x:v>
      </x:c>
      <x:c r="E807" s="11" t="n">
        <x:v>0</x:v>
      </x:c>
      <x:c r="F807" s="11" t="n">
        <x:v>0</x:v>
      </x:c>
      <x:c r="G807" s="12" t="n">
        <x:v>0</x:v>
      </x:c>
      <x:c r="H807" s="9" t="n">
        <x:v>0</x:v>
      </x:c>
      <x:c r="I807" s="9"/>
      <x:c r="J807" s="13"/>
      <x:c r="K807" s="9" t="str">
        <x:v>Exportado</x:v>
      </x:c>
      <x:c r="L807" s="9" t="str">
        <x:v>F092, F093, F094</x:v>
      </x:c>
    </x:row>
    <x:row r="808" ht="24" customHeight="1">
      <x:c r="A808" s="9" t="str">
        <x:v>C08</x:v>
      </x:c>
      <x:c r="B808" s="9" t="str">
        <x:v>[TRON] - YouTube 04 -  VT 5 Seg - {Reg SC} - 07/10</x:v>
      </x:c>
      <x:c r="C808" s="10" t="d">
        <x:v>2026-09-06T12:00:00.000Z</x:v>
      </x:c>
      <x:c r="D808" s="11" t="n">
        <x:v>0</x:v>
      </x:c>
      <x:c r="E808" s="11" t="n">
        <x:v>0</x:v>
      </x:c>
      <x:c r="F808" s="11" t="n">
        <x:v>0</x:v>
      </x:c>
      <x:c r="G808" s="12" t="n">
        <x:v>0</x:v>
      </x:c>
      <x:c r="H808" s="9" t="n">
        <x:v>0</x:v>
      </x:c>
      <x:c r="I808" s="9"/>
      <x:c r="J808" s="13"/>
      <x:c r="K808" s="9" t="str">
        <x:v>Exportado</x:v>
      </x:c>
      <x:c r="L808" s="9" t="str">
        <x:v>F092, F093, F094</x:v>
      </x:c>
    </x:row>
    <x:row r="809" ht="24" customHeight="1">
      <x:c r="A809" s="9" t="str">
        <x:v>C08</x:v>
      </x:c>
      <x:c r="B809" s="9" t="str">
        <x:v>[TRON] - YouTube 04 -  VT 5 Seg - {Reg SC} - 07/10</x:v>
      </x:c>
      <x:c r="C809" s="10" t="d">
        <x:v>2026-09-07T12:00:00.000Z</x:v>
      </x:c>
      <x:c r="D809" s="11" t="n">
        <x:v>0</x:v>
      </x:c>
      <x:c r="E809" s="11" t="n">
        <x:v>0</x:v>
      </x:c>
      <x:c r="F809" s="11" t="n">
        <x:v>0</x:v>
      </x:c>
      <x:c r="G809" s="12" t="n">
        <x:v>0</x:v>
      </x:c>
      <x:c r="H809" s="9" t="n">
        <x:v>0</x:v>
      </x:c>
      <x:c r="I809" s="9"/>
      <x:c r="J809" s="13"/>
      <x:c r="K809" s="9" t="str">
        <x:v>Exportado</x:v>
      </x:c>
      <x:c r="L809" s="9" t="str">
        <x:v>F092, F093, F094</x:v>
      </x:c>
    </x:row>
    <x:row r="810" ht="24" customHeight="1">
      <x:c r="A810" s="9" t="str">
        <x:v>C08</x:v>
      </x:c>
      <x:c r="B810" s="9" t="str">
        <x:v>[TRON] - YouTube 04 -  VT 5 Seg - {Reg SC} - 07/10</x:v>
      </x:c>
      <x:c r="C810" s="10" t="d">
        <x:v>2026-09-08T12:00:00.000Z</x:v>
      </x:c>
      <x:c r="D810" s="11" t="n">
        <x:v>0</x:v>
      </x:c>
      <x:c r="E810" s="11" t="n">
        <x:v>0</x:v>
      </x:c>
      <x:c r="F810" s="11" t="n">
        <x:v>0</x:v>
      </x:c>
      <x:c r="G810" s="12" t="n">
        <x:v>0</x:v>
      </x:c>
      <x:c r="H810" s="9" t="n">
        <x:v>0</x:v>
      </x:c>
      <x:c r="I810" s="9"/>
      <x:c r="J810" s="13"/>
      <x:c r="K810" s="9" t="str">
        <x:v>Exportado</x:v>
      </x:c>
      <x:c r="L810" s="9" t="str">
        <x:v>F092, F093, F094</x:v>
      </x:c>
    </x:row>
    <x:row r="811" ht="24" customHeight="1">
      <x:c r="A811" s="9" t="str">
        <x:v>C08</x:v>
      </x:c>
      <x:c r="B811" s="9" t="str">
        <x:v>[TRON] - YouTube 04 -  VT 5 Seg - {Reg SC} - 07/10</x:v>
      </x:c>
      <x:c r="C811" s="10" t="d">
        <x:v>2026-09-09T12:00:00.000Z</x:v>
      </x:c>
      <x:c r="D811" s="11" t="n">
        <x:v>0</x:v>
      </x:c>
      <x:c r="E811" s="11" t="n">
        <x:v>0</x:v>
      </x:c>
      <x:c r="F811" s="11" t="n">
        <x:v>0</x:v>
      </x:c>
      <x:c r="G811" s="12" t="n">
        <x:v>0</x:v>
      </x:c>
      <x:c r="H811" s="9" t="n">
        <x:v>0</x:v>
      </x:c>
      <x:c r="I811" s="9"/>
      <x:c r="J811" s="13"/>
      <x:c r="K811" s="9" t="str">
        <x:v>Exportado</x:v>
      </x:c>
      <x:c r="L811" s="9" t="str">
        <x:v>F092, F093, F094</x:v>
      </x:c>
    </x:row>
    <x:row r="812" ht="24" customHeight="1">
      <x:c r="A812" s="9" t="str">
        <x:v>C08</x:v>
      </x:c>
      <x:c r="B812" s="9" t="str">
        <x:v>[TRON] - YouTube 04 -  VT 5 Seg - {Reg SC} - 07/10</x:v>
      </x:c>
      <x:c r="C812" s="10" t="d">
        <x:v>2026-09-10T12:00:00.000Z</x:v>
      </x:c>
      <x:c r="D812" s="11" t="n">
        <x:v>0</x:v>
      </x:c>
      <x:c r="E812" s="11" t="n">
        <x:v>0</x:v>
      </x:c>
      <x:c r="F812" s="11" t="n">
        <x:v>0</x:v>
      </x:c>
      <x:c r="G812" s="12" t="n">
        <x:v>0</x:v>
      </x:c>
      <x:c r="H812" s="9" t="n">
        <x:v>0</x:v>
      </x:c>
      <x:c r="I812" s="9"/>
      <x:c r="J812" s="13"/>
      <x:c r="K812" s="9" t="str">
        <x:v>Exportado</x:v>
      </x:c>
      <x:c r="L812" s="9" t="str">
        <x:v>F092, F093, F094</x:v>
      </x:c>
    </x:row>
    <x:row r="813" ht="24" customHeight="1">
      <x:c r="A813" s="9" t="str">
        <x:v>C08</x:v>
      </x:c>
      <x:c r="B813" s="9" t="str">
        <x:v>[TRON] - YouTube 04 -  VT 5 Seg - {Reg SC} - 07/10</x:v>
      </x:c>
      <x:c r="C813" s="10" t="d">
        <x:v>2026-09-11T12:00:00.000Z</x:v>
      </x:c>
      <x:c r="D813" s="11" t="n">
        <x:v>0</x:v>
      </x:c>
      <x:c r="E813" s="11" t="n">
        <x:v>0</x:v>
      </x:c>
      <x:c r="F813" s="11" t="n">
        <x:v>0</x:v>
      </x:c>
      <x:c r="G813" s="12" t="n">
        <x:v>0</x:v>
      </x:c>
      <x:c r="H813" s="9" t="n">
        <x:v>0</x:v>
      </x:c>
      <x:c r="I813" s="9"/>
      <x:c r="J813" s="13"/>
      <x:c r="K813" s="9" t="str">
        <x:v>Exportado</x:v>
      </x:c>
      <x:c r="L813" s="9" t="str">
        <x:v>F092, F093, F094</x:v>
      </x:c>
    </x:row>
    <x:row r="814" ht="24" customHeight="1">
      <x:c r="A814" s="9" t="str">
        <x:v>C08</x:v>
      </x:c>
      <x:c r="B814" s="9" t="str">
        <x:v>[TRON] - YouTube 04 -  VT 5 Seg - {Reg SC} - 07/10</x:v>
      </x:c>
      <x:c r="C814" s="10" t="d">
        <x:v>2026-09-12T12:00:00.000Z</x:v>
      </x:c>
      <x:c r="D814" s="11" t="n">
        <x:v>0</x:v>
      </x:c>
      <x:c r="E814" s="11" t="n">
        <x:v>0</x:v>
      </x:c>
      <x:c r="F814" s="11" t="n">
        <x:v>0</x:v>
      </x:c>
      <x:c r="G814" s="12" t="n">
        <x:v>0</x:v>
      </x:c>
      <x:c r="H814" s="9" t="n">
        <x:v>0</x:v>
      </x:c>
      <x:c r="I814" s="9"/>
      <x:c r="J814" s="13"/>
      <x:c r="K814" s="9" t="str">
        <x:v>Exportado</x:v>
      </x:c>
      <x:c r="L814" s="9" t="str">
        <x:v>F092, F093, F094</x:v>
      </x:c>
    </x:row>
    <x:row r="815" ht="24" customHeight="1">
      <x:c r="A815" s="9" t="str">
        <x:v>C08</x:v>
      </x:c>
      <x:c r="B815" s="9" t="str">
        <x:v>[TRON] - YouTube 04 -  VT 5 Seg - {Reg SC} - 07/10</x:v>
      </x:c>
      <x:c r="C815" s="10" t="d">
        <x:v>2026-09-13T12:00:00.000Z</x:v>
      </x:c>
      <x:c r="D815" s="11" t="n">
        <x:v>0</x:v>
      </x:c>
      <x:c r="E815" s="11" t="n">
        <x:v>0</x:v>
      </x:c>
      <x:c r="F815" s="11" t="n">
        <x:v>0</x:v>
      </x:c>
      <x:c r="G815" s="12" t="n">
        <x:v>0</x:v>
      </x:c>
      <x:c r="H815" s="9" t="n">
        <x:v>0</x:v>
      </x:c>
      <x:c r="I815" s="9"/>
      <x:c r="J815" s="13"/>
      <x:c r="K815" s="9" t="str">
        <x:v>Exportado</x:v>
      </x:c>
      <x:c r="L815" s="9" t="str">
        <x:v>F092, F093, F094</x:v>
      </x:c>
    </x:row>
    <x:row r="816" ht="24" customHeight="1">
      <x:c r="A816" s="9" t="str">
        <x:v>C08</x:v>
      </x:c>
      <x:c r="B816" s="9" t="str">
        <x:v>[TRON] - YouTube 04 -  VT 5 Seg - {Reg SC} - 07/10</x:v>
      </x:c>
      <x:c r="C816" s="10" t="d">
        <x:v>2026-09-14T12:00:00.000Z</x:v>
      </x:c>
      <x:c r="D816" s="11" t="n">
        <x:v>0</x:v>
      </x:c>
      <x:c r="E816" s="11" t="n">
        <x:v>0</x:v>
      </x:c>
      <x:c r="F816" s="11" t="n">
        <x:v>0</x:v>
      </x:c>
      <x:c r="G816" s="12" t="n">
        <x:v>0</x:v>
      </x:c>
      <x:c r="H816" s="9" t="n">
        <x:v>0</x:v>
      </x:c>
      <x:c r="I816" s="9"/>
      <x:c r="J816" s="13"/>
      <x:c r="K816" s="9" t="str">
        <x:v>Exportado</x:v>
      </x:c>
      <x:c r="L816" s="9" t="str">
        <x:v>F092, F093, F094</x:v>
      </x:c>
    </x:row>
    <x:row r="817" ht="24" customHeight="1">
      <x:c r="A817" s="9" t="str">
        <x:v>C08</x:v>
      </x:c>
      <x:c r="B817" s="9" t="str">
        <x:v>[TRON] - YouTube 04 -  VT 5 Seg - {Reg SC} - 07/10</x:v>
      </x:c>
      <x:c r="C817" s="10" t="d">
        <x:v>2026-09-15T12:00:00.000Z</x:v>
      </x:c>
      <x:c r="D817" s="11" t="n">
        <x:v>0</x:v>
      </x:c>
      <x:c r="E817" s="11" t="n">
        <x:v>0</x:v>
      </x:c>
      <x:c r="F817" s="11" t="n">
        <x:v>0</x:v>
      </x:c>
      <x:c r="G817" s="12" t="n">
        <x:v>0</x:v>
      </x:c>
      <x:c r="H817" s="9" t="n">
        <x:v>0</x:v>
      </x:c>
      <x:c r="I817" s="9"/>
      <x:c r="J817" s="13"/>
      <x:c r="K817" s="9" t="str">
        <x:v>Exportado</x:v>
      </x:c>
      <x:c r="L817" s="9" t="str">
        <x:v>F092, F093, F094</x:v>
      </x:c>
    </x:row>
    <x:row r="818" ht="24" customHeight="1">
      <x:c r="A818" s="9" t="str">
        <x:v>C08</x:v>
      </x:c>
      <x:c r="B818" s="9" t="str">
        <x:v>[TRON] - YouTube 04 -  VT 5 Seg - {Reg SC} - 07/10</x:v>
      </x:c>
      <x:c r="C818" s="10" t="d">
        <x:v>2026-09-16T12:00:00.000Z</x:v>
      </x:c>
      <x:c r="D818" s="11" t="n">
        <x:v>0</x:v>
      </x:c>
      <x:c r="E818" s="11" t="n">
        <x:v>0</x:v>
      </x:c>
      <x:c r="F818" s="11" t="n">
        <x:v>0</x:v>
      </x:c>
      <x:c r="G818" s="12" t="n">
        <x:v>0</x:v>
      </x:c>
      <x:c r="H818" s="9" t="n">
        <x:v>0</x:v>
      </x:c>
      <x:c r="I818" s="9"/>
      <x:c r="J818" s="13"/>
      <x:c r="K818" s="9" t="str">
        <x:v>Exportado</x:v>
      </x:c>
      <x:c r="L818" s="9" t="str">
        <x:v>F092, F093, F094</x:v>
      </x:c>
    </x:row>
    <x:row r="819" ht="24" customHeight="1">
      <x:c r="A819" s="9" t="str">
        <x:v>C08</x:v>
      </x:c>
      <x:c r="B819" s="9" t="str">
        <x:v>[TRON] - YouTube 04 -  VT 5 Seg - {Reg SC} - 07/10</x:v>
      </x:c>
      <x:c r="C819" s="10" t="d">
        <x:v>2026-09-17T12:00:00.000Z</x:v>
      </x:c>
      <x:c r="D819" s="11" t="n">
        <x:v>0</x:v>
      </x:c>
      <x:c r="E819" s="11" t="n">
        <x:v>0</x:v>
      </x:c>
      <x:c r="F819" s="11" t="n">
        <x:v>0</x:v>
      </x:c>
      <x:c r="G819" s="12" t="n">
        <x:v>0</x:v>
      </x:c>
      <x:c r="H819" s="9" t="n">
        <x:v>0</x:v>
      </x:c>
      <x:c r="I819" s="9"/>
      <x:c r="J819" s="13"/>
      <x:c r="K819" s="9" t="str">
        <x:v>Exportado</x:v>
      </x:c>
      <x:c r="L819" s="9" t="str">
        <x:v>F092, F093, F094</x:v>
      </x:c>
    </x:row>
    <x:row r="820" ht="24" customHeight="1">
      <x:c r="A820" s="9" t="str">
        <x:v>C08</x:v>
      </x:c>
      <x:c r="B820" s="9" t="str">
        <x:v>[TRON] - YouTube 04 -  VT 5 Seg - {Reg SC} - 07/10</x:v>
      </x:c>
      <x:c r="C820" s="10" t="d">
        <x:v>2026-09-18T12:00:00.000Z</x:v>
      </x:c>
      <x:c r="D820" s="11" t="n">
        <x:v>0</x:v>
      </x:c>
      <x:c r="E820" s="11" t="n">
        <x:v>0</x:v>
      </x:c>
      <x:c r="F820" s="11" t="n">
        <x:v>0</x:v>
      </x:c>
      <x:c r="G820" s="12" t="n">
        <x:v>0</x:v>
      </x:c>
      <x:c r="H820" s="9" t="n">
        <x:v>0</x:v>
      </x:c>
      <x:c r="I820" s="9"/>
      <x:c r="J820" s="13"/>
      <x:c r="K820" s="9" t="str">
        <x:v>Exportado</x:v>
      </x:c>
      <x:c r="L820" s="9" t="str">
        <x:v>F092, F093, F094</x:v>
      </x:c>
    </x:row>
    <x:row r="821" ht="24" customHeight="1">
      <x:c r="A821" s="9" t="str">
        <x:v>C08</x:v>
      </x:c>
      <x:c r="B821" s="9" t="str">
        <x:v>[TRON] - YouTube 04 -  VT 5 Seg - {Reg SC} - 07/10</x:v>
      </x:c>
      <x:c r="C821" s="10" t="d">
        <x:v>2026-09-19T12:00:00.000Z</x:v>
      </x:c>
      <x:c r="D821" s="11" t="n">
        <x:v>0</x:v>
      </x:c>
      <x:c r="E821" s="11" t="n">
        <x:v>0</x:v>
      </x:c>
      <x:c r="F821" s="11" t="n">
        <x:v>0</x:v>
      </x:c>
      <x:c r="G821" s="12" t="n">
        <x:v>0</x:v>
      </x:c>
      <x:c r="H821" s="9" t="n">
        <x:v>0</x:v>
      </x:c>
      <x:c r="I821" s="9"/>
      <x:c r="J821" s="13"/>
      <x:c r="K821" s="9" t="str">
        <x:v>Exportado</x:v>
      </x:c>
      <x:c r="L821" s="9" t="str">
        <x:v>F092, F093, F094</x:v>
      </x:c>
    </x:row>
    <x:row r="822" ht="24" customHeight="1">
      <x:c r="A822" s="9" t="str">
        <x:v>C08</x:v>
      </x:c>
      <x:c r="B822" s="9" t="str">
        <x:v>[TRON] - YouTube 04 -  VT 5 Seg - {Reg SC} - 07/10</x:v>
      </x:c>
      <x:c r="C822" s="10" t="d">
        <x:v>2026-09-20T12:00:00.000Z</x:v>
      </x:c>
      <x:c r="D822" s="11" t="n">
        <x:v>0</x:v>
      </x:c>
      <x:c r="E822" s="11" t="n">
        <x:v>0</x:v>
      </x:c>
      <x:c r="F822" s="11" t="n">
        <x:v>0</x:v>
      </x:c>
      <x:c r="G822" s="12" t="n">
        <x:v>0</x:v>
      </x:c>
      <x:c r="H822" s="9" t="n">
        <x:v>0</x:v>
      </x:c>
      <x:c r="I822" s="9"/>
      <x:c r="J822" s="13"/>
      <x:c r="K822" s="9" t="str">
        <x:v>Exportado</x:v>
      </x:c>
      <x:c r="L822" s="9" t="str">
        <x:v>F092, F093, F094</x:v>
      </x:c>
    </x:row>
    <x:row r="823" ht="24" customHeight="1">
      <x:c r="A823" s="9" t="str">
        <x:v>C08</x:v>
      </x:c>
      <x:c r="B823" s="9" t="str">
        <x:v>[TRON] - YouTube 04 -  VT 5 Seg - {Reg SC} - 07/10</x:v>
      </x:c>
      <x:c r="C823" s="10" t="d">
        <x:v>2026-09-21T12:00:00.000Z</x:v>
      </x:c>
      <x:c r="D823" s="11" t="n">
        <x:v>0</x:v>
      </x:c>
      <x:c r="E823" s="11" t="n">
        <x:v>0</x:v>
      </x:c>
      <x:c r="F823" s="11" t="n">
        <x:v>0</x:v>
      </x:c>
      <x:c r="G823" s="12" t="n">
        <x:v>0</x:v>
      </x:c>
      <x:c r="H823" s="9" t="n">
        <x:v>0</x:v>
      </x:c>
      <x:c r="I823" s="9"/>
      <x:c r="J823" s="13"/>
      <x:c r="K823" s="9" t="str">
        <x:v>Exportado</x:v>
      </x:c>
      <x:c r="L823" s="9" t="str">
        <x:v>F092, F093, F094</x:v>
      </x:c>
    </x:row>
    <x:row r="824" ht="24" customHeight="1">
      <x:c r="A824" s="9" t="str">
        <x:v>C08</x:v>
      </x:c>
      <x:c r="B824" s="9" t="str">
        <x:v>[TRON] - YouTube 04 -  VT 5 Seg - {Reg SC} - 07/10</x:v>
      </x:c>
      <x:c r="C824" s="10" t="d">
        <x:v>2026-09-22T12:00:00.000Z</x:v>
      </x:c>
      <x:c r="D824" s="11" t="n">
        <x:v>0</x:v>
      </x:c>
      <x:c r="E824" s="11" t="n">
        <x:v>0</x:v>
      </x:c>
      <x:c r="F824" s="11" t="n">
        <x:v>0</x:v>
      </x:c>
      <x:c r="G824" s="12" t="n">
        <x:v>0</x:v>
      </x:c>
      <x:c r="H824" s="9" t="n">
        <x:v>0</x:v>
      </x:c>
      <x:c r="I824" s="9"/>
      <x:c r="J824" s="13"/>
      <x:c r="K824" s="9" t="str">
        <x:v>Exportado</x:v>
      </x:c>
      <x:c r="L824" s="9" t="str">
        <x:v>F092, F093, F094</x:v>
      </x:c>
    </x:row>
    <x:row r="825" ht="24" customHeight="1">
      <x:c r="A825" s="9" t="str">
        <x:v>C08</x:v>
      </x:c>
      <x:c r="B825" s="9" t="str">
        <x:v>[TRON] - YouTube 04 -  VT 5 Seg - {Reg SC} - 07/10</x:v>
      </x:c>
      <x:c r="C825" s="10" t="d">
        <x:v>2026-09-23T12:00:00.000Z</x:v>
      </x:c>
      <x:c r="D825" s="11" t="n">
        <x:v>0</x:v>
      </x:c>
      <x:c r="E825" s="11" t="n">
        <x:v>0</x:v>
      </x:c>
      <x:c r="F825" s="11" t="n">
        <x:v>0</x:v>
      </x:c>
      <x:c r="G825" s="12" t="n">
        <x:v>0</x:v>
      </x:c>
      <x:c r="H825" s="9" t="n">
        <x:v>0</x:v>
      </x:c>
      <x:c r="I825" s="9"/>
      <x:c r="J825" s="13"/>
      <x:c r="K825" s="9" t="str">
        <x:v>Exportado</x:v>
      </x:c>
      <x:c r="L825" s="9" t="str">
        <x:v>F092, F093, F094</x:v>
      </x:c>
    </x:row>
    <x:row r="826" ht="24" customHeight="1">
      <x:c r="A826" s="9" t="str">
        <x:v>C08</x:v>
      </x:c>
      <x:c r="B826" s="9" t="str">
        <x:v>[TRON] - YouTube 04 -  VT 5 Seg - {Reg SC} - 07/10</x:v>
      </x:c>
      <x:c r="C826" s="10" t="d">
        <x:v>2026-09-24T12:00:00.000Z</x:v>
      </x:c>
      <x:c r="D826" s="11" t="n">
        <x:v>0</x:v>
      </x:c>
      <x:c r="E826" s="11" t="n">
        <x:v>0</x:v>
      </x:c>
      <x:c r="F826" s="11" t="n">
        <x:v>0</x:v>
      </x:c>
      <x:c r="G826" s="12" t="n">
        <x:v>0</x:v>
      </x:c>
      <x:c r="H826" s="9" t="n">
        <x:v>0</x:v>
      </x:c>
      <x:c r="I826" s="9"/>
      <x:c r="J826" s="13"/>
      <x:c r="K826" s="9" t="str">
        <x:v>Exportado</x:v>
      </x:c>
      <x:c r="L826" s="9" t="str">
        <x:v>F092, F093, F094</x:v>
      </x:c>
    </x:row>
    <x:row r="827" ht="24" customHeight="1">
      <x:c r="A827" s="9" t="str">
        <x:v>C08</x:v>
      </x:c>
      <x:c r="B827" s="9" t="str">
        <x:v>[TRON] - YouTube 04 -  VT 5 Seg - {Reg SC} - 07/10</x:v>
      </x:c>
      <x:c r="C827" s="10" t="d">
        <x:v>2026-09-25T12:00:00.000Z</x:v>
      </x:c>
      <x:c r="D827" s="11" t="n">
        <x:v>0</x:v>
      </x:c>
      <x:c r="E827" s="11" t="n">
        <x:v>0</x:v>
      </x:c>
      <x:c r="F827" s="11" t="n">
        <x:v>0</x:v>
      </x:c>
      <x:c r="G827" s="12" t="n">
        <x:v>0</x:v>
      </x:c>
      <x:c r="H827" s="9" t="n">
        <x:v>0</x:v>
      </x:c>
      <x:c r="I827" s="9"/>
      <x:c r="J827" s="13"/>
      <x:c r="K827" s="9" t="str">
        <x:v>Exportado</x:v>
      </x:c>
      <x:c r="L827" s="9" t="str">
        <x:v>F092, F093, F094</x:v>
      </x:c>
    </x:row>
    <x:row r="828" ht="24" customHeight="1">
      <x:c r="A828" s="9" t="str">
        <x:v>C08</x:v>
      </x:c>
      <x:c r="B828" s="9" t="str">
        <x:v>[TRON] - YouTube 04 -  VT 5 Seg - {Reg SC} - 07/10</x:v>
      </x:c>
      <x:c r="C828" s="10" t="d">
        <x:v>2026-09-26T12:00:00.000Z</x:v>
      </x:c>
      <x:c r="D828" s="11" t="n">
        <x:v>0</x:v>
      </x:c>
      <x:c r="E828" s="11" t="n">
        <x:v>0</x:v>
      </x:c>
      <x:c r="F828" s="11" t="n">
        <x:v>0</x:v>
      </x:c>
      <x:c r="G828" s="12" t="n">
        <x:v>0</x:v>
      </x:c>
      <x:c r="H828" s="9" t="n">
        <x:v>0</x:v>
      </x:c>
      <x:c r="I828" s="9"/>
      <x:c r="J828" s="13"/>
      <x:c r="K828" s="9" t="str">
        <x:v>Exportado</x:v>
      </x:c>
      <x:c r="L828" s="9" t="str">
        <x:v>F092, F093, F094</x:v>
      </x:c>
    </x:row>
    <x:row r="829" ht="24" customHeight="1">
      <x:c r="A829" s="9" t="str">
        <x:v>C08</x:v>
      </x:c>
      <x:c r="B829" s="9" t="str">
        <x:v>[TRON] - YouTube 04 -  VT 5 Seg - {Reg SC} - 07/10</x:v>
      </x:c>
      <x:c r="C829" s="10" t="d">
        <x:v>2026-09-27T12:00:00.000Z</x:v>
      </x:c>
      <x:c r="D829" s="11" t="n">
        <x:v>0</x:v>
      </x:c>
      <x:c r="E829" s="11" t="n">
        <x:v>0</x:v>
      </x:c>
      <x:c r="F829" s="11" t="n">
        <x:v>0</x:v>
      </x:c>
      <x:c r="G829" s="12" t="n">
        <x:v>0</x:v>
      </x:c>
      <x:c r="H829" s="9" t="n">
        <x:v>0</x:v>
      </x:c>
      <x:c r="I829" s="9"/>
      <x:c r="J829" s="13"/>
      <x:c r="K829" s="9" t="str">
        <x:v>Exportado</x:v>
      </x:c>
      <x:c r="L829" s="9" t="str">
        <x:v>F092, F093, F094</x:v>
      </x:c>
    </x:row>
    <x:row r="830" ht="24" customHeight="1">
      <x:c r="A830" s="9" t="str">
        <x:v>C08</x:v>
      </x:c>
      <x:c r="B830" s="9" t="str">
        <x:v>[TRON] - YouTube 04 -  VT 5 Seg - {Reg SC} - 07/10</x:v>
      </x:c>
      <x:c r="C830" s="10" t="d">
        <x:v>2026-09-28T12:00:00.000Z</x:v>
      </x:c>
      <x:c r="D830" s="11" t="n">
        <x:v>0</x:v>
      </x:c>
      <x:c r="E830" s="11" t="n">
        <x:v>0</x:v>
      </x:c>
      <x:c r="F830" s="11" t="n">
        <x:v>0</x:v>
      </x:c>
      <x:c r="G830" s="12" t="n">
        <x:v>0</x:v>
      </x:c>
      <x:c r="H830" s="9" t="n">
        <x:v>0</x:v>
      </x:c>
      <x:c r="I830" s="9"/>
      <x:c r="J830" s="13"/>
      <x:c r="K830" s="9" t="str">
        <x:v>Exportado</x:v>
      </x:c>
      <x:c r="L830" s="9" t="str">
        <x:v>F092, F093, F094</x:v>
      </x:c>
    </x:row>
    <x:row r="831" ht="24" customHeight="1">
      <x:c r="A831" s="9" t="str">
        <x:v>C08</x:v>
      </x:c>
      <x:c r="B831" s="9" t="str">
        <x:v>[TRON] - YouTube 04 -  VT 5 Seg - {Reg SC} - 07/10</x:v>
      </x:c>
      <x:c r="C831" s="10" t="d">
        <x:v>2026-09-29T12:00:00.000Z</x:v>
      </x:c>
      <x:c r="D831" s="11" t="n">
        <x:v>0</x:v>
      </x:c>
      <x:c r="E831" s="11" t="n">
        <x:v>0</x:v>
      </x:c>
      <x:c r="F831" s="11" t="n">
        <x:v>0</x:v>
      </x:c>
      <x:c r="G831" s="12" t="n">
        <x:v>0</x:v>
      </x:c>
      <x:c r="H831" s="9" t="n">
        <x:v>0</x:v>
      </x:c>
      <x:c r="I831" s="9"/>
      <x:c r="J831" s="13"/>
      <x:c r="K831" s="9" t="str">
        <x:v>Exportado</x:v>
      </x:c>
      <x:c r="L831" s="9" t="str">
        <x:v>F092, F093, F094</x:v>
      </x:c>
    </x:row>
    <x:row r="832" ht="24" customHeight="1">
      <x:c r="A832" s="9" t="str">
        <x:v>C08</x:v>
      </x:c>
      <x:c r="B832" s="9" t="str">
        <x:v>[TRON] - YouTube 04 -  VT 5 Seg - {Reg SC} - 07/10</x:v>
      </x:c>
      <x:c r="C832" s="10" t="d">
        <x:v>2026-09-30T12:00:00.000Z</x:v>
      </x:c>
      <x:c r="D832" s="11" t="n">
        <x:v>0</x:v>
      </x:c>
      <x:c r="E832" s="11" t="n">
        <x:v>0</x:v>
      </x:c>
      <x:c r="F832" s="11" t="n">
        <x:v>0</x:v>
      </x:c>
      <x:c r="G832" s="12" t="n">
        <x:v>0</x:v>
      </x:c>
      <x:c r="H832" s="9" t="n">
        <x:v>0</x:v>
      </x:c>
      <x:c r="I832" s="9"/>
      <x:c r="J832" s="13"/>
      <x:c r="K832" s="9" t="str">
        <x:v>Exportado</x:v>
      </x:c>
      <x:c r="L832" s="9" t="str">
        <x:v>F092, F093, F094</x:v>
      </x:c>
    </x:row>
    <x:row r="833" ht="24" customHeight="1">
      <x:c r="A833" s="9" t="str">
        <x:v>C08</x:v>
      </x:c>
      <x:c r="B833" s="9" t="str">
        <x:v>[TRON] - YouTube 04 -  VT 5 Seg - {Reg SC} - 07/10</x:v>
      </x:c>
      <x:c r="C833" s="10" t="d">
        <x:v>2026-10-01T12:00:00.000Z</x:v>
      </x:c>
      <x:c r="D833" s="11" t="n">
        <x:v>0</x:v>
      </x:c>
      <x:c r="E833" s="11" t="n">
        <x:v>0</x:v>
      </x:c>
      <x:c r="F833" s="11" t="n">
        <x:v>0</x:v>
      </x:c>
      <x:c r="G833" s="12" t="n">
        <x:v>0</x:v>
      </x:c>
      <x:c r="H833" s="9" t="n">
        <x:v>0</x:v>
      </x:c>
      <x:c r="I833" s="9"/>
      <x:c r="J833" s="13"/>
      <x:c r="K833" s="9" t="str">
        <x:v>Exportado</x:v>
      </x:c>
      <x:c r="L833" s="9" t="str">
        <x:v>F092, F093, F094</x:v>
      </x:c>
    </x:row>
    <x:row r="834" ht="24" customHeight="1">
      <x:c r="A834" s="9" t="str">
        <x:v>C08</x:v>
      </x:c>
      <x:c r="B834" s="9" t="str">
        <x:v>[TRON] - YouTube 04 -  VT 5 Seg - {Reg SC} - 07/10</x:v>
      </x:c>
      <x:c r="C834" s="10" t="d">
        <x:v>2026-10-02T12:00:00.000Z</x:v>
      </x:c>
      <x:c r="D834" s="11" t="n">
        <x:v>0</x:v>
      </x:c>
      <x:c r="E834" s="11" t="n">
        <x:v>0</x:v>
      </x:c>
      <x:c r="F834" s="11" t="n">
        <x:v>0</x:v>
      </x:c>
      <x:c r="G834" s="12" t="n">
        <x:v>0</x:v>
      </x:c>
      <x:c r="H834" s="9" t="n">
        <x:v>0</x:v>
      </x:c>
      <x:c r="I834" s="9"/>
      <x:c r="J834" s="13"/>
      <x:c r="K834" s="9" t="str">
        <x:v>Exportado</x:v>
      </x:c>
      <x:c r="L834" s="9" t="str">
        <x:v>F092, F093, F094</x:v>
      </x:c>
    </x:row>
    <x:row r="835" ht="24" customHeight="1">
      <x:c r="A835" s="9" t="str">
        <x:v>C08</x:v>
      </x:c>
      <x:c r="B835" s="9" t="str">
        <x:v>[TRON] - YouTube 04 -  VT 5 Seg - {Reg SC} - 07/10</x:v>
      </x:c>
      <x:c r="C835" s="10" t="d">
        <x:v>2026-10-03T12:00:00.000Z</x:v>
      </x:c>
      <x:c r="D835" s="11" t="n">
        <x:v>0</x:v>
      </x:c>
      <x:c r="E835" s="11" t="n">
        <x:v>0</x:v>
      </x:c>
      <x:c r="F835" s="11" t="n">
        <x:v>0</x:v>
      </x:c>
      <x:c r="G835" s="12" t="n">
        <x:v>0</x:v>
      </x:c>
      <x:c r="H835" s="9" t="n">
        <x:v>0</x:v>
      </x:c>
      <x:c r="I835" s="9"/>
      <x:c r="J835" s="13"/>
      <x:c r="K835" s="9" t="str">
        <x:v>Exportado</x:v>
      </x:c>
      <x:c r="L835" s="9" t="str">
        <x:v>F092, F093, F094</x:v>
      </x:c>
    </x:row>
    <x:row r="836" ht="24" customHeight="1">
      <x:c r="A836" s="9" t="str">
        <x:v>C08</x:v>
      </x:c>
      <x:c r="B836" s="9" t="str">
        <x:v>[TRON] - YouTube 04 -  VT 5 Seg - {Reg SC} - 07/10</x:v>
      </x:c>
      <x:c r="C836" s="10" t="d">
        <x:v>2026-10-04T12:00:00.000Z</x:v>
      </x:c>
      <x:c r="D836" s="11" t="n">
        <x:v>0</x:v>
      </x:c>
      <x:c r="E836" s="11" t="n">
        <x:v>0</x:v>
      </x:c>
      <x:c r="F836" s="11" t="n">
        <x:v>0</x:v>
      </x:c>
      <x:c r="G836" s="12" t="n">
        <x:v>0</x:v>
      </x:c>
      <x:c r="H836" s="9" t="n">
        <x:v>0</x:v>
      </x:c>
      <x:c r="I836" s="9"/>
      <x:c r="J836" s="13"/>
      <x:c r="K836" s="9" t="str">
        <x:v>Exportado</x:v>
      </x:c>
      <x:c r="L836" s="9" t="str">
        <x:v>F092, F093, F094</x:v>
      </x:c>
    </x:row>
    <x:row r="837" ht="24" customHeight="1">
      <x:c r="A837" s="9" t="str">
        <x:v>C08</x:v>
      </x:c>
      <x:c r="B837" s="9" t="str">
        <x:v>[TRON] - YouTube 04 -  VT 5 Seg - {Reg SC} - 07/10</x:v>
      </x:c>
      <x:c r="C837" s="10" t="d">
        <x:v>2026-10-05T12:00:00.000Z</x:v>
      </x:c>
      <x:c r="D837" s="11" t="n">
        <x:v>0</x:v>
      </x:c>
      <x:c r="E837" s="11" t="n">
        <x:v>0</x:v>
      </x:c>
      <x:c r="F837" s="11" t="n">
        <x:v>0</x:v>
      </x:c>
      <x:c r="G837" s="12" t="n">
        <x:v>0</x:v>
      </x:c>
      <x:c r="H837" s="9" t="n">
        <x:v>0</x:v>
      </x:c>
      <x:c r="I837" s="9"/>
      <x:c r="J837" s="13"/>
      <x:c r="K837" s="9" t="str">
        <x:v>Exportado</x:v>
      </x:c>
      <x:c r="L837" s="9" t="str">
        <x:v>F092, F093, F094</x:v>
      </x:c>
    </x:row>
    <x:row r="838" ht="24" customHeight="1">
      <x:c r="A838" s="9" t="str">
        <x:v>C08</x:v>
      </x:c>
      <x:c r="B838" s="9" t="str">
        <x:v>[TRON] - YouTube 04 -  VT 5 Seg - {Reg SC} - 07/10</x:v>
      </x:c>
      <x:c r="C838" s="10" t="d">
        <x:v>2026-10-06T12:00:00.000Z</x:v>
      </x:c>
      <x:c r="D838" s="11" t="n">
        <x:v>0</x:v>
      </x:c>
      <x:c r="E838" s="11" t="n">
        <x:v>0</x:v>
      </x:c>
      <x:c r="F838" s="11" t="n">
        <x:v>0</x:v>
      </x:c>
      <x:c r="G838" s="12" t="n">
        <x:v>0</x:v>
      </x:c>
      <x:c r="H838" s="9" t="n">
        <x:v>0</x:v>
      </x:c>
      <x:c r="I838" s="9"/>
      <x:c r="J838" s="13"/>
      <x:c r="K838" s="9" t="str">
        <x:v>Exportado</x:v>
      </x:c>
      <x:c r="L838" s="9" t="str">
        <x:v>F092, F093, F094</x:v>
      </x:c>
    </x:row>
    <x:row r="839" ht="24" customHeight="1">
      <x:c r="A839" s="9" t="str">
        <x:v>C08</x:v>
      </x:c>
      <x:c r="B839" s="9" t="str">
        <x:v>[TRON] - YouTube 04 -  VT 5 Seg - {Reg SC} - 07/10</x:v>
      </x:c>
      <x:c r="C839" s="10" t="d">
        <x:v>2026-10-07T12:00:00.000Z</x:v>
      </x:c>
      <x:c r="D839" s="11" t="n">
        <x:v>4257</x:v>
      </x:c>
      <x:c r="E839" s="11" t="n">
        <x:v>757</x:v>
      </x:c>
      <x:c r="F839" s="11" t="n">
        <x:v>36</x:v>
      </x:c>
      <x:c r="G839" s="12" t="n">
        <x:v>15.03</x:v>
      </x:c>
      <x:c r="H839" s="9" t="n">
        <x:v>8</x:v>
      </x:c>
      <x:c r="I839" s="9"/>
      <x:c r="J839" s="13" t="n">
        <x:v>0</x:v>
      </x:c>
      <x:c r="K839" s="9" t="str">
        <x:v>Exportado</x:v>
      </x:c>
      <x:c r="L839" s="9" t="str">
        <x:v>F092, F093, F094</x:v>
      </x:c>
    </x:row>
    <x:row r="840" ht="24" customHeight="1">
      <x:c r="A840" s="9" t="str">
        <x:v>C08</x:v>
      </x:c>
      <x:c r="B840" s="9" t="str">
        <x:v>[TRON] - YouTube 04 -  VT 5 Seg - {Reg SC} - 07/10</x:v>
      </x:c>
      <x:c r="C840" s="10" t="d">
        <x:v>2026-10-08T12:00:00.000Z</x:v>
      </x:c>
      <x:c r="D840" s="11" t="n">
        <x:v>6178</x:v>
      </x:c>
      <x:c r="E840" s="11" t="n">
        <x:v>1659</x:v>
      </x:c>
      <x:c r="F840" s="11" t="n">
        <x:v>24</x:v>
      </x:c>
      <x:c r="G840" s="12" t="n">
        <x:v>15.68</x:v>
      </x:c>
      <x:c r="H840" s="9" t="n">
        <x:v>10</x:v>
      </x:c>
      <x:c r="I840" s="9"/>
      <x:c r="J840" s="13" t="n">
        <x:v>0.0039000000000000003</x:v>
      </x:c>
      <x:c r="K840" s="9" t="str">
        <x:v>Exportado</x:v>
      </x:c>
      <x:c r="L840" s="9" t="str">
        <x:v>F092, F093, F094</x:v>
      </x:c>
    </x:row>
    <x:row r="841" ht="24" customHeight="1">
      <x:c r="A841" s="9" t="str">
        <x:v>C08</x:v>
      </x:c>
      <x:c r="B841" s="9" t="str">
        <x:v>[TRON] - YouTube 04 -  VT 5 Seg - {Reg SC} - 07/10</x:v>
      </x:c>
      <x:c r="C841" s="10" t="d">
        <x:v>2026-10-09T12:00:00.000Z</x:v>
      </x:c>
      <x:c r="D841" s="11" t="n">
        <x:v>6214</x:v>
      </x:c>
      <x:c r="E841" s="11" t="n">
        <x:v>3341</x:v>
      </x:c>
      <x:c r="F841" s="11" t="n">
        <x:v>21</x:v>
      </x:c>
      <x:c r="G841" s="12" t="n">
        <x:v>15.85</x:v>
      </x:c>
      <x:c r="H841" s="9" t="n">
        <x:v>2</x:v>
      </x:c>
      <x:c r="I841" s="9"/>
      <x:c r="J841" s="13" t="n">
        <x:v>0.0088</x:v>
      </x:c>
      <x:c r="K841" s="9" t="str">
        <x:v>Exportado</x:v>
      </x:c>
      <x:c r="L841" s="9" t="str">
        <x:v>F092, F093, F094</x:v>
      </x:c>
    </x:row>
    <x:row r="842" ht="24" customHeight="1">
      <x:c r="A842" s="9" t="str">
        <x:v>C08</x:v>
      </x:c>
      <x:c r="B842" s="9" t="str">
        <x:v>[TRON] - YouTube 04 -  VT 5 Seg - {Reg SC} - 07/10</x:v>
      </x:c>
      <x:c r="C842" s="10" t="d">
        <x:v>2026-10-10T12:00:00.000Z</x:v>
      </x:c>
      <x:c r="D842" s="11" t="n">
        <x:v>5989</x:v>
      </x:c>
      <x:c r="E842" s="11" t="n">
        <x:v>2633</x:v>
      </x:c>
      <x:c r="F842" s="11" t="n">
        <x:v>10</x:v>
      </x:c>
      <x:c r="G842" s="12" t="n">
        <x:v>15.71</x:v>
      </x:c>
      <x:c r="H842" s="9" t="n">
        <x:v>3</x:v>
      </x:c>
      <x:c r="I842" s="9"/>
      <x:c r="J842" s="13" t="n">
        <x:v>0</x:v>
      </x:c>
      <x:c r="K842" s="9" t="str">
        <x:v>Exportado</x:v>
      </x:c>
      <x:c r="L842" s="9" t="str">
        <x:v>F092, F093, F094</x:v>
      </x:c>
    </x:row>
    <x:row r="843" ht="24" customHeight="1">
      <x:c r="A843" s="9" t="str">
        <x:v>C08</x:v>
      </x:c>
      <x:c r="B843" s="9" t="str">
        <x:v>[TRON] - YouTube 04 -  VT 5 Seg - {Reg SC} - 07/10</x:v>
      </x:c>
      <x:c r="C843" s="10" t="d">
        <x:v>2026-10-11T12:00:00.000Z</x:v>
      </x:c>
      <x:c r="D843" s="11" t="n">
        <x:v>6137</x:v>
      </x:c>
      <x:c r="E843" s="11" t="n">
        <x:v>2558</x:v>
      </x:c>
      <x:c r="F843" s="11" t="n">
        <x:v>10</x:v>
      </x:c>
      <x:c r="G843" s="12" t="n">
        <x:v>15.66</x:v>
      </x:c>
      <x:c r="H843" s="9" t="n">
        <x:v>5</x:v>
      </x:c>
      <x:c r="I843" s="9"/>
      <x:c r="J843" s="13" t="n">
        <x:v>0.0034999999999999996</x:v>
      </x:c>
      <x:c r="K843" s="9" t="str">
        <x:v>Exportado</x:v>
      </x:c>
      <x:c r="L843" s="9" t="str">
        <x:v>F092, F093, F094</x:v>
      </x:c>
    </x:row>
    <x:row r="844" ht="24" customHeight="1">
      <x:c r="A844" s="9" t="str">
        <x:v>C08</x:v>
      </x:c>
      <x:c r="B844" s="9" t="str">
        <x:v>[TRON] - YouTube 04 -  VT 5 Seg - {Reg SC} - 07/10</x:v>
      </x:c>
      <x:c r="C844" s="10" t="d">
        <x:v>2026-10-12T12:00:00.000Z</x:v>
      </x:c>
      <x:c r="D844" s="11" t="n">
        <x:v>6686</x:v>
      </x:c>
      <x:c r="E844" s="11" t="n">
        <x:v>2780</x:v>
      </x:c>
      <x:c r="F844" s="11" t="n">
        <x:v>12</x:v>
      </x:c>
      <x:c r="G844" s="12" t="n">
        <x:v>15.7</x:v>
      </x:c>
      <x:c r="H844" s="9" t="n">
        <x:v>9</x:v>
      </x:c>
      <x:c r="I844" s="9"/>
      <x:c r="J844" s="13" t="n">
        <x:v>0</x:v>
      </x:c>
      <x:c r="K844" s="9" t="str">
        <x:v>Exportado</x:v>
      </x:c>
      <x:c r="L844" s="9" t="str">
        <x:v>F092, F093, F094</x:v>
      </x:c>
    </x:row>
    <x:row r="845" ht="24" customHeight="1">
      <x:c r="A845" s="9" t="str">
        <x:v>C08</x:v>
      </x:c>
      <x:c r="B845" s="9" t="str">
        <x:v>[TRON] - YouTube 04 -  VT 5 Seg - {Reg SC} - 07/10</x:v>
      </x:c>
      <x:c r="C845" s="10" t="d">
        <x:v>2026-10-13T12:00:00.000Z</x:v>
      </x:c>
      <x:c r="D845" s="11" t="n">
        <x:v>6883</x:v>
      </x:c>
      <x:c r="E845" s="11" t="n">
        <x:v>2687</x:v>
      </x:c>
      <x:c r="F845" s="11" t="n">
        <x:v>8</x:v>
      </x:c>
      <x:c r="G845" s="12" t="n">
        <x:v>15.58</x:v>
      </x:c>
      <x:c r="H845" s="9" t="n">
        <x:v>8</x:v>
      </x:c>
      <x:c r="I845" s="9"/>
      <x:c r="J845" s="13" t="n">
        <x:v>0</x:v>
      </x:c>
      <x:c r="K845" s="9" t="str">
        <x:v>Exportado</x:v>
      </x:c>
      <x:c r="L845" s="9" t="str">
        <x:v>F092, F093, F094</x:v>
      </x:c>
    </x:row>
  </x:sheetData>
  <x:pageMargins left="0.7" right="0.7" top="0.75" bottom="0.75" header="0.3" footer="0.3"/>
  <x:tableParts count="1">
    <x:tablePart xmlns:r="http://schemas.openxmlformats.org/officeDocument/2006/relationships" r:id="Rc5f0efdf846341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6" hidden="0" customWidth="1"/>
    <x:col min="3" max="3" width="20" hidden="0" customWidth="1"/>
    <x:col min="4" max="4" width="28" hidden="0" customWidth="1"/>
    <x:col min="5" max="5" width="46" hidden="0" customWidth="1"/>
    <x:col min="6" max="6" width="25" hidden="0" customWidth="1"/>
    <x:col min="7" max="7" width="20" hidden="0" customWidth="1"/>
    <x:col min="8" max="8" width="22" hidden="0" customWidth="1"/>
    <x:col min="9" max="9" width="22" hidden="0" customWidth="1"/>
    <x:col min="10" max="10" width="23" hidden="0" customWidth="1"/>
    <x:col min="11" max="11" width="19" hidden="0" customWidth="1"/>
    <x:col min="12" max="12" width="24" hidden="0" customWidth="1"/>
    <x:col min="13" max="13" width="18" hidden="0" customWidth="1"/>
    <x:col min="14" max="14" width="18" hidden="0" customWidth="1"/>
    <x:col min="15" max="15" width="24" hidden="0" customWidth="1"/>
    <x:col min="16" max="16" width="54" hidden="0" customWidth="1"/>
    <x:col min="17" max="17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2" t="str">
        <x:v>Configuração e totais originais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Períodos originais preservados. Alcance e TrueView até 14/10 não representam automaticamente o recorte até 13/10.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8" t="str">
        <x:v>ID</x:v>
      </x:c>
      <x:c r="B5" s="8" t="str">
        <x:v>Campanha</x:v>
      </x:c>
      <x:c r="C5" s="8" t="str">
        <x:v>Status campanha</x:v>
      </x:c>
      <x:c r="D5" s="8" t="str">
        <x:v>Status de entrega</x:v>
      </x:c>
      <x:c r="E5" s="8" t="str">
        <x:v>Motivos</x:v>
      </x:c>
      <x:c r="F5" s="8" t="str">
        <x:v>Objetivo / subtipo</x:v>
      </x:c>
      <x:c r="G5" s="8" t="str">
        <x:v>TrueView original</x:v>
      </x:c>
      <x:c r="H5" s="8" t="str">
        <x:v>Impressões originais</x:v>
      </x:c>
      <x:c r="I5" s="8" t="str">
        <x:v>Custo original BRL</x:v>
      </x:c>
      <x:c r="J5" s="8" t="str">
        <x:v>Usuários exclusivos</x:v>
      </x:c>
      <x:c r="K5" s="8" t="str">
        <x:v>Orçamento BRL</x:v>
      </x:c>
      <x:c r="L5" s="8" t="str">
        <x:v>Tipo de orçamento</x:v>
      </x:c>
      <x:c r="M5" s="8" t="str">
        <x:v>CPV nativo BRL</x:v>
      </x:c>
      <x:c r="N5" s="8" t="str">
        <x:v>CPM nativo BRL</x:v>
      </x:c>
      <x:c r="O5" s="8" t="str">
        <x:v>Pontuação otimização</x:v>
      </x:c>
      <x:c r="P5" s="8" t="str">
        <x:v>Período original</x:v>
      </x:c>
      <x:c r="Q5" s="8" t="str">
        <x:v>Fonte</x:v>
      </x:c>
    </x:row>
    <x:row r="6" ht="24" customHeight="1">
      <x:c r="A6" s="9" t="str">
        <x:v>C01</x:v>
      </x:c>
      <x:c r="B6" s="9" t="str">
        <x:v>YT - Arrozes especiais Bahia 01</x:v>
      </x:c>
      <x:c r="C6" s="9" t="str">
        <x:v>Ativada</x:v>
      </x:c>
      <x:c r="D6" s="9" t="str">
        <x:v>Qualificado (limitado)</x:v>
      </x:c>
      <x:c r="E6" s="9" t="str">
        <x:v>limitado pelo orçamento</x:v>
      </x:c>
      <x:c r="F6" s="9" t="str">
        <x:v>Exibições de vídeos</x:v>
      </x:c>
      <x:c r="G6" s="11" t="n">
        <x:v>88639</x:v>
      </x:c>
      <x:c r="H6" s="11" t="n">
        <x:v>153603</x:v>
      </x:c>
      <x:c r="I6" s="12" t="n">
        <x:v>775.98</x:v>
      </x:c>
      <x:c r="J6" s="11"/>
      <x:c r="K6" s="12" t="n">
        <x:v>10</x:v>
      </x:c>
      <x:c r="L6" s="9" t="str">
        <x:v>Diário</x:v>
      </x:c>
      <x:c r="M6" s="12" t="n">
        <x:v>0.01</x:v>
      </x:c>
      <x:c r="N6" s="12" t="n">
        <x:v>5.05</x:v>
      </x:c>
      <x:c r="O6" s="9" t="n">
        <x:v>59.42</x:v>
      </x:c>
      <x:c r="P6" s="9" t="str">
        <x:v>1 de julho de 2026 - 13 de outubro de 2026</x:v>
      </x:c>
      <x:c r="Q6" s="9" t="str">
        <x:v>F005</x:v>
      </x:c>
    </x:row>
    <x:row r="7" ht="24" customHeight="1">
      <x:c r="A7" s="9" t="str">
        <x:v>C02</x:v>
      </x:c>
      <x:c r="B7" s="9" t="str">
        <x:v>YT - Arrozes especiais Bahia 02</x:v>
      </x:c>
      <x:c r="C7" s="9" t="str">
        <x:v>Ativada</x:v>
      </x:c>
      <x:c r="D7" s="9" t="str">
        <x:v>Qualificado (limitado)</x:v>
      </x:c>
      <x:c r="E7" s="9" t="str">
        <x:v>limitado pelo orçamento</x:v>
      </x:c>
      <x:c r="F7" s="9" t="str">
        <x:v>Exibições de vídeos</x:v>
      </x:c>
      <x:c r="G7" s="11" t="n">
        <x:v>98697</x:v>
      </x:c>
      <x:c r="H7" s="11" t="n">
        <x:v>172592</x:v>
      </x:c>
      <x:c r="I7" s="12" t="n">
        <x:v>765.76</x:v>
      </x:c>
      <x:c r="J7" s="11"/>
      <x:c r="K7" s="12" t="n">
        <x:v>10</x:v>
      </x:c>
      <x:c r="L7" s="9" t="str">
        <x:v>Diário</x:v>
      </x:c>
      <x:c r="M7" s="12" t="n">
        <x:v>0.01</x:v>
      </x:c>
      <x:c r="N7" s="12" t="n">
        <x:v>4.44</x:v>
      </x:c>
      <x:c r="O7" s="9" t="n">
        <x:v>59.42</x:v>
      </x:c>
      <x:c r="P7" s="9" t="str">
        <x:v>1 de julho de 2026 - 13 de outubro de 2026</x:v>
      </x:c>
      <x:c r="Q7" s="9" t="str">
        <x:v>F012</x:v>
      </x:c>
    </x:row>
    <x:row r="8" ht="24" customHeight="1">
      <x:c r="A8" s="9" t="str">
        <x:v>C03</x:v>
      </x:c>
      <x:c r="B8" s="9" t="str">
        <x:v>YT - Arrozes especiais Bahia 03</x:v>
      </x:c>
      <x:c r="C8" s="9" t="str">
        <x:v>Ativada</x:v>
      </x:c>
      <x:c r="D8" s="9" t="str">
        <x:v>Qualificado (limitado)</x:v>
      </x:c>
      <x:c r="E8" s="9" t="str">
        <x:v>limitado pelo orçamento</x:v>
      </x:c>
      <x:c r="F8" s="9" t="str">
        <x:v>Exibições de vídeos</x:v>
      </x:c>
      <x:c r="G8" s="11" t="n">
        <x:v>100755</x:v>
      </x:c>
      <x:c r="H8" s="11" t="n">
        <x:v>172643</x:v>
      </x:c>
      <x:c r="I8" s="12" t="n">
        <x:v>765.94</x:v>
      </x:c>
      <x:c r="J8" s="11"/>
      <x:c r="K8" s="12" t="n">
        <x:v>10</x:v>
      </x:c>
      <x:c r="L8" s="9" t="str">
        <x:v>Diário</x:v>
      </x:c>
      <x:c r="M8" s="12" t="n">
        <x:v>0.01</x:v>
      </x:c>
      <x:c r="N8" s="12" t="n">
        <x:v>4.44</x:v>
      </x:c>
      <x:c r="O8" s="9" t="n">
        <x:v>59.42</x:v>
      </x:c>
      <x:c r="P8" s="9" t="str">
        <x:v>1 de julho de 2026 - 13 de outubro de 2026</x:v>
      </x:c>
      <x:c r="Q8" s="9" t="str">
        <x:v>F021</x:v>
      </x:c>
    </x:row>
    <x:row r="9" ht="24" customHeight="1">
      <x:c r="A9" s="9" t="str">
        <x:v>C04</x:v>
      </x:c>
      <x:c r="B9" s="9" t="str">
        <x:v>Remarketing Caçarola</x:v>
      </x:c>
      <x:c r="C9" s="9" t="str">
        <x:v>Pausada</x:v>
      </x:c>
      <x:c r="D9" s="9" t="str">
        <x:v>Pausado</x:v>
      </x:c>
      <x:c r="E9" s="9" t="str">
        <x:v>campanha pausada; limitado pelo orçamento</x:v>
      </x:c>
      <x:c r="F9" s="9" t="str">
        <x:v>Exibições de vídeos</x:v>
      </x:c>
      <x:c r="G9" s="11" t="n">
        <x:v>14802</x:v>
      </x:c>
      <x:c r="H9" s="11" t="n">
        <x:v>32176</x:v>
      </x:c>
      <x:c r="I9" s="12" t="n">
        <x:v>343.48</x:v>
      </x:c>
      <x:c r="J9" s="11" t="n">
        <x:v>28532</x:v>
      </x:c>
      <x:c r="K9" s="12" t="n">
        <x:v>10</x:v>
      </x:c>
      <x:c r="L9" s="9" t="str">
        <x:v>Diário</x:v>
      </x:c>
      <x:c r="M9" s="12" t="n">
        <x:v>0.02</x:v>
      </x:c>
      <x:c r="N9" s="12" t="n">
        <x:v>10.68</x:v>
      </x:c>
      <x:c r="O9" s="9"/>
      <x:c r="P9" s="9" t="str">
        <x:v>27 de agosto de 2026 - 14 de outubro de 2026</x:v>
      </x:c>
      <x:c r="Q9" s="9" t="str">
        <x:v>F036</x:v>
      </x:c>
    </x:row>
    <x:row r="10" ht="24" customHeight="1">
      <x:c r="A10" s="9" t="str">
        <x:v>C05</x:v>
      </x:c>
      <x:c r="B10" s="9" t="str">
        <x:v>[TRON] - YouTube 01 -  VT 5 Seg - {Reg SC} - 07/10</x:v>
      </x:c>
      <x:c r="C10" s="9" t="str">
        <x:v>Ativada</x:v>
      </x:c>
      <x:c r="D10" s="9" t="str">
        <x:v>Qualificado (limitado)</x:v>
      </x:c>
      <x:c r="E10" s="9" t="str">
        <x:v>limitado pelo orçamento</x:v>
      </x:c>
      <x:c r="F10" s="9" t="str">
        <x:v>Alcance eficiente</x:v>
      </x:c>
      <x:c r="G10" s="11" t="n">
        <x:v>3</x:v>
      </x:c>
      <x:c r="H10" s="11" t="n">
        <x:v>602</x:v>
      </x:c>
      <x:c r="I10" s="12" t="n">
        <x:v>1.27</x:v>
      </x:c>
      <x:c r="J10" s="11" t="n">
        <x:v>372</x:v>
      </x:c>
      <x:c r="K10" s="12" t="n">
        <x:v>15</x:v>
      </x:c>
      <x:c r="L10" s="9" t="str">
        <x:v>Total da campanha</x:v>
      </x:c>
      <x:c r="M10" s="12" t="n">
        <x:v>0.2</x:v>
      </x:c>
      <x:c r="N10" s="12" t="n">
        <x:v>2.11</x:v>
      </x:c>
      <x:c r="O10" s="9" t="n">
        <x:v>74.06</x:v>
      </x:c>
      <x:c r="P10" s="9" t="str">
        <x:v>1 de setembro de 2026 - 14 de outubro de 2026</x:v>
      </x:c>
      <x:c r="Q10" s="9" t="str">
        <x:v>F051</x:v>
      </x:c>
    </x:row>
    <x:row r="11" ht="24" customHeight="1">
      <x:c r="A11" s="9" t="str">
        <x:v>C06</x:v>
      </x:c>
      <x:c r="B11" s="9" t="str">
        <x:v>[TRON] - YouTube 02 -  VT 5 Seg - {Reg SC} - 07/10</x:v>
      </x:c>
      <x:c r="C11" s="9" t="str">
        <x:v>Ativada</x:v>
      </x:c>
      <x:c r="D11" s="9" t="str">
        <x:v>Qualificado (limitado)</x:v>
      </x:c>
      <x:c r="E11" s="9" t="str">
        <x:v>limitado pelo orçamento</x:v>
      </x:c>
      <x:c r="F11" s="9" t="str">
        <x:v>Alcance eficiente</x:v>
      </x:c>
      <x:c r="G11" s="11" t="n">
        <x:v>127</x:v>
      </x:c>
      <x:c r="H11" s="11" t="n">
        <x:v>43974</x:v>
      </x:c>
      <x:c r="I11" s="12" t="n">
        <x:v>112.43</x:v>
      </x:c>
      <x:c r="J11" s="11" t="n">
        <x:v>37469</x:v>
      </x:c>
      <x:c r="K11" s="12" t="n">
        <x:v>15</x:v>
      </x:c>
      <x:c r="L11" s="9" t="str">
        <x:v>Diário</x:v>
      </x:c>
      <x:c r="M11" s="12" t="n">
        <x:v>0.36</x:v>
      </x:c>
      <x:c r="N11" s="12" t="n">
        <x:v>2.56</x:v>
      </x:c>
      <x:c r="O11" s="9" t="n">
        <x:v>75.72</x:v>
      </x:c>
      <x:c r="P11" s="9" t="str">
        <x:v>1 de setembro de 2026 - 14 de outubro de 2026</x:v>
      </x:c>
      <x:c r="Q11" s="9" t="str">
        <x:v>F066</x:v>
      </x:c>
    </x:row>
    <x:row r="12" ht="24" customHeight="1">
      <x:c r="A12" s="9" t="str">
        <x:v>C07</x:v>
      </x:c>
      <x:c r="B12" s="9" t="str">
        <x:v>[TRON] - YouTube 03 -  VT 5 Seg - {Reg SC} - 07/10</x:v>
      </x:c>
      <x:c r="C12" s="9" t="str">
        <x:v>Ativada</x:v>
      </x:c>
      <x:c r="D12" s="9" t="str">
        <x:v>Qualificado (limitado)</x:v>
      </x:c>
      <x:c r="E12" s="9" t="str">
        <x:v>limitado pelo orçamento</x:v>
      </x:c>
      <x:c r="F12" s="9" t="str">
        <x:v>Alcance eficiente</x:v>
      </x:c>
      <x:c r="G12" s="11" t="n">
        <x:v>64</x:v>
      </x:c>
      <x:c r="H12" s="11" t="n">
        <x:v>42412</x:v>
      </x:c>
      <x:c r="I12" s="12" t="n">
        <x:v>112.65</x:v>
      </x:c>
      <x:c r="J12" s="11" t="n">
        <x:v>31324</x:v>
      </x:c>
      <x:c r="K12" s="12" t="n">
        <x:v>15</x:v>
      </x:c>
      <x:c r="L12" s="9" t="str">
        <x:v>Diário</x:v>
      </x:c>
      <x:c r="M12" s="12" t="n">
        <x:v>0.64</x:v>
      </x:c>
      <x:c r="N12" s="12" t="n">
        <x:v>2.66</x:v>
      </x:c>
      <x:c r="O12" s="9" t="n">
        <x:v>75.81</x:v>
      </x:c>
      <x:c r="P12" s="9" t="str">
        <x:v>1 de setembro de 2026 - 14 de outubro de 2026</x:v>
      </x:c>
      <x:c r="Q12" s="9" t="str">
        <x:v>F081</x:v>
      </x:c>
    </x:row>
    <x:row r="13" ht="24" customHeight="1">
      <x:c r="A13" s="9" t="str">
        <x:v>C08</x:v>
      </x:c>
      <x:c r="B13" s="9" t="str">
        <x:v>[TRON] - YouTube 04 -  VT 5 Seg - {Reg SC} - 07/10</x:v>
      </x:c>
      <x:c r="C13" s="9" t="str">
        <x:v>Ativada</x:v>
      </x:c>
      <x:c r="D13" s="9" t="str">
        <x:v>Qualificado (limitado)</x:v>
      </x:c>
      <x:c r="E13" s="9" t="str">
        <x:v>limitado pelo orçamento</x:v>
      </x:c>
      <x:c r="F13" s="9" t="str">
        <x:v>Alcance eficiente</x:v>
      </x:c>
      <x:c r="G13" s="11" t="n">
        <x:v>123</x:v>
      </x:c>
      <x:c r="H13" s="11" t="n">
        <x:v>44112</x:v>
      </x:c>
      <x:c r="I13" s="12" t="n">
        <x:v>113.06</x:v>
      </x:c>
      <x:c r="J13" s="11" t="n">
        <x:v>38079</x:v>
      </x:c>
      <x:c r="K13" s="12" t="n">
        <x:v>15</x:v>
      </x:c>
      <x:c r="L13" s="9" t="str">
        <x:v>Diário</x:v>
      </x:c>
      <x:c r="M13" s="12" t="n">
        <x:v>0.3</x:v>
      </x:c>
      <x:c r="N13" s="12" t="n">
        <x:v>2.56</x:v>
      </x:c>
      <x:c r="O13" s="9" t="n">
        <x:v>76.15</x:v>
      </x:c>
      <x:c r="P13" s="9" t="str">
        <x:v>1 de setembro de 2026 - 14 de outubro de 2026</x:v>
      </x:c>
      <x:c r="Q13" s="9" t="str">
        <x:v>F096</x:v>
      </x:c>
    </x:row>
  </x:sheetData>
  <x:pageMargins left="0.7" right="0.7" top="0.75" bottom="0.75" header="0.3" footer="0.3"/>
  <x:tableParts count="1">
    <x:tablePart xmlns:r="http://schemas.openxmlformats.org/officeDocument/2006/relationships" r:id="Radd663ff53e446b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6" hidden="0" customWidth="1"/>
    <x:col min="3" max="3" width="30" hidden="0" customWidth="1"/>
    <x:col min="4" max="4" width="118" hidden="0" customWidth="1"/>
    <x:col min="5" max="5" width="23" hidden="0" customWidth="1"/>
    <x:col min="6" max="6" width="23" hidden="0" customWidth="1"/>
    <x:col min="7" max="7" width="20" hidden="0" customWidth="1"/>
    <x:col min="8" max="8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Cobertura, ausências e reconciliação</x:v>
      </x:c>
      <x:c r="B2" s="1"/>
      <x:c r="C2" s="1"/>
      <x:c r="D2" s="1"/>
      <x:c r="E2" s="1"/>
      <x:c r="F2" s="1"/>
      <x:c r="G2" s="1"/>
      <x:c r="H2" s="1"/>
    </x:row>
    <x:row r="3">
      <x:c r="A3" s="3" t="str">
        <x:v>Pequenas diferenças de centavos e de exportação são preservadas. O dia 14/10 não entra no resumo.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ID</x:v>
      </x:c>
      <x:c r="B5" s="8" t="str">
        <x:v>Campanha</x:v>
      </x:c>
      <x:c r="C5" s="8" t="str">
        <x:v>Tipo</x:v>
      </x:c>
      <x:c r="D5" s="8" t="str">
        <x:v>Detalhe</x:v>
      </x:c>
      <x:c r="E5" s="8" t="str">
        <x:v>Valor detalhe</x:v>
      </x:c>
      <x:c r="F5" s="8" t="str">
        <x:v>Valor agregado</x:v>
      </x:c>
      <x:c r="G5" s="8" t="str">
        <x:v>Diferença</x:v>
      </x:c>
      <x:c r="H5" s="8" t="str">
        <x:v>Fonte</x:v>
      </x:c>
    </x:row>
    <x:row r="6" ht="24" customHeight="1">
      <x:c r="A6" s="32" t="str">
        <x:v>C01</x:v>
      </x:c>
      <x:c r="B6" s="33" t="str">
        <x:v>YT - Arrozes especiais Bahia 01</x:v>
      </x:c>
      <x:c r="C6" s="32" t="str">
        <x:v>Cobertura</x:v>
      </x:c>
      <x:c r="D6" s="33" t="str">
        <x:v>As séries cobrem todo o período solicitado. A primeira entrega observada foi em 23/07, embora as pastas mencionem 22/07.</x:v>
      </x:c>
      <x:c r="E6" s="37"/>
      <x:c r="F6" s="37"/>
      <x:c r="G6" s="37"/>
      <x:c r="H6" s="32" t="str">
        <x:v>Séries diárias</x:v>
      </x:c>
    </x:row>
    <x:row r="7" ht="54" customHeight="1">
      <x:c r="A7" s="32" t="str">
        <x:v>C01</x:v>
      </x:c>
      <x:c r="B7" s="33" t="str">
        <x:v>YT - Arrozes especiais Bahia 01</x:v>
      </x:c>
      <x:c r="C7" s="32" t="str">
        <x:v>Custo</x:v>
      </x:c>
      <x:c r="D7" s="33" t="str">
        <x:v>Custo principal = soma dos dias até 13/10 (R$ 775,97). Custo do relatório de campanha (1 de julho de 2026 - 13 de outubro de 2026) = R$ 775,98. Diferença: R$ -0,01. Pequenas diferenças de centavos em períodos equivalentes são compatíveis com arredondamento diário.</x:v>
      </x:c>
      <x:c r="E7" s="37" t="n">
        <x:v>775.97</x:v>
      </x:c>
      <x:c r="F7" s="37" t="n">
        <x:v>775.98</x:v>
      </x:c>
      <x:c r="G7" s="37" t="n">
        <x:v>-0.01</x:v>
      </x:c>
      <x:c r="H7" s="32" t="str">
        <x:v>F005</x:v>
      </x:c>
    </x:row>
    <x:row r="8" ht="24" customHeight="1">
      <x:c r="A8" s="32" t="str">
        <x:v>C01</x:v>
      </x:c>
      <x:c r="B8" s="33" t="str">
        <x:v>YT - Arrozes especiais Bahia 01</x:v>
      </x:c>
      <x:c r="C8" s="32" t="str">
        <x:v>Arquivo ausente</x:v>
      </x:c>
      <x:c r="D8" s="33" t="str">
        <x:v>Relatório por loja não fornecido.</x:v>
      </x:c>
      <x:c r="E8" s="37"/>
      <x:c r="F8" s="37"/>
      <x:c r="G8" s="37"/>
      <x:c r="H8" s="32" t="str">
        <x:v>Inventário</x:v>
      </x:c>
    </x:row>
    <x:row r="9" ht="24" customHeight="1">
      <x:c r="A9" s="32" t="str">
        <x:v>C02</x:v>
      </x:c>
      <x:c r="B9" s="33" t="str">
        <x:v>YT - Arrozes especiais Bahia 02</x:v>
      </x:c>
      <x:c r="C9" s="32" t="str">
        <x:v>Cobertura</x:v>
      </x:c>
      <x:c r="D9" s="33" t="str">
        <x:v>As séries cobrem todo o período solicitado. A primeira entrega observada foi em 23/07, embora as pastas mencionem 22/07.</x:v>
      </x:c>
      <x:c r="E9" s="37"/>
      <x:c r="F9" s="37"/>
      <x:c r="G9" s="37"/>
      <x:c r="H9" s="32" t="str">
        <x:v>Séries diárias</x:v>
      </x:c>
    </x:row>
    <x:row r="10" ht="54" customHeight="1">
      <x:c r="A10" s="32" t="str">
        <x:v>C02</x:v>
      </x:c>
      <x:c r="B10" s="33" t="str">
        <x:v>YT - Arrozes especiais Bahia 02</x:v>
      </x:c>
      <x:c r="C10" s="32" t="str">
        <x:v>Custo</x:v>
      </x:c>
      <x:c r="D10" s="33" t="str">
        <x:v>Custo principal = soma dos dias até 13/10 (R$ 765,77). Custo do relatório de campanha (1 de julho de 2026 - 13 de outubro de 2026) = R$ 765,76. Diferença: R$ 0,01. Pequenas diferenças de centavos em períodos equivalentes são compatíveis com arredondamento diário.</x:v>
      </x:c>
      <x:c r="E10" s="37" t="n">
        <x:v>765.77</x:v>
      </x:c>
      <x:c r="F10" s="37" t="n">
        <x:v>765.76</x:v>
      </x:c>
      <x:c r="G10" s="37" t="n">
        <x:v>0.01</x:v>
      </x:c>
      <x:c r="H10" s="32" t="str">
        <x:v>F012</x:v>
      </x:c>
    </x:row>
    <x:row r="11" ht="24" customHeight="1">
      <x:c r="A11" s="32" t="str">
        <x:v>C02</x:v>
      </x:c>
      <x:c r="B11" s="33" t="str">
        <x:v>YT - Arrozes especiais Bahia 02</x:v>
      </x:c>
      <x:c r="C11" s="32" t="str">
        <x:v>Arquivo ausente</x:v>
      </x:c>
      <x:c r="D11" s="33" t="str">
        <x:v>Relatório de anúncios não fornecido.</x:v>
      </x:c>
      <x:c r="E11" s="37"/>
      <x:c r="F11" s="37"/>
      <x:c r="G11" s="37"/>
      <x:c r="H11" s="32" t="str">
        <x:v>Inventário</x:v>
      </x:c>
    </x:row>
    <x:row r="12" ht="24" customHeight="1">
      <x:c r="A12" s="32" t="str">
        <x:v>C03</x:v>
      </x:c>
      <x:c r="B12" s="33" t="str">
        <x:v>YT - Arrozes especiais Bahia 03</x:v>
      </x:c>
      <x:c r="C12" s="32" t="str">
        <x:v>Cobertura</x:v>
      </x:c>
      <x:c r="D12" s="33" t="str">
        <x:v>As séries cobrem todo o período solicitado. A primeira entrega observada foi em 23/07, embora as pastas mencionem 22/07.</x:v>
      </x:c>
      <x:c r="E12" s="37"/>
      <x:c r="F12" s="37"/>
      <x:c r="G12" s="37"/>
      <x:c r="H12" s="32" t="str">
        <x:v>Séries diárias</x:v>
      </x:c>
    </x:row>
    <x:row r="13" ht="54" customHeight="1">
      <x:c r="A13" s="32" t="str">
        <x:v>C03</x:v>
      </x:c>
      <x:c r="B13" s="33" t="str">
        <x:v>YT - Arrozes especiais Bahia 03</x:v>
      </x:c>
      <x:c r="C13" s="32" t="str">
        <x:v>Custo</x:v>
      </x:c>
      <x:c r="D13" s="33" t="str">
        <x:v>Custo principal = soma dos dias até 13/10 (R$ 765,95). Custo do relatório de campanha (1 de julho de 2026 - 13 de outubro de 2026) = R$ 765,94. Diferença: R$ 0,01. Pequenas diferenças de centavos em períodos equivalentes são compatíveis com arredondamento diário.</x:v>
      </x:c>
      <x:c r="E13" s="37" t="n">
        <x:v>765.95</x:v>
      </x:c>
      <x:c r="F13" s="37" t="n">
        <x:v>765.94</x:v>
      </x:c>
      <x:c r="G13" s="37" t="n">
        <x:v>0.01</x:v>
      </x:c>
      <x:c r="H13" s="32" t="str">
        <x:v>F021</x:v>
      </x:c>
    </x:row>
    <x:row r="14" ht="39" customHeight="1">
      <x:c r="A14" s="32" t="str">
        <x:v>C04</x:v>
      </x:c>
      <x:c r="B14" s="33" t="str">
        <x:v>Remarketing Caçarola</x:v>
      </x:c>
      <x:c r="C14" s="32" t="str">
        <x:v>Cobertura</x:v>
      </x:c>
      <x:c r="D14" s="33" t="str">
        <x:v>As séries começam em 27/08. Os dias anteriores não foram exportados e não são tratados como zero. O dia 14/10 foi excluído dos resultados principais.</x:v>
      </x:c>
      <x:c r="E14" s="37"/>
      <x:c r="F14" s="37"/>
      <x:c r="G14" s="37"/>
      <x:c r="H14" s="32" t="str">
        <x:v>Séries diárias</x:v>
      </x:c>
    </x:row>
    <x:row r="15" ht="54" customHeight="1">
      <x:c r="A15" s="32" t="str">
        <x:v>C04</x:v>
      </x:c>
      <x:c r="B15" s="33" t="str">
        <x:v>Remarketing Caçarola</x:v>
      </x:c>
      <x:c r="C15" s="32" t="str">
        <x:v>Custo</x:v>
      </x:c>
      <x:c r="D15" s="33" t="str">
        <x:v>Custo principal = soma dos dias até 13/10 (R$ 343,50). Custo do relatório de campanha (27 de agosto de 2026 - 14 de outubro de 2026) = R$ 343,48. Diferença: R$ 0,02. Pequenas diferenças de centavos em períodos equivalentes são compatíveis com arredondamento diário.</x:v>
      </x:c>
      <x:c r="E15" s="37" t="n">
        <x:v>343.5</x:v>
      </x:c>
      <x:c r="F15" s="37" t="n">
        <x:v>343.48</x:v>
      </x:c>
      <x:c r="G15" s="37" t="n">
        <x:v>0.02</x:v>
      </x:c>
      <x:c r="H15" s="32" t="str">
        <x:v>F036</x:v>
      </x:c>
    </x:row>
    <x:row r="16" ht="54" customHeight="1">
      <x:c r="A16" s="32" t="str">
        <x:v>C04</x:v>
      </x:c>
      <x:c r="B16" s="33" t="str">
        <x:v>Remarketing Caçarola</x:v>
      </x:c>
      <x:c r="C16" s="32" t="str">
        <x:v>Dia excluído</x:v>
      </x:c>
      <x:c r="D16" s="33" t="str">
        <x:v>2026-10-14: {"date":"2026-10-14","sources":{"Visualizações do TrueView":["F032"],"Cliques":["F032","F033","F034"],"Impr.":["F032","F034"],"Visualizações públicas do YouTube":["F032","F033","F034"],"Shorts":["F033"],"Custo":["F033","F034"]},"Visualizações do TrueView":0,"Cliques":0,"Impr.":0,"Visualizações públicas do YouTube":0,"Shorts":null,"Custo":0}</x:v>
      </x:c>
      <x:c r="E16" s="37"/>
      <x:c r="F16" s="37"/>
      <x:c r="G16" s="37"/>
      <x:c r="H16" s="32" t="str">
        <x:v>Séries diárias</x:v>
      </x:c>
    </x:row>
    <x:row r="17" ht="39" customHeight="1">
      <x:c r="A17" s="32" t="str">
        <x:v>C05</x:v>
      </x:c>
      <x:c r="B17" s="33" t="str">
        <x:v>[TRON] - YouTube 01 -  VT 5 Seg - {Reg SC} - 07/10</x:v>
      </x:c>
      <x:c r="C17" s="32" t="str">
        <x:v>Cobertura</x:v>
      </x:c>
      <x:c r="D17" s="33" t="str">
        <x:v>As séries começam em 01/09. Os dias anteriores não foram exportados e não são tratados como zero. O dia 14/10 foi excluído dos resultados principais.</x:v>
      </x:c>
      <x:c r="E17" s="37"/>
      <x:c r="F17" s="37"/>
      <x:c r="G17" s="37"/>
      <x:c r="H17" s="32" t="str">
        <x:v>Séries diárias</x:v>
      </x:c>
    </x:row>
    <x:row r="18" ht="54" customHeight="1">
      <x:c r="A18" s="32" t="str">
        <x:v>C05</x:v>
      </x:c>
      <x:c r="B18" s="33" t="str">
        <x:v>[TRON] - YouTube 01 -  VT 5 Seg - {Reg SC} - 07/10</x:v>
      </x:c>
      <x:c r="C18" s="32" t="str">
        <x:v>Custo</x:v>
      </x:c>
      <x:c r="D18" s="33" t="str">
        <x:v>Custo principal = soma dos dias até 13/10 (R$ 1,23). Custo do relatório de campanha (1 de setembro de 2026 - 14 de outubro de 2026) = R$ 1,27. Diferença: R$ -0,04. Pequenas diferenças de centavos em períodos equivalentes são compatíveis com arredondamento diário.</x:v>
      </x:c>
      <x:c r="E18" s="37" t="n">
        <x:v>1.23</x:v>
      </x:c>
      <x:c r="F18" s="37" t="n">
        <x:v>1.27</x:v>
      </x:c>
      <x:c r="G18" s="37" t="n">
        <x:v>-0.04</x:v>
      </x:c>
      <x:c r="H18" s="32" t="str">
        <x:v>F051</x:v>
      </x:c>
    </x:row>
    <x:row r="19" ht="24" customHeight="1">
      <x:c r="A19" s="32" t="str">
        <x:v>C05</x:v>
      </x:c>
      <x:c r="B19" s="33" t="str">
        <x:v>[TRON] - YouTube 01 -  VT 5 Seg - {Reg SC} - 07/10</x:v>
      </x:c>
      <x:c r="C19" s="32" t="str">
        <x:v>TrueView até 13/10</x:v>
      </x:c>
      <x:c r="D19" s="33" t="str">
        <x:v>Indisponível: agregado inclui 14/10 e não existe TrueView diário.</x:v>
      </x:c>
      <x:c r="E19" s="37"/>
      <x:c r="F19" s="37"/>
      <x:c r="G19" s="37"/>
      <x:c r="H19" s="32" t="str">
        <x:v>F051</x:v>
      </x:c>
    </x:row>
    <x:row r="20" ht="54" customHeight="1">
      <x:c r="A20" s="32" t="str">
        <x:v>C05</x:v>
      </x:c>
      <x:c r="B20" s="33" t="str">
        <x:v>[TRON] - YouTube 01 -  VT 5 Seg - {Reg SC} - 07/10</x:v>
      </x:c>
      <x:c r="C20" s="32" t="str">
        <x:v>Dia excluído</x:v>
      </x:c>
      <x:c r="D20" s="33" t="str">
        <x:v>2026-10-14: {"date":"2026-10-14","sources":{"Impr.":["F047","F049"],"Cliques":["F047","F048","F049"],"Conversões":["F047"],"Custo":["F047","F048","F049"],"Visualizações públicas do YouTube":["F048","F049"],"Shorts":["F048"]},"Impr.":11,"Cliques":0,"Conversões":0,"Custo":0.03,"Visualizações públicas do YouTube":4,"Shorts":null}</x:v>
      </x:c>
      <x:c r="E20" s="37"/>
      <x:c r="F20" s="37"/>
      <x:c r="G20" s="37"/>
      <x:c r="H20" s="32" t="str">
        <x:v>Séries diárias</x:v>
      </x:c>
    </x:row>
    <x:row r="21" ht="39" customHeight="1">
      <x:c r="A21" s="32" t="str">
        <x:v>C06</x:v>
      </x:c>
      <x:c r="B21" s="33" t="str">
        <x:v>[TRON] - YouTube 02 -  VT 5 Seg - {Reg SC} - 07/10</x:v>
      </x:c>
      <x:c r="C21" s="32" t="str">
        <x:v>Cobertura</x:v>
      </x:c>
      <x:c r="D21" s="33" t="str">
        <x:v>As séries começam em 01/09. Os dias anteriores não foram exportados e não são tratados como zero. O dia 14/10 foi excluído dos resultados principais.</x:v>
      </x:c>
      <x:c r="E21" s="37"/>
      <x:c r="F21" s="37"/>
      <x:c r="G21" s="37"/>
      <x:c r="H21" s="32" t="str">
        <x:v>Séries diárias</x:v>
      </x:c>
    </x:row>
    <x:row r="22" ht="54" customHeight="1">
      <x:c r="A22" s="32" t="str">
        <x:v>C06</x:v>
      </x:c>
      <x:c r="B22" s="33" t="str">
        <x:v>[TRON] - YouTube 02 -  VT 5 Seg - {Reg SC} - 07/10</x:v>
      </x:c>
      <x:c r="C22" s="32" t="str">
        <x:v>Custo</x:v>
      </x:c>
      <x:c r="D22" s="33" t="str">
        <x:v>Custo principal = soma dos dias até 13/10 (R$ 109,27). Custo do relatório de campanha (1 de setembro de 2026 - 14 de outubro de 2026) = R$ 112,43. Diferença: R$ -3,16. Pequenas diferenças de centavos em períodos equivalentes são compatíveis com arredondamento diário.</x:v>
      </x:c>
      <x:c r="E22" s="37" t="n">
        <x:v>109.27</x:v>
      </x:c>
      <x:c r="F22" s="37" t="n">
        <x:v>112.43</x:v>
      </x:c>
      <x:c r="G22" s="37" t="n">
        <x:v>-3.16</x:v>
      </x:c>
      <x:c r="H22" s="32" t="str">
        <x:v>F066</x:v>
      </x:c>
    </x:row>
    <x:row r="23" ht="24" customHeight="1">
      <x:c r="A23" s="32" t="str">
        <x:v>C06</x:v>
      </x:c>
      <x:c r="B23" s="33" t="str">
        <x:v>[TRON] - YouTube 02 -  VT 5 Seg - {Reg SC} - 07/10</x:v>
      </x:c>
      <x:c r="C23" s="32" t="str">
        <x:v>Impr.</x:v>
      </x:c>
      <x:c r="D23" s="33" t="str">
        <x:v>Comparação dos detalhes originais com relatório de campanha</x:v>
      </x:c>
      <x:c r="E23" s="37" t="n">
        <x:v>43982</x:v>
      </x:c>
      <x:c r="F23" s="37" t="n">
        <x:v>43974</x:v>
      </x:c>
      <x:c r="G23" s="37" t="n">
        <x:v>8</x:v>
      </x:c>
      <x:c r="H23" s="32" t="str">
        <x:v>F065</x:v>
      </x:c>
    </x:row>
    <x:row r="24" ht="24" customHeight="1">
      <x:c r="A24" s="32" t="str">
        <x:v>C06</x:v>
      </x:c>
      <x:c r="B24" s="33" t="str">
        <x:v>[TRON] - YouTube 02 -  VT 5 Seg - {Reg SC} - 07/10</x:v>
      </x:c>
      <x:c r="C24" s="32" t="str">
        <x:v>Impr.</x:v>
      </x:c>
      <x:c r="D24" s="33" t="str">
        <x:v>Comparação dos detalhes originais com relatório de campanha</x:v>
      </x:c>
      <x:c r="E24" s="37" t="n">
        <x:v>43973</x:v>
      </x:c>
      <x:c r="F24" s="37" t="n">
        <x:v>43974</x:v>
      </x:c>
      <x:c r="G24" s="37" t="n">
        <x:v>-1</x:v>
      </x:c>
      <x:c r="H24" s="32" t="str">
        <x:v>F067</x:v>
      </x:c>
    </x:row>
    <x:row r="25" ht="24" customHeight="1">
      <x:c r="A25" s="32" t="str">
        <x:v>C06</x:v>
      </x:c>
      <x:c r="B25" s="33" t="str">
        <x:v>[TRON] - YouTube 02 -  VT 5 Seg - {Reg SC} - 07/10</x:v>
      </x:c>
      <x:c r="C25" s="32" t="str">
        <x:v>Impr.</x:v>
      </x:c>
      <x:c r="D25" s="33" t="str">
        <x:v>Comparação dos detalhes originais com relatório de campanha</x:v>
      </x:c>
      <x:c r="E25" s="37" t="n">
        <x:v>43982</x:v>
      </x:c>
      <x:c r="F25" s="37" t="n">
        <x:v>43974</x:v>
      </x:c>
      <x:c r="G25" s="37" t="n">
        <x:v>8</x:v>
      </x:c>
      <x:c r="H25" s="32" t="str">
        <x:v>F068</x:v>
      </x:c>
    </x:row>
    <x:row r="26" ht="24" customHeight="1">
      <x:c r="A26" s="32" t="str">
        <x:v>C06</x:v>
      </x:c>
      <x:c r="B26" s="33" t="str">
        <x:v>[TRON] - YouTube 02 -  VT 5 Seg - {Reg SC} - 07/10</x:v>
      </x:c>
      <x:c r="C26" s="32" t="str">
        <x:v>Impr.</x:v>
      </x:c>
      <x:c r="D26" s="33" t="str">
        <x:v>Comparação dos detalhes originais com relatório de campanha</x:v>
      </x:c>
      <x:c r="E26" s="37" t="n">
        <x:v>43976</x:v>
      </x:c>
      <x:c r="F26" s="37" t="n">
        <x:v>43974</x:v>
      </x:c>
      <x:c r="G26" s="37" t="n">
        <x:v>2</x:v>
      </x:c>
      <x:c r="H26" s="32" t="str">
        <x:v>F069</x:v>
      </x:c>
    </x:row>
    <x:row r="27" ht="24" customHeight="1">
      <x:c r="A27" s="32" t="str">
        <x:v>C06</x:v>
      </x:c>
      <x:c r="B27" s="33" t="str">
        <x:v>[TRON] - YouTube 02 -  VT 5 Seg - {Reg SC} - 07/10</x:v>
      </x:c>
      <x:c r="C27" s="32" t="str">
        <x:v>Conflito entre séries</x:v>
      </x:c>
      <x:c r="D27" s="33" t="str">
        <x:v>2026-10-14 Impr.: 1460.0 / 1459.0 (F064)</x:v>
      </x:c>
      <x:c r="E27" s="37"/>
      <x:c r="F27" s="37"/>
      <x:c r="G27" s="37"/>
      <x:c r="H27" s="32" t="str">
        <x:v>Séries diárias</x:v>
      </x:c>
    </x:row>
    <x:row r="28" ht="24" customHeight="1">
      <x:c r="A28" s="32" t="str">
        <x:v>C06</x:v>
      </x:c>
      <x:c r="B28" s="33" t="str">
        <x:v>[TRON] - YouTube 02 -  VT 5 Seg - {Reg SC} - 07/10</x:v>
      </x:c>
      <x:c r="C28" s="32" t="str">
        <x:v>Conflito entre séries</x:v>
      </x:c>
      <x:c r="D28" s="33" t="str">
        <x:v>2026-10-14 Visualizações públicas do YouTube: 590.0 / 587.0 (F064)</x:v>
      </x:c>
      <x:c r="E28" s="37"/>
      <x:c r="F28" s="37"/>
      <x:c r="G28" s="37"/>
      <x:c r="H28" s="32" t="str">
        <x:v>Séries diárias</x:v>
      </x:c>
    </x:row>
    <x:row r="29" ht="24" customHeight="1">
      <x:c r="A29" s="32" t="str">
        <x:v>C06</x:v>
      </x:c>
      <x:c r="B29" s="33" t="str">
        <x:v>[TRON] - YouTube 02 -  VT 5 Seg - {Reg SC} - 07/10</x:v>
      </x:c>
      <x:c r="C29" s="32" t="str">
        <x:v>TrueView até 13/10</x:v>
      </x:c>
      <x:c r="D29" s="33" t="str">
        <x:v>Indisponível: agregado inclui 14/10 e não existe TrueView diário.</x:v>
      </x:c>
      <x:c r="E29" s="37"/>
      <x:c r="F29" s="37"/>
      <x:c r="G29" s="37"/>
      <x:c r="H29" s="32" t="str">
        <x:v>F066</x:v>
      </x:c>
    </x:row>
    <x:row r="30" ht="54" customHeight="1">
      <x:c r="A30" s="32" t="str">
        <x:v>C06</x:v>
      </x:c>
      <x:c r="B30" s="33" t="str">
        <x:v>[TRON] - YouTube 02 -  VT 5 Seg - {Reg SC} - 07/10</x:v>
      </x:c>
      <x:c r="C30" s="32" t="str">
        <x:v>Dia excluído</x:v>
      </x:c>
      <x:c r="D30" s="33" t="str">
        <x:v>2026-10-14: {"date":"2026-10-14","sources":{"Impr.":["F062","F064"],"Cliques":["F062","F063","F064"],"Conversões":["F062"],"Custo":["F062","F063","F064"],"Visualizações públicas do YouTube":["F063","F064"],"Shorts":["F063"]},"Impr.":1460,"Cliques":1,"Conversões":0,"Custo":3.15,"Visualizações públicas do YouTube":590,"Shorts":0}</x:v>
      </x:c>
      <x:c r="E30" s="37"/>
      <x:c r="F30" s="37"/>
      <x:c r="G30" s="37"/>
      <x:c r="H30" s="32" t="str">
        <x:v>Séries diárias</x:v>
      </x:c>
    </x:row>
    <x:row r="31" ht="39" customHeight="1">
      <x:c r="A31" s="32" t="str">
        <x:v>C07</x:v>
      </x:c>
      <x:c r="B31" s="33" t="str">
        <x:v>[TRON] - YouTube 03 -  VT 5 Seg - {Reg SC} - 07/10</x:v>
      </x:c>
      <x:c r="C31" s="32" t="str">
        <x:v>Cobertura</x:v>
      </x:c>
      <x:c r="D31" s="33" t="str">
        <x:v>As séries começam em 01/09. Os dias anteriores não foram exportados e não são tratados como zero. O dia 14/10 foi excluído dos resultados principais.</x:v>
      </x:c>
      <x:c r="E31" s="37"/>
      <x:c r="F31" s="37"/>
      <x:c r="G31" s="37"/>
      <x:c r="H31" s="32" t="str">
        <x:v>Séries diárias</x:v>
      </x:c>
    </x:row>
    <x:row r="32" ht="54" customHeight="1">
      <x:c r="A32" s="32" t="str">
        <x:v>C07</x:v>
      </x:c>
      <x:c r="B32" s="33" t="str">
        <x:v>[TRON] - YouTube 03 -  VT 5 Seg - {Reg SC} - 07/10</x:v>
      </x:c>
      <x:c r="C32" s="32" t="str">
        <x:v>Custo</x:v>
      </x:c>
      <x:c r="D32" s="33" t="str">
        <x:v>Custo principal = soma dos dias até 13/10 (R$ 109,25). Custo do relatório de campanha (1 de setembro de 2026 - 14 de outubro de 2026) = R$ 112,65. Diferença: R$ -3,40. Pequenas diferenças de centavos em períodos equivalentes são compatíveis com arredondamento diário.</x:v>
      </x:c>
      <x:c r="E32" s="37" t="n">
        <x:v>109.25</x:v>
      </x:c>
      <x:c r="F32" s="37" t="n">
        <x:v>112.65</x:v>
      </x:c>
      <x:c r="G32" s="37" t="n">
        <x:v>-3.4</x:v>
      </x:c>
      <x:c r="H32" s="32" t="str">
        <x:v>F081</x:v>
      </x:c>
    </x:row>
    <x:row r="33" ht="24" customHeight="1">
      <x:c r="A33" s="32" t="str">
        <x:v>C07</x:v>
      </x:c>
      <x:c r="B33" s="33" t="str">
        <x:v>[TRON] - YouTube 03 -  VT 5 Seg - {Reg SC} - 07/10</x:v>
      </x:c>
      <x:c r="C33" s="32" t="str">
        <x:v>Impr.</x:v>
      </x:c>
      <x:c r="D33" s="33" t="str">
        <x:v>Comparação dos detalhes originais com relatório de campanha</x:v>
      </x:c>
      <x:c r="E33" s="37" t="n">
        <x:v>42415</x:v>
      </x:c>
      <x:c r="F33" s="37" t="n">
        <x:v>42412</x:v>
      </x:c>
      <x:c r="G33" s="37" t="n">
        <x:v>3</x:v>
      </x:c>
      <x:c r="H33" s="32" t="str">
        <x:v>F080</x:v>
      </x:c>
    </x:row>
    <x:row r="34" ht="24" customHeight="1">
      <x:c r="A34" s="32" t="str">
        <x:v>C07</x:v>
      </x:c>
      <x:c r="B34" s="33" t="str">
        <x:v>[TRON] - YouTube 03 -  VT 5 Seg - {Reg SC} - 07/10</x:v>
      </x:c>
      <x:c r="C34" s="32" t="str">
        <x:v>Impr.</x:v>
      </x:c>
      <x:c r="D34" s="33" t="str">
        <x:v>Comparação dos detalhes originais com relatório de campanha</x:v>
      </x:c>
      <x:c r="E34" s="37" t="n">
        <x:v>42415</x:v>
      </x:c>
      <x:c r="F34" s="37" t="n">
        <x:v>42412</x:v>
      </x:c>
      <x:c r="G34" s="37" t="n">
        <x:v>3</x:v>
      </x:c>
      <x:c r="H34" s="32" t="str">
        <x:v>F083</x:v>
      </x:c>
    </x:row>
    <x:row r="35" ht="24" customHeight="1">
      <x:c r="A35" s="32" t="str">
        <x:v>C07</x:v>
      </x:c>
      <x:c r="B35" s="33" t="str">
        <x:v>[TRON] - YouTube 03 -  VT 5 Seg - {Reg SC} - 07/10</x:v>
      </x:c>
      <x:c r="C35" s="32" t="str">
        <x:v>Impr.</x:v>
      </x:c>
      <x:c r="D35" s="33" t="str">
        <x:v>Comparação dos detalhes originais com relatório de campanha</x:v>
      </x:c>
      <x:c r="E35" s="37" t="n">
        <x:v>42415</x:v>
      </x:c>
      <x:c r="F35" s="37" t="n">
        <x:v>42412</x:v>
      </x:c>
      <x:c r="G35" s="37" t="n">
        <x:v>3</x:v>
      </x:c>
      <x:c r="H35" s="32" t="str">
        <x:v>F084</x:v>
      </x:c>
    </x:row>
    <x:row r="36" ht="24" customHeight="1">
      <x:c r="A36" s="32" t="str">
        <x:v>C07</x:v>
      </x:c>
      <x:c r="B36" s="33" t="str">
        <x:v>[TRON] - YouTube 03 -  VT 5 Seg - {Reg SC} - 07/10</x:v>
      </x:c>
      <x:c r="C36" s="32" t="str">
        <x:v>Impr.</x:v>
      </x:c>
      <x:c r="D36" s="33" t="str">
        <x:v>Comparação dos detalhes originais com relatório de campanha</x:v>
      </x:c>
      <x:c r="E36" s="37" t="n">
        <x:v>42400</x:v>
      </x:c>
      <x:c r="F36" s="37" t="n">
        <x:v>42412</x:v>
      </x:c>
      <x:c r="G36" s="37" t="n">
        <x:v>-12</x:v>
      </x:c>
      <x:c r="H36" s="32" t="str">
        <x:v>séries diárias</x:v>
      </x:c>
    </x:row>
    <x:row r="37" ht="24" customHeight="1">
      <x:c r="A37" s="32" t="str">
        <x:v>C07</x:v>
      </x:c>
      <x:c r="B37" s="33" t="str">
        <x:v>[TRON] - YouTube 03 -  VT 5 Seg - {Reg SC} - 07/10</x:v>
      </x:c>
      <x:c r="C37" s="32" t="str">
        <x:v>Conflito entre séries</x:v>
      </x:c>
      <x:c r="D37" s="33" t="str">
        <x:v>2026-10-14 Visualizações públicas do YouTube: 395.0 / 392.0 (F079)</x:v>
      </x:c>
      <x:c r="E37" s="37"/>
      <x:c r="F37" s="37"/>
      <x:c r="G37" s="37"/>
      <x:c r="H37" s="32" t="str">
        <x:v>Séries diárias</x:v>
      </x:c>
    </x:row>
    <x:row r="38" ht="24" customHeight="1">
      <x:c r="A38" s="32" t="str">
        <x:v>C07</x:v>
      </x:c>
      <x:c r="B38" s="33" t="str">
        <x:v>[TRON] - YouTube 03 -  VT 5 Seg - {Reg SC} - 07/10</x:v>
      </x:c>
      <x:c r="C38" s="32" t="str">
        <x:v>Conflito entre séries</x:v>
      </x:c>
      <x:c r="D38" s="33" t="str">
        <x:v>2026-10-14 Custo: 3.42 / 3.37 (F079)</x:v>
      </x:c>
      <x:c r="E38" s="37"/>
      <x:c r="F38" s="37"/>
      <x:c r="G38" s="37"/>
      <x:c r="H38" s="32" t="str">
        <x:v>Séries diárias</x:v>
      </x:c>
    </x:row>
    <x:row r="39" ht="54" customHeight="1">
      <x:c r="A39" s="32" t="str">
        <x:v>C07</x:v>
      </x:c>
      <x:c r="B39" s="33" t="str">
        <x:v>[TRON] - YouTube 03 -  VT 5 Seg - {Reg SC} - 07/10</x:v>
      </x:c>
      <x:c r="C39" s="32" t="str">
        <x:v>Dia excluído</x:v>
      </x:c>
      <x:c r="D39" s="33" t="str">
        <x:v>2026-10-14: {"date":"2026-10-14","sources":{"Visualizações do TrueView":["F077"],"Cliques":["F077","F078","F079"],"Custo":["F077","F078","F079"],"Visualizações públicas do YouTube":["F078","F079"],"Shorts":["F078"],"Impr.":["F079"]},"Visualizações do TrueView":0,"Cliques":0,"Custo":3.42,"Visualizações públicas do YouTube":395,"Shorts":0,"Impr.":1393}</x:v>
      </x:c>
      <x:c r="E39" s="37"/>
      <x:c r="F39" s="37"/>
      <x:c r="G39" s="37"/>
      <x:c r="H39" s="32" t="str">
        <x:v>Séries diárias</x:v>
      </x:c>
    </x:row>
    <x:row r="40" ht="39" customHeight="1">
      <x:c r="A40" s="32" t="str">
        <x:v>C08</x:v>
      </x:c>
      <x:c r="B40" s="33" t="str">
        <x:v>[TRON] - YouTube 04 -  VT 5 Seg - {Reg SC} - 07/10</x:v>
      </x:c>
      <x:c r="C40" s="32" t="str">
        <x:v>Cobertura</x:v>
      </x:c>
      <x:c r="D40" s="33" t="str">
        <x:v>As séries começam em 01/09. Os dias anteriores não foram exportados e não são tratados como zero. O dia 14/10 foi excluído dos resultados principais.</x:v>
      </x:c>
      <x:c r="E40" s="37"/>
      <x:c r="F40" s="37"/>
      <x:c r="G40" s="37"/>
      <x:c r="H40" s="32" t="str">
        <x:v>Séries diárias</x:v>
      </x:c>
    </x:row>
    <x:row r="41" ht="54" customHeight="1">
      <x:c r="A41" s="32" t="str">
        <x:v>C08</x:v>
      </x:c>
      <x:c r="B41" s="33" t="str">
        <x:v>[TRON] - YouTube 04 -  VT 5 Seg - {Reg SC} - 07/10</x:v>
      </x:c>
      <x:c r="C41" s="32" t="str">
        <x:v>Custo</x:v>
      </x:c>
      <x:c r="D41" s="33" t="str">
        <x:v>Custo principal = soma dos dias até 13/10 (R$ 109,21). Custo do relatório de campanha (1 de setembro de 2026 - 14 de outubro de 2026) = R$ 113,06. Diferença: R$ -3,85. Pequenas diferenças de centavos em períodos equivalentes são compatíveis com arredondamento diário.</x:v>
      </x:c>
      <x:c r="E41" s="37" t="n">
        <x:v>109.21</x:v>
      </x:c>
      <x:c r="F41" s="37" t="n">
        <x:v>113.06</x:v>
      </x:c>
      <x:c r="G41" s="37" t="n">
        <x:v>-3.85</x:v>
      </x:c>
      <x:c r="H41" s="32" t="str">
        <x:v>F096</x:v>
      </x:c>
    </x:row>
    <x:row r="42" ht="24" customHeight="1">
      <x:c r="A42" s="32" t="str">
        <x:v>C08</x:v>
      </x:c>
      <x:c r="B42" s="33" t="str">
        <x:v>[TRON] - YouTube 04 -  VT 5 Seg - {Reg SC} - 07/10</x:v>
      </x:c>
      <x:c r="C42" s="32" t="str">
        <x:v>Impr.</x:v>
      </x:c>
      <x:c r="D42" s="33" t="str">
        <x:v>Comparação dos detalhes originais com relatório de campanha</x:v>
      </x:c>
      <x:c r="E42" s="37" t="n">
        <x:v>44115</x:v>
      </x:c>
      <x:c r="F42" s="37" t="n">
        <x:v>44112</x:v>
      </x:c>
      <x:c r="G42" s="37" t="n">
        <x:v>3</x:v>
      </x:c>
      <x:c r="H42" s="32" t="str">
        <x:v>F095</x:v>
      </x:c>
    </x:row>
    <x:row r="43" ht="24" customHeight="1">
      <x:c r="A43" s="32" t="str">
        <x:v>C08</x:v>
      </x:c>
      <x:c r="B43" s="33" t="str">
        <x:v>[TRON] - YouTube 04 -  VT 5 Seg - {Reg SC} - 07/10</x:v>
      </x:c>
      <x:c r="C43" s="32" t="str">
        <x:v>Conflito entre séries</x:v>
      </x:c>
      <x:c r="D43" s="33" t="str">
        <x:v>2026-10-14 Visualizações públicas do YouTube: 517.0 / 515.0 (F093)</x:v>
      </x:c>
      <x:c r="E43" s="37"/>
      <x:c r="F43" s="37"/>
      <x:c r="G43" s="37"/>
      <x:c r="H43" s="32" t="str">
        <x:v>Séries diárias</x:v>
      </x:c>
    </x:row>
    <x:row r="44" ht="24" customHeight="1">
      <x:c r="A44" s="32" t="str">
        <x:v>C08</x:v>
      </x:c>
      <x:c r="B44" s="33" t="str">
        <x:v>[TRON] - YouTube 04 -  VT 5 Seg - {Reg SC} - 07/10</x:v>
      </x:c>
      <x:c r="C44" s="32" t="str">
        <x:v>Conflito entre séries</x:v>
      </x:c>
      <x:c r="D44" s="33" t="str">
        <x:v>2026-10-14 Impr.: 1768.0 / 1752.0 (F094)</x:v>
      </x:c>
      <x:c r="E44" s="37"/>
      <x:c r="F44" s="37"/>
      <x:c r="G44" s="37"/>
      <x:c r="H44" s="32" t="str">
        <x:v>Séries diárias</x:v>
      </x:c>
    </x:row>
    <x:row r="45" ht="24" customHeight="1">
      <x:c r="A45" s="32" t="str">
        <x:v>C08</x:v>
      </x:c>
      <x:c r="B45" s="33" t="str">
        <x:v>[TRON] - YouTube 04 -  VT 5 Seg - {Reg SC} - 07/10</x:v>
      </x:c>
      <x:c r="C45" s="32" t="str">
        <x:v>Conflito entre séries</x:v>
      </x:c>
      <x:c r="D45" s="33" t="str">
        <x:v>2026-10-14 Visualizações públicas do YouTube: 517.0 / 515.0 (F094)</x:v>
      </x:c>
      <x:c r="E45" s="37"/>
      <x:c r="F45" s="37"/>
      <x:c r="G45" s="37"/>
      <x:c r="H45" s="32" t="str">
        <x:v>Séries diárias</x:v>
      </x:c>
    </x:row>
    <x:row r="46" ht="24" customHeight="1">
      <x:c r="A46" s="32" t="str">
        <x:v>C08</x:v>
      </x:c>
      <x:c r="B46" s="33" t="str">
        <x:v>[TRON] - YouTube 04 -  VT 5 Seg - {Reg SC} - 07/10</x:v>
      </x:c>
      <x:c r="C46" s="32" t="str">
        <x:v>Arquivo ausente</x:v>
      </x:c>
      <x:c r="D46" s="33" t="str">
        <x:v>Relatório de locais não fornecido.</x:v>
      </x:c>
      <x:c r="E46" s="37"/>
      <x:c r="F46" s="37"/>
      <x:c r="G46" s="37"/>
      <x:c r="H46" s="32" t="str">
        <x:v>Inventário</x:v>
      </x:c>
    </x:row>
    <x:row r="47" ht="54" customHeight="1">
      <x:c r="A47" s="32" t="str">
        <x:v>C08</x:v>
      </x:c>
      <x:c r="B47" s="33" t="str">
        <x:v>[TRON] - YouTube 04 -  VT 5 Seg - {Reg SC} - 07/10</x:v>
      </x:c>
      <x:c r="C47" s="32" t="str">
        <x:v>Dia excluído</x:v>
      </x:c>
      <x:c r="D47" s="33" t="str">
        <x:v>2026-10-14: {"date":"2026-10-14","sources":{"Visualizações do TrueView":["F092"],"Cliques":["F092","F093","F094"],"Impr.":["F092","F094"],"Visualizações públicas do YouTube":["F092","F093","F094"],"Shorts":["F093"],"Custo":["F093","F094"]},"Visualizações do TrueView":2,"Cliques":4,"Impr.":1768,"Visualizações públicas do YouTube":517,"Shorts":0,"Custo":3.81}</x:v>
      </x:c>
      <x:c r="E47" s="37"/>
      <x:c r="F47" s="37"/>
      <x:c r="G47" s="37"/>
      <x:c r="H47" s="32" t="str">
        <x:v>Séries diárias</x:v>
      </x:c>
    </x:row>
  </x:sheetData>
  <x:pageMargins left="0.7" right="0.7" top="0.75" bottom="0.75" header="0.3" footer="0.3"/>
  <x:tableParts count="1">
    <x:tablePart xmlns:r="http://schemas.openxmlformats.org/officeDocument/2006/relationships" r:id="Ref5f6c50c6434b9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56" hidden="0" customWidth="1"/>
    <x:col min="4" max="4" width="120" hidden="0" customWidth="1"/>
    <x:col min="5" max="5" width="58" hidden="0" customWidth="1"/>
    <x:col min="6" max="6" width="21" hidden="0" customWidth="1"/>
    <x:col min="7" max="7" width="18" hidden="0" customWidth="1"/>
    <x:col min="8" max="8" width="15" hidden="0" customWidth="1"/>
    <x:col min="9" max="9" width="80" hidden="0" customWidth="1"/>
    <x:col min="10" max="10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Inventário de fontes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74 arquivos físicos: 69 CSVs e 5 ZIPs. Todos os 30 CSVs internos foram lidos. Total: 99 tabelas.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8" t="str">
        <x:v>Fonte ID</x:v>
      </x:c>
      <x:c r="B5" s="8" t="str">
        <x:v>Campanha ID</x:v>
      </x:c>
      <x:c r="C5" s="8" t="str">
        <x:v>Campanha</x:v>
      </x:c>
      <x:c r="D5" s="8" t="str">
        <x:v>Arquivo / membro ZIP</x:v>
      </x:c>
      <x:c r="E5" s="8" t="str">
        <x:v>Período</x:v>
      </x:c>
      <x:c r="F5" s="8" t="str">
        <x:v>Codificação</x:v>
      </x:c>
      <x:c r="G5" s="8" t="str">
        <x:v>Registros</x:v>
      </x:c>
      <x:c r="H5" s="8" t="str">
        <x:v>Campos</x:v>
      </x:c>
      <x:c r="I5" s="8" t="str">
        <x:v>SHA-256</x:v>
      </x:c>
      <x:c r="J5" s="8" t="str">
        <x:v>Leitura</x:v>
      </x:c>
    </x:row>
    <x:row r="6" ht="24" customHeight="1">
      <x:c r="A6" s="32" t="str">
        <x:v>F001</x:v>
      </x:c>
      <x:c r="B6" s="32" t="str">
        <x:v>C01</x:v>
      </x:c>
      <x:c r="C6" s="33" t="str">
        <x:v>YT - Arrozes especiais Bahia 01</x:v>
      </x:c>
      <x:c r="D6" s="33" t="str">
        <x:v>Arroz Especial Bahia 01 - 22 jul ate 13 de outubro/Gráfico_de_série_temporal(2026.07.01-2026.10.13) (1).csv</x:v>
      </x:c>
      <x:c r="E6" s="33" t="str">
        <x:v>Datas no nome: 2026.07.01-2026.10.13</x:v>
      </x:c>
      <x:c r="F6" s="32" t="str">
        <x:v>UTF-8</x:v>
      </x:c>
      <x:c r="G6" s="32" t="n">
        <x:v>105</x:v>
      </x:c>
      <x:c r="H6" s="32" t="n">
        <x:v>4</x:v>
      </x:c>
      <x:c r="I6" s="32" t="str">
        <x:v>e3c7656821f3f5f1e6658cca0ae47ba857794003e9309730b73d65ef3ee7a18b</x:v>
      </x:c>
      <x:c r="J6" s="32" t="str">
        <x:v>Lido e analisado</x:v>
      </x:c>
    </x:row>
    <x:row r="7" ht="24" customHeight="1">
      <x:c r="A7" s="32" t="str">
        <x:v>F002</x:v>
      </x:c>
      <x:c r="B7" s="32" t="str">
        <x:v>C01</x:v>
      </x:c>
      <x:c r="C7" s="33" t="str">
        <x:v>YT - Arrozes especiais Bahia 01</x:v>
      </x:c>
      <x:c r="D7" s="33" t="str">
        <x:v>Arroz Especial Bahia 01 - 22 jul ate 13 de outubro/Gráfico_de_série_temporal(2026.07.01-2026.10.13) (2).csv</x:v>
      </x:c>
      <x:c r="E7" s="33" t="str">
        <x:v>Datas no nome: 2026.07.01-2026.10.13</x:v>
      </x:c>
      <x:c r="F7" s="32" t="str">
        <x:v>UTF-8</x:v>
      </x:c>
      <x:c r="G7" s="32" t="n">
        <x:v>105</x:v>
      </x:c>
      <x:c r="H7" s="32" t="n">
        <x:v>5</x:v>
      </x:c>
      <x:c r="I7" s="32" t="str">
        <x:v>210d9ea678ce41b9b73e46e0b110901d5133f2a843d68815f86b88cca60c8874</x:v>
      </x:c>
      <x:c r="J7" s="32" t="str">
        <x:v>Lido e analisado</x:v>
      </x:c>
    </x:row>
    <x:row r="8" ht="24" customHeight="1">
      <x:c r="A8" s="32" t="str">
        <x:v>F003</x:v>
      </x:c>
      <x:c r="B8" s="32" t="str">
        <x:v>C01</x:v>
      </x:c>
      <x:c r="C8" s="33" t="str">
        <x:v>YT - Arrozes especiais Bahia 01</x:v>
      </x:c>
      <x:c r="D8" s="33" t="str">
        <x:v>Arroz Especial Bahia 01 - 22 jul ate 13 de outubro/Gráfico_de_série_temporal(2026.07.01-2026.10.13).csv</x:v>
      </x:c>
      <x:c r="E8" s="33" t="str">
        <x:v>Datas no nome: 2026.07.01-2026.10.13</x:v>
      </x:c>
      <x:c r="F8" s="32" t="str">
        <x:v>UTF-8</x:v>
      </x:c>
      <x:c r="G8" s="32" t="n">
        <x:v>105</x:v>
      </x:c>
      <x:c r="H8" s="32" t="n">
        <x:v>5</x:v>
      </x:c>
      <x:c r="I8" s="32" t="str">
        <x:v>661d74dc1cdc39aa9463a335ff153bafce5ca9173b2c2003b8f795b2fd5d0616</x:v>
      </x:c>
      <x:c r="J8" s="32" t="str">
        <x:v>Lido e analisado</x:v>
      </x:c>
    </x:row>
    <x:row r="9" ht="24" customHeight="1">
      <x:c r="A9" s="32" t="str">
        <x:v>F004</x:v>
      </x:c>
      <x:c r="B9" s="32" t="str">
        <x:v>C01</x:v>
      </x:c>
      <x:c r="C9" s="33" t="str">
        <x:v>YT - Arrozes especiais Bahia 01</x:v>
      </x:c>
      <x:c r="D9" s="33" t="str">
        <x:v>Arroz Especial Bahia 01 - 22 jul ate 13 de outubro/Relatório de anúncios.csv</x:v>
      </x:c>
      <x:c r="E9" s="33" t="str">
        <x:v>1 de julho de 2026 - 13 de outubro de 2026</x:v>
      </x:c>
      <x:c r="F9" s="32" t="str">
        <x:v>UTF-16</x:v>
      </x:c>
      <x:c r="G9" s="32" t="n">
        <x:v>3</x:v>
      </x:c>
      <x:c r="H9" s="32" t="n">
        <x:v>51</x:v>
      </x:c>
      <x:c r="I9" s="32" t="str">
        <x:v>205790f3357abf06b8b9c99cbf9c6f9f6bc37971bc9a0d0c5556c07ad99bcaa3</x:v>
      </x:c>
      <x:c r="J9" s="32" t="str">
        <x:v>Lido e analisado</x:v>
      </x:c>
    </x:row>
    <x:row r="10" ht="24" customHeight="1">
      <x:c r="A10" s="32" t="str">
        <x:v>F005</x:v>
      </x:c>
      <x:c r="B10" s="32" t="str">
        <x:v>C01</x:v>
      </x:c>
      <x:c r="C10" s="33" t="str">
        <x:v>YT - Arrozes especiais Bahia 01</x:v>
      </x:c>
      <x:c r="D10" s="33" t="str">
        <x:v>Arroz Especial Bahia 01 - 22 jul ate 13 de outubro/Relatório de campanha.csv</x:v>
      </x:c>
      <x:c r="E10" s="33" t="str">
        <x:v>1 de julho de 2026 - 13 de outubro de 2026</x:v>
      </x:c>
      <x:c r="F10" s="32" t="str">
        <x:v>UTF-16</x:v>
      </x:c>
      <x:c r="G10" s="32" t="n">
        <x:v>3</x:v>
      </x:c>
      <x:c r="H10" s="32" t="n">
        <x:v>20</x:v>
      </x:c>
      <x:c r="I10" s="32" t="str">
        <x:v>ac44d60422c50f198c7676dd0d6b9aefb3ce633da69346cd8d2de061de90636b</x:v>
      </x:c>
      <x:c r="J10" s="32" t="str">
        <x:v>Lido e analisado</x:v>
      </x:c>
    </x:row>
    <x:row r="11" ht="24" customHeight="1">
      <x:c r="A11" s="32" t="str">
        <x:v>F006</x:v>
      </x:c>
      <x:c r="B11" s="32" t="str">
        <x:v>C01</x:v>
      </x:c>
      <x:c r="C11" s="33" t="str">
        <x:v>YT - Arrozes especiais Bahia 01</x:v>
      </x:c>
      <x:c r="D11" s="33" t="str">
        <x:v>Arroz Especial Bahia 01 - 22 jul ate 13 de outubro/Relatório de dispositivos.csv</x:v>
      </x:c>
      <x:c r="E11" s="33" t="str">
        <x:v>1 de julho de 2026 - 13 de outubro de 2026</x:v>
      </x:c>
      <x:c r="F11" s="32" t="str">
        <x:v>UTF-16</x:v>
      </x:c>
      <x:c r="G11" s="32" t="n">
        <x:v>5</x:v>
      </x:c>
      <x:c r="H11" s="32" t="n">
        <x:v>15</x:v>
      </x:c>
      <x:c r="I11" s="32" t="str">
        <x:v>5e4bfb33e2212f96ba8806747b35afec30657fa56625b7b324d7e0210e5693af</x:v>
      </x:c>
      <x:c r="J11" s="32" t="str">
        <x:v>Lido e analisado</x:v>
      </x:c>
    </x:row>
    <x:row r="12" ht="24" customHeight="1">
      <x:c r="A12" s="32" t="str">
        <x:v>F007</x:v>
      </x:c>
      <x:c r="B12" s="32" t="str">
        <x:v>C01</x:v>
      </x:c>
      <x:c r="C12" s="33" t="str">
        <x:v>YT - Arrozes especiais Bahia 01</x:v>
      </x:c>
      <x:c r="D12" s="33" t="str">
        <x:v>Arroz Especial Bahia 01 - 22 jul ate 13 de outubro/Relatório de locais.csv</x:v>
      </x:c>
      <x:c r="E12" s="33" t="str">
        <x:v>1 de julho de 2026 - 13 de outubro de 2026</x:v>
      </x:c>
      <x:c r="F12" s="32" t="str">
        <x:v>UTF-16</x:v>
      </x:c>
      <x:c r="G12" s="32" t="n">
        <x:v>41</x:v>
      </x:c>
      <x:c r="H12" s="32" t="n">
        <x:v>11</x:v>
      </x:c>
      <x:c r="I12" s="32" t="str">
        <x:v>ad28154cf855b9d5f27d99c5aba1f78d22883550e9b02f653a91c976a241f681</x:v>
      </x:c>
      <x:c r="J12" s="32" t="str">
        <x:v>Lido e analisado</x:v>
      </x:c>
    </x:row>
    <x:row r="13" ht="24" customHeight="1">
      <x:c r="A13" s="32" t="str">
        <x:v>F008</x:v>
      </x:c>
      <x:c r="B13" s="32" t="str">
        <x:v>C01</x:v>
      </x:c>
      <x:c r="C13" s="33" t="str">
        <x:v>YT - Arrozes especiais Bahia 01</x:v>
      </x:c>
      <x:c r="D13" s="33" t="str">
        <x:v>Arroz Especial Bahia 01 - 22 jul ate 13 de outubro/Relatório do grupo de anúncios.csv</x:v>
      </x:c>
      <x:c r="E13" s="33" t="str">
        <x:v>1 de julho de 2026 - 13 de outubro de 2026</x:v>
      </x:c>
      <x:c r="F13" s="32" t="str">
        <x:v>UTF-16</x:v>
      </x:c>
      <x:c r="G13" s="32" t="n">
        <x:v>3</x:v>
      </x:c>
      <x:c r="H13" s="32" t="n">
        <x:v>17</x:v>
      </x:c>
      <x:c r="I13" s="32" t="str">
        <x:v>53819b5d43938b0f1dd8bea9db1cfaa378b0135bb15eaa4cf1e94411cb834153</x:v>
      </x:c>
      <x:c r="J13" s="32" t="str">
        <x:v>Lido e analisado</x:v>
      </x:c>
    </x:row>
    <x:row r="14" ht="24" customHeight="1">
      <x:c r="A14" s="32" t="str">
        <x:v>F009</x:v>
      </x:c>
      <x:c r="B14" s="32" t="str">
        <x:v>C02</x:v>
      </x:c>
      <x:c r="C14" s="33" t="str">
        <x:v>YT - Arrozes especiais Bahia 02</x:v>
      </x:c>
      <x:c r="D14" s="33" t="str">
        <x:v>Arroz Especial Bahia 02 - 22 jul ate 13 de outubro/Gráfico_de_série_temporal(2026.07.01-2026.10.13) (1).csv</x:v>
      </x:c>
      <x:c r="E14" s="33" t="str">
        <x:v>Datas no nome: 2026.07.01-2026.10.13</x:v>
      </x:c>
      <x:c r="F14" s="32" t="str">
        <x:v>UTF-8</x:v>
      </x:c>
      <x:c r="G14" s="32" t="n">
        <x:v>105</x:v>
      </x:c>
      <x:c r="H14" s="32" t="n">
        <x:v>5</x:v>
      </x:c>
      <x:c r="I14" s="32" t="str">
        <x:v>bfca1ac48ce30ce7624d5fd8ae8135afc27295d041638809f5fd4437da9438a4</x:v>
      </x:c>
      <x:c r="J14" s="32" t="str">
        <x:v>Lido e analisado</x:v>
      </x:c>
    </x:row>
    <x:row r="15" ht="24" customHeight="1">
      <x:c r="A15" s="32" t="str">
        <x:v>F010</x:v>
      </x:c>
      <x:c r="B15" s="32" t="str">
        <x:v>C02</x:v>
      </x:c>
      <x:c r="C15" s="33" t="str">
        <x:v>YT - Arrozes especiais Bahia 02</x:v>
      </x:c>
      <x:c r="D15" s="33" t="str">
        <x:v>Arroz Especial Bahia 02 - 22 jul ate 13 de outubro/Gráfico_de_série_temporal(2026.07.01-2026.10.13) (2).csv</x:v>
      </x:c>
      <x:c r="E15" s="33" t="str">
        <x:v>Datas no nome: 2026.07.01-2026.10.13</x:v>
      </x:c>
      <x:c r="F15" s="32" t="str">
        <x:v>UTF-8</x:v>
      </x:c>
      <x:c r="G15" s="32" t="n">
        <x:v>105</x:v>
      </x:c>
      <x:c r="H15" s="32" t="n">
        <x:v>5</x:v>
      </x:c>
      <x:c r="I15" s="32" t="str">
        <x:v>3e0ffd5624c62397f2ac2ff7bf2ba469e8c35e3e0a53f21dca3f3255f2294323</x:v>
      </x:c>
      <x:c r="J15" s="32" t="str">
        <x:v>Lido e analisado</x:v>
      </x:c>
    </x:row>
    <x:row r="16" ht="24" customHeight="1">
      <x:c r="A16" s="32" t="str">
        <x:v>F011</x:v>
      </x:c>
      <x:c r="B16" s="32" t="str">
        <x:v>C02</x:v>
      </x:c>
      <x:c r="C16" s="33" t="str">
        <x:v>YT - Arrozes especiais Bahia 02</x:v>
      </x:c>
      <x:c r="D16" s="33" t="str">
        <x:v>Arroz Especial Bahia 02 - 22 jul ate 13 de outubro/Gráfico_de_série_temporal(2026.07.01-2026.10.13).csv</x:v>
      </x:c>
      <x:c r="E16" s="33" t="str">
        <x:v>Datas no nome: 2026.07.01-2026.10.13</x:v>
      </x:c>
      <x:c r="F16" s="32" t="str">
        <x:v>UTF-8</x:v>
      </x:c>
      <x:c r="G16" s="32" t="n">
        <x:v>105</x:v>
      </x:c>
      <x:c r="H16" s="32" t="n">
        <x:v>5</x:v>
      </x:c>
      <x:c r="I16" s="32" t="str">
        <x:v>9fc562f33dfbaf58e72febaddad66eae3c62d9f2a540d63ae9791cf1bc1618df</x:v>
      </x:c>
      <x:c r="J16" s="32" t="str">
        <x:v>Lido e analisado</x:v>
      </x:c>
    </x:row>
    <x:row r="17" ht="24" customHeight="1">
      <x:c r="A17" s="32" t="str">
        <x:v>F012</x:v>
      </x:c>
      <x:c r="B17" s="32" t="str">
        <x:v>C02</x:v>
      </x:c>
      <x:c r="C17" s="33" t="str">
        <x:v>YT - Arrozes especiais Bahia 02</x:v>
      </x:c>
      <x:c r="D17" s="33" t="str">
        <x:v>Arroz Especial Bahia 02 - 22 jul ate 13 de outubro/Relatório de campanha.csv</x:v>
      </x:c>
      <x:c r="E17" s="33" t="str">
        <x:v>1 de julho de 2026 - 13 de outubro de 2026</x:v>
      </x:c>
      <x:c r="F17" s="32" t="str">
        <x:v>UTF-16</x:v>
      </x:c>
      <x:c r="G17" s="32" t="n">
        <x:v>3</x:v>
      </x:c>
      <x:c r="H17" s="32" t="n">
        <x:v>20</x:v>
      </x:c>
      <x:c r="I17" s="32" t="str">
        <x:v>1f7ce0d7f47a5cbb4318d141c285e4e74ad2dc36edf8aa82bc580b3d2250b63e</x:v>
      </x:c>
      <x:c r="J17" s="32" t="str">
        <x:v>Lido e analisado</x:v>
      </x:c>
    </x:row>
    <x:row r="18" ht="24" customHeight="1">
      <x:c r="A18" s="32" t="str">
        <x:v>F013</x:v>
      </x:c>
      <x:c r="B18" s="32" t="str">
        <x:v>C02</x:v>
      </x:c>
      <x:c r="C18" s="33" t="str">
        <x:v>YT - Arrozes especiais Bahia 02</x:v>
      </x:c>
      <x:c r="D18" s="33" t="str">
        <x:v>Arroz Especial Bahia 02 - 22 jul ate 13 de outubro/Relatório de dispositivos.csv</x:v>
      </x:c>
      <x:c r="E18" s="33" t="str">
        <x:v>1 de julho de 2026 - 13 de outubro de 2026</x:v>
      </x:c>
      <x:c r="F18" s="32" t="str">
        <x:v>UTF-16</x:v>
      </x:c>
      <x:c r="G18" s="32" t="n">
        <x:v>5</x:v>
      </x:c>
      <x:c r="H18" s="32" t="n">
        <x:v>15</x:v>
      </x:c>
      <x:c r="I18" s="32" t="str">
        <x:v>584aafa3cb6e899f1a3dc0c8a1d812008c0d258e8283d46467a1d37aa0276aa9</x:v>
      </x:c>
      <x:c r="J18" s="32" t="str">
        <x:v>Lido e analisado</x:v>
      </x:c>
    </x:row>
    <x:row r="19" ht="24" customHeight="1">
      <x:c r="A19" s="32" t="str">
        <x:v>F014</x:v>
      </x:c>
      <x:c r="B19" s="32" t="str">
        <x:v>C02</x:v>
      </x:c>
      <x:c r="C19" s="33" t="str">
        <x:v>YT - Arrozes especiais Bahia 02</x:v>
      </x:c>
      <x:c r="D19" s="33" t="str">
        <x:v>Arroz Especial Bahia 02 - 22 jul ate 13 de outubro/Relatório de locais.csv</x:v>
      </x:c>
      <x:c r="E19" s="33" t="str">
        <x:v>1 de julho de 2026 - 13 de outubro de 2026</x:v>
      </x:c>
      <x:c r="F19" s="32" t="str">
        <x:v>UTF-16</x:v>
      </x:c>
      <x:c r="G19" s="32" t="n">
        <x:v>47</x:v>
      </x:c>
      <x:c r="H19" s="32" t="n">
        <x:v>11</x:v>
      </x:c>
      <x:c r="I19" s="32" t="str">
        <x:v>2d621122f74513633883e0153b6fee2c8766dbe35f7fff84cc4c7b6cc2f8b22d</x:v>
      </x:c>
      <x:c r="J19" s="32" t="str">
        <x:v>Lido e analisado</x:v>
      </x:c>
    </x:row>
    <x:row r="20" ht="24" customHeight="1">
      <x:c r="A20" s="32" t="str">
        <x:v>F015</x:v>
      </x:c>
      <x:c r="B20" s="32" t="str">
        <x:v>C02</x:v>
      </x:c>
      <x:c r="C20" s="33" t="str">
        <x:v>YT - Arrozes especiais Bahia 02</x:v>
      </x:c>
      <x:c r="D20" s="33" t="str">
        <x:v>Arroz Especial Bahia 02 - 22 jul ate 13 de outubro/Relatório do grupo de anúncios.csv</x:v>
      </x:c>
      <x:c r="E20" s="33" t="str">
        <x:v>1 de julho de 2026 - 13 de outubro de 2026</x:v>
      </x:c>
      <x:c r="F20" s="32" t="str">
        <x:v>UTF-16</x:v>
      </x:c>
      <x:c r="G20" s="32" t="n">
        <x:v>3</x:v>
      </x:c>
      <x:c r="H20" s="32" t="n">
        <x:v>17</x:v>
      </x:c>
      <x:c r="I20" s="32" t="str">
        <x:v>b36827c5e3a7f75ef336ca5f289e9c8e29dff93752622aafdb31f1623bfbf69a</x:v>
      </x:c>
      <x:c r="J20" s="32" t="str">
        <x:v>Lido e analisado</x:v>
      </x:c>
    </x:row>
    <x:row r="21" ht="24" customHeight="1">
      <x:c r="A21" s="32" t="str">
        <x:v>F016</x:v>
      </x:c>
      <x:c r="B21" s="32" t="str">
        <x:v>C02</x:v>
      </x:c>
      <x:c r="C21" s="33" t="str">
        <x:v>YT - Arrozes especiais Bahia 02</x:v>
      </x:c>
      <x:c r="D21" s="33" t="str">
        <x:v>Arroz Especial Bahia 02 - 22 jul ate 13 de outubro/Relatório por loja.csv</x:v>
      </x:c>
      <x:c r="E21" s="33" t="str">
        <x:v>1 de julho de 2026 - 13 de outubro de 2026</x:v>
      </x:c>
      <x:c r="F21" s="32" t="str">
        <x:v>UTF-16</x:v>
      </x:c>
      <x:c r="G21" s="32" t="n">
        <x:v>6</x:v>
      </x:c>
      <x:c r="H21" s="32" t="n">
        <x:v>13</x:v>
      </x:c>
      <x:c r="I21" s="32" t="str">
        <x:v>f0627a4416b08c1a9550982ee276cfd4486e8a0ce8d40d74d7f38bea8a08b023</x:v>
      </x:c>
      <x:c r="J21" s="32" t="str">
        <x:v>Lido e analisado</x:v>
      </x:c>
    </x:row>
    <x:row r="22" ht="24" customHeight="1">
      <x:c r="A22" s="32" t="str">
        <x:v>F017</x:v>
      </x:c>
      <x:c r="B22" s="32" t="str">
        <x:v>C03</x:v>
      </x:c>
      <x:c r="C22" s="33" t="str">
        <x:v>YT - Arrozes especiais Bahia 03</x:v>
      </x:c>
      <x:c r="D22" s="33" t="str">
        <x:v>Arroz Especial Bahia 03 - 22 jul ate 13 de outubro/Gráfico_de_série_temporal(2026.07.01-2026.10.13) (1).csv</x:v>
      </x:c>
      <x:c r="E22" s="33" t="str">
        <x:v>Datas no nome: 2026.07.01-2026.10.13</x:v>
      </x:c>
      <x:c r="F22" s="32" t="str">
        <x:v>UTF-8</x:v>
      </x:c>
      <x:c r="G22" s="32" t="n">
        <x:v>105</x:v>
      </x:c>
      <x:c r="H22" s="32" t="n">
        <x:v>5</x:v>
      </x:c>
      <x:c r="I22" s="32" t="str">
        <x:v>b9c6dfa4c41307b40e84aca4bc5fd46449d9438ec46bb08d7ed02eed94987a57</x:v>
      </x:c>
      <x:c r="J22" s="32" t="str">
        <x:v>Lido e analisado</x:v>
      </x:c>
    </x:row>
    <x:row r="23" ht="24" customHeight="1">
      <x:c r="A23" s="32" t="str">
        <x:v>F018</x:v>
      </x:c>
      <x:c r="B23" s="32" t="str">
        <x:v>C03</x:v>
      </x:c>
      <x:c r="C23" s="33" t="str">
        <x:v>YT - Arrozes especiais Bahia 03</x:v>
      </x:c>
      <x:c r="D23" s="33" t="str">
        <x:v>Arroz Especial Bahia 03 - 22 jul ate 13 de outubro/Gráfico_de_série_temporal(2026.07.01-2026.10.13) (2).csv</x:v>
      </x:c>
      <x:c r="E23" s="33" t="str">
        <x:v>Datas no nome: 2026.07.01-2026.10.13</x:v>
      </x:c>
      <x:c r="F23" s="32" t="str">
        <x:v>UTF-8</x:v>
      </x:c>
      <x:c r="G23" s="32" t="n">
        <x:v>105</x:v>
      </x:c>
      <x:c r="H23" s="32" t="n">
        <x:v>5</x:v>
      </x:c>
      <x:c r="I23" s="32" t="str">
        <x:v>f5cf53e7f9f37147f55b4f492ccc0903a318ca48877036f1aea5fbf27ebb4beb</x:v>
      </x:c>
      <x:c r="J23" s="32" t="str">
        <x:v>Lido e analisado</x:v>
      </x:c>
    </x:row>
    <x:row r="24" ht="24" customHeight="1">
      <x:c r="A24" s="32" t="str">
        <x:v>F019</x:v>
      </x:c>
      <x:c r="B24" s="32" t="str">
        <x:v>C03</x:v>
      </x:c>
      <x:c r="C24" s="33" t="str">
        <x:v>YT - Arrozes especiais Bahia 03</x:v>
      </x:c>
      <x:c r="D24" s="33" t="str">
        <x:v>Arroz Especial Bahia 03 - 22 jul ate 13 de outubro/Gráfico_de_série_temporal(2026.07.01-2026.10.13).csv</x:v>
      </x:c>
      <x:c r="E24" s="33" t="str">
        <x:v>Datas no nome: 2026.07.01-2026.10.13</x:v>
      </x:c>
      <x:c r="F24" s="32" t="str">
        <x:v>UTF-8</x:v>
      </x:c>
      <x:c r="G24" s="32" t="n">
        <x:v>105</x:v>
      </x:c>
      <x:c r="H24" s="32" t="n">
        <x:v>5</x:v>
      </x:c>
      <x:c r="I24" s="32" t="str">
        <x:v>83e02842c6f82e96fab54e97e55ac0f5dbc9abfe92ac80ebe2dadd80c432c5f8</x:v>
      </x:c>
      <x:c r="J24" s="32" t="str">
        <x:v>Lido e analisado</x:v>
      </x:c>
    </x:row>
    <x:row r="25" ht="24" customHeight="1">
      <x:c r="A25" s="32" t="str">
        <x:v>F020</x:v>
      </x:c>
      <x:c r="B25" s="32" t="str">
        <x:v>C03</x:v>
      </x:c>
      <x:c r="C25" s="33" t="str">
        <x:v>YT - Arrozes especiais Bahia 03</x:v>
      </x:c>
      <x:c r="D25" s="33" t="str">
        <x:v>Arroz Especial Bahia 03 - 22 jul ate 13 de outubro/Relatório de anúncios.csv</x:v>
      </x:c>
      <x:c r="E25" s="33" t="str">
        <x:v>1 de julho de 2026 - 13 de outubro de 2026</x:v>
      </x:c>
      <x:c r="F25" s="32" t="str">
        <x:v>UTF-16</x:v>
      </x:c>
      <x:c r="G25" s="32" t="n">
        <x:v>3</x:v>
      </x:c>
      <x:c r="H25" s="32" t="n">
        <x:v>51</x:v>
      </x:c>
      <x:c r="I25" s="32" t="str">
        <x:v>fd18d798b2512988937e2a460b0b18510ca49bdee5ef4dd265c6168a6aed5067</x:v>
      </x:c>
      <x:c r="J25" s="32" t="str">
        <x:v>Lido e analisado</x:v>
      </x:c>
    </x:row>
    <x:row r="26" ht="24" customHeight="1">
      <x:c r="A26" s="32" t="str">
        <x:v>F021</x:v>
      </x:c>
      <x:c r="B26" s="32" t="str">
        <x:v>C03</x:v>
      </x:c>
      <x:c r="C26" s="33" t="str">
        <x:v>YT - Arrozes especiais Bahia 03</x:v>
      </x:c>
      <x:c r="D26" s="33" t="str">
        <x:v>Arroz Especial Bahia 03 - 22 jul ate 13 de outubro/Relatório de campanha.csv</x:v>
      </x:c>
      <x:c r="E26" s="33" t="str">
        <x:v>1 de julho de 2026 - 13 de outubro de 2026</x:v>
      </x:c>
      <x:c r="F26" s="32" t="str">
        <x:v>UTF-16</x:v>
      </x:c>
      <x:c r="G26" s="32" t="n">
        <x:v>3</x:v>
      </x:c>
      <x:c r="H26" s="32" t="n">
        <x:v>20</x:v>
      </x:c>
      <x:c r="I26" s="32" t="str">
        <x:v>07322c490747fd567f508a19737af24de089f389b63008a2caedcdd1976a7dcd</x:v>
      </x:c>
      <x:c r="J26" s="32" t="str">
        <x:v>Lido e analisado</x:v>
      </x:c>
    </x:row>
    <x:row r="27" ht="24" customHeight="1">
      <x:c r="A27" s="32" t="str">
        <x:v>F022</x:v>
      </x:c>
      <x:c r="B27" s="32" t="str">
        <x:v>C03</x:v>
      </x:c>
      <x:c r="C27" s="33" t="str">
        <x:v>YT - Arrozes especiais Bahia 03</x:v>
      </x:c>
      <x:c r="D27" s="33" t="str">
        <x:v>Arroz Especial Bahia 03 - 22 jul ate 13 de outubro/Relatório de dispositivos.csv</x:v>
      </x:c>
      <x:c r="E27" s="33" t="str">
        <x:v>1 de julho de 2026 - 13 de outubro de 2026</x:v>
      </x:c>
      <x:c r="F27" s="32" t="str">
        <x:v>UTF-16</x:v>
      </x:c>
      <x:c r="G27" s="32" t="n">
        <x:v>5</x:v>
      </x:c>
      <x:c r="H27" s="32" t="n">
        <x:v>15</x:v>
      </x:c>
      <x:c r="I27" s="32" t="str">
        <x:v>60bd2e99b625a8c126021df21ab7f42cc6bad546178470edb413c8d39c0c1561</x:v>
      </x:c>
      <x:c r="J27" s="32" t="str">
        <x:v>Lido e analisado</x:v>
      </x:c>
    </x:row>
    <x:row r="28" ht="24" customHeight="1">
      <x:c r="A28" s="32" t="str">
        <x:v>F023</x:v>
      </x:c>
      <x:c r="B28" s="32" t="str">
        <x:v>C03</x:v>
      </x:c>
      <x:c r="C28" s="33" t="str">
        <x:v>YT - Arrozes especiais Bahia 03</x:v>
      </x:c>
      <x:c r="D28" s="33" t="str">
        <x:v>Arroz Especial Bahia 03 - 22 jul ate 13 de outubro/Relatório de locais.csv</x:v>
      </x:c>
      <x:c r="E28" s="33" t="str">
        <x:v>1 de julho de 2026 - 13 de outubro de 2026</x:v>
      </x:c>
      <x:c r="F28" s="32" t="str">
        <x:v>UTF-16</x:v>
      </x:c>
      <x:c r="G28" s="32" t="n">
        <x:v>31</x:v>
      </x:c>
      <x:c r="H28" s="32" t="n">
        <x:v>11</x:v>
      </x:c>
      <x:c r="I28" s="32" t="str">
        <x:v>4a365f06aa648120b4c3c2cdf899b637ddf3de81065d57da04614a3cd7ab8e0f</x:v>
      </x:c>
      <x:c r="J28" s="32" t="str">
        <x:v>Lido e analisado</x:v>
      </x:c>
    </x:row>
    <x:row r="29" ht="24" customHeight="1">
      <x:c r="A29" s="32" t="str">
        <x:v>F024</x:v>
      </x:c>
      <x:c r="B29" s="32" t="str">
        <x:v>C03</x:v>
      </x:c>
      <x:c r="C29" s="33" t="str">
        <x:v>YT - Arrozes especiais Bahia 03</x:v>
      </x:c>
      <x:c r="D29" s="33" t="str">
        <x:v>Arroz Especial Bahia 03 - 22 jul ate 13 de outubro/Relatório do grupo de anúncios.csv</x:v>
      </x:c>
      <x:c r="E29" s="33" t="str">
        <x:v>1 de julho de 2026 - 13 de outubro de 2026</x:v>
      </x:c>
      <x:c r="F29" s="32" t="str">
        <x:v>UTF-16</x:v>
      </x:c>
      <x:c r="G29" s="32" t="n">
        <x:v>3</x:v>
      </x:c>
      <x:c r="H29" s="32" t="n">
        <x:v>17</x:v>
      </x:c>
      <x:c r="I29" s="32" t="str">
        <x:v>eb4d4a16882fee490aad45a1a0d63d4edba82aca6566245017787d7b1fbacda2</x:v>
      </x:c>
      <x:c r="J29" s="32" t="str">
        <x:v>Lido e analisado</x:v>
      </x:c>
    </x:row>
    <x:row r="30" ht="24" customHeight="1">
      <x:c r="A30" s="32" t="str">
        <x:v>F025</x:v>
      </x:c>
      <x:c r="B30" s="32" t="str">
        <x:v>C03</x:v>
      </x:c>
      <x:c r="C30" s="33" t="str">
        <x:v>YT - Arrozes especiais Bahia 03</x:v>
      </x:c>
      <x:c r="D30" s="33" t="str">
        <x:v>Arroz Especial Bahia 03 - 22 jul ate 13 de outubro/Relatório por loja.csv</x:v>
      </x:c>
      <x:c r="E30" s="33" t="str">
        <x:v>1 de julho de 2026 - 13 de outubro de 2026</x:v>
      </x:c>
      <x:c r="F30" s="32" t="str">
        <x:v>UTF-16</x:v>
      </x:c>
      <x:c r="G30" s="32" t="n">
        <x:v>6</x:v>
      </x:c>
      <x:c r="H30" s="32" t="n">
        <x:v>13</x:v>
      </x:c>
      <x:c r="I30" s="32" t="str">
        <x:v>f818365fad711e3fb31e4e11c9f0babc5712751c44b0481204097587d258763c</x:v>
      </x:c>
      <x:c r="J30" s="32" t="str">
        <x:v>Lido e analisado</x:v>
      </x:c>
    </x:row>
    <x:row r="31" ht="24" customHeight="1">
      <x:c r="A31" s="32" t="str">
        <x:v>F026</x:v>
      </x:c>
      <x:c r="B31" s="32" t="str">
        <x:v>C04</x:v>
      </x:c>
      <x:c r="C31" s="33" t="str">
        <x:v>Remarketing Caçarola</x:v>
      </x:c>
      <x:c r="D31" s="33" t="str">
        <x:v>Caçarola Remarketing/brand_performance_report.zip &gt; Freq. méd. impr. _ usuário (covisualizadas).csv</x:v>
      </x:c>
      <x:c r="E31" s="33" t="str">
        <x:v>Período não informado no arquivo</x:v>
      </x:c>
      <x:c r="F31" s="32" t="str">
        <x:v>UTF-8</x:v>
      </x:c>
      <x:c r="G31" s="32" t="n">
        <x:v>8</x:v>
      </x:c>
      <x:c r="H31" s="32" t="n">
        <x:v>2</x:v>
      </x:c>
      <x:c r="I31" s="32" t="str">
        <x:v>5560e29d97540a2f9066b3b162bc05324614ee96f4e9f86c218b60c1da2e7173</x:v>
      </x:c>
      <x:c r="J31" s="32" t="str">
        <x:v>Lido e analisado</x:v>
      </x:c>
    </x:row>
    <x:row r="32" ht="39" customHeight="1">
      <x:c r="A32" s="32" t="str">
        <x:v>F027</x:v>
      </x:c>
      <x:c r="B32" s="32" t="str">
        <x:v>C04</x:v>
      </x:c>
      <x:c r="C32" s="33" t="str">
        <x:v>Remarketing Caçarola</x:v>
      </x:c>
      <x:c r="D32" s="33" t="str">
        <x:v>Caçarola Remarketing/brand_performance_report.zip &gt; Formatos de anúncio por tipo de campanha/Usuários únicos (covisualizados).csv</x:v>
      </x:c>
      <x:c r="E32" s="33" t="str">
        <x:v>Período não informado no arquivo</x:v>
      </x:c>
      <x:c r="F32" s="32" t="str">
        <x:v>UTF-8</x:v>
      </x:c>
      <x:c r="G32" s="32" t="n">
        <x:v>2</x:v>
      </x:c>
      <x:c r="H32" s="32" t="n">
        <x:v>3</x:v>
      </x:c>
      <x:c r="I32" s="32" t="str">
        <x:v>649eedc5426834f6f20d38c656d8b02e78467081c6d4ff3a137d15802c52b542</x:v>
      </x:c>
      <x:c r="J32" s="32" t="str">
        <x:v>Lido e analisado</x:v>
      </x:c>
    </x:row>
    <x:row r="33" ht="39" customHeight="1">
      <x:c r="A33" s="32" t="str">
        <x:v>F028</x:v>
      </x:c>
      <x:c r="B33" s="32" t="str">
        <x:v>C04</x:v>
      </x:c>
      <x:c r="C33" s="33" t="str">
        <x:v>Remarketing Caçarola</x:v>
      </x:c>
      <x:c r="D33" s="33" t="str">
        <x:v>Caçarola Remarketing/brand_performance_report.zip &gt; Formatos de anúncio por tipo de campanha/Freq. méd. impr. _ usuário (covisualizadas).csv</x:v>
      </x:c>
      <x:c r="E33" s="33" t="str">
        <x:v>Período não informado no arquivo</x:v>
      </x:c>
      <x:c r="F33" s="32" t="str">
        <x:v>UTF-8</x:v>
      </x:c>
      <x:c r="G33" s="32" t="n">
        <x:v>3</x:v>
      </x:c>
      <x:c r="H33" s="32" t="n">
        <x:v>2</x:v>
      </x:c>
      <x:c r="I33" s="32" t="str">
        <x:v>d9372fd7324e4e933e7e6b4510227e862f6690a5f30e75f4fd5fb727b5b83a5c</x:v>
      </x:c>
      <x:c r="J33" s="32" t="str">
        <x:v>Lido e analisado</x:v>
      </x:c>
    </x:row>
    <x:row r="34" ht="24" customHeight="1">
      <x:c r="A34" s="32" t="str">
        <x:v>F029</x:v>
      </x:c>
      <x:c r="B34" s="32" t="str">
        <x:v>C04</x:v>
      </x:c>
      <x:c r="C34" s="33" t="str">
        <x:v>Remarketing Caçarola</x:v>
      </x:c>
      <x:c r="D34" s="33" t="str">
        <x:v>Caçarola Remarketing/brand_performance_report.zip &gt; Dispositivos/Usuários únicos (covisualizados).csv</x:v>
      </x:c>
      <x:c r="E34" s="33" t="str">
        <x:v>Período não informado no arquivo</x:v>
      </x:c>
      <x:c r="F34" s="32" t="str">
        <x:v>UTF-8</x:v>
      </x:c>
      <x:c r="G34" s="32" t="n">
        <x:v>4</x:v>
      </x:c>
      <x:c r="H34" s="32" t="n">
        <x:v>2</x:v>
      </x:c>
      <x:c r="I34" s="32" t="str">
        <x:v>32cc086a682e897fcd418737a394fa4169a9a7778fb516c762b2fa1cd63bb1d9</x:v>
      </x:c>
      <x:c r="J34" s="32" t="str">
        <x:v>Lido e analisado</x:v>
      </x:c>
    </x:row>
    <x:row r="35" ht="24" customHeight="1">
      <x:c r="A35" s="32" t="str">
        <x:v>F030</x:v>
      </x:c>
      <x:c r="B35" s="32" t="str">
        <x:v>C04</x:v>
      </x:c>
      <x:c r="C35" s="33" t="str">
        <x:v>Remarketing Caçarola</x:v>
      </x:c>
      <x:c r="D35" s="33" t="str">
        <x:v>Caçarola Remarketing/brand_performance_report.zip &gt; Dispositivos/Freq. méd. impr. _ usuário (covisualizadas).csv</x:v>
      </x:c>
      <x:c r="E35" s="33" t="str">
        <x:v>Período não informado no arquivo</x:v>
      </x:c>
      <x:c r="F35" s="32" t="str">
        <x:v>UTF-8</x:v>
      </x:c>
      <x:c r="G35" s="32" t="n">
        <x:v>4</x:v>
      </x:c>
      <x:c r="H35" s="32" t="n">
        <x:v>2</x:v>
      </x:c>
      <x:c r="I35" s="32" t="str">
        <x:v>29792a94c9a21cd7d1172fb3371e5da7e65451d1dcb82efa088cdedb5d26ed8d</x:v>
      </x:c>
      <x:c r="J35" s="32" t="str">
        <x:v>Lido e analisado</x:v>
      </x:c>
    </x:row>
    <x:row r="36" ht="24" customHeight="1">
      <x:c r="A36" s="32" t="str">
        <x:v>F031</x:v>
      </x:c>
      <x:c r="B36" s="32" t="str">
        <x:v>C04</x:v>
      </x:c>
      <x:c r="C36" s="33" t="str">
        <x:v>Remarketing Caçarola</x:v>
      </x:c>
      <x:c r="D36" s="33" t="str">
        <x:v>Caçarola Remarketing/brand_performance_report.zip &gt; Local.csv</x:v>
      </x:c>
      <x:c r="E36" s="33" t="str">
        <x:v>Período não informado no arquivo</x:v>
      </x:c>
      <x:c r="F36" s="32" t="str">
        <x:v>UTF-8</x:v>
      </x:c>
      <x:c r="G36" s="32" t="n">
        <x:v>1</x:v>
      </x:c>
      <x:c r="H36" s="32" t="n">
        <x:v>3</x:v>
      </x:c>
      <x:c r="I36" s="32" t="str">
        <x:v>3f4107887eb6083bd153ce658c0d2fcb34a303381ddf013c3733590e12a1fa20</x:v>
      </x:c>
      <x:c r="J36" s="32" t="str">
        <x:v>Lido e analisado</x:v>
      </x:c>
    </x:row>
    <x:row r="37" ht="24" customHeight="1">
      <x:c r="A37" s="32" t="str">
        <x:v>F032</x:v>
      </x:c>
      <x:c r="B37" s="32" t="str">
        <x:v>C04</x:v>
      </x:c>
      <x:c r="C37" s="33" t="str">
        <x:v>Remarketing Caçarola</x:v>
      </x:c>
      <x:c r="D37" s="33" t="str">
        <x:v>Caçarola Remarketing/Gráfico_de_série_temporal(2026.08.27-2026.10.14) (1).csv</x:v>
      </x:c>
      <x:c r="E37" s="33" t="str">
        <x:v>Datas no nome: 2026.08.27-2026.10.14</x:v>
      </x:c>
      <x:c r="F37" s="32" t="str">
        <x:v>UTF-8</x:v>
      </x:c>
      <x:c r="G37" s="32" t="n">
        <x:v>49</x:v>
      </x:c>
      <x:c r="H37" s="32" t="n">
        <x:v>5</x:v>
      </x:c>
      <x:c r="I37" s="32" t="str">
        <x:v>72121cc989208c415742ae0f3fb36a77df351205ec9cb0ccaa233725959e4981</x:v>
      </x:c>
      <x:c r="J37" s="32" t="str">
        <x:v>Lido e analisado</x:v>
      </x:c>
    </x:row>
    <x:row r="38" ht="24" customHeight="1">
      <x:c r="A38" s="32" t="str">
        <x:v>F033</x:v>
      </x:c>
      <x:c r="B38" s="32" t="str">
        <x:v>C04</x:v>
      </x:c>
      <x:c r="C38" s="33" t="str">
        <x:v>Remarketing Caçarola</x:v>
      </x:c>
      <x:c r="D38" s="33" t="str">
        <x:v>Caçarola Remarketing/Gráfico_de_série_temporal(2026.08.27-2026.10.14) (2).csv</x:v>
      </x:c>
      <x:c r="E38" s="33" t="str">
        <x:v>Datas no nome: 2026.08.27-2026.10.14</x:v>
      </x:c>
      <x:c r="F38" s="32" t="str">
        <x:v>UTF-8</x:v>
      </x:c>
      <x:c r="G38" s="32" t="n">
        <x:v>49</x:v>
      </x:c>
      <x:c r="H38" s="32" t="n">
        <x:v>5</x:v>
      </x:c>
      <x:c r="I38" s="32" t="str">
        <x:v>5a63a2738b6583df88b3e8b827178235374c8404b806fb16d9890863740d8b72</x:v>
      </x:c>
      <x:c r="J38" s="32" t="str">
        <x:v>Lido e analisado</x:v>
      </x:c>
    </x:row>
    <x:row r="39" ht="24" customHeight="1">
      <x:c r="A39" s="32" t="str">
        <x:v>F034</x:v>
      </x:c>
      <x:c r="B39" s="32" t="str">
        <x:v>C04</x:v>
      </x:c>
      <x:c r="C39" s="33" t="str">
        <x:v>Remarketing Caçarola</x:v>
      </x:c>
      <x:c r="D39" s="33" t="str">
        <x:v>Caçarola Remarketing/Gráfico_de_série_temporal(2026.08.27-2026.10.14).csv</x:v>
      </x:c>
      <x:c r="E39" s="33" t="str">
        <x:v>Datas no nome: 2026.08.27-2026.10.14</x:v>
      </x:c>
      <x:c r="F39" s="32" t="str">
        <x:v>UTF-8</x:v>
      </x:c>
      <x:c r="G39" s="32" t="n">
        <x:v>49</x:v>
      </x:c>
      <x:c r="H39" s="32" t="n">
        <x:v>5</x:v>
      </x:c>
      <x:c r="I39" s="32" t="str">
        <x:v>7829533f877888e0702106421202379ef82ab6a6ebe2a197e09d0eb757cd3df9</x:v>
      </x:c>
      <x:c r="J39" s="32" t="str">
        <x:v>Lido e analisado</x:v>
      </x:c>
    </x:row>
    <x:row r="40" ht="24" customHeight="1">
      <x:c r="A40" s="32" t="str">
        <x:v>F035</x:v>
      </x:c>
      <x:c r="B40" s="32" t="str">
        <x:v>C04</x:v>
      </x:c>
      <x:c r="C40" s="33" t="str">
        <x:v>Remarketing Caçarola</x:v>
      </x:c>
      <x:c r="D40" s="33" t="str">
        <x:v>Caçarola Remarketing/Relatório de anúncios.csv</x:v>
      </x:c>
      <x:c r="E40" s="33" t="str">
        <x:v>27 de agosto de 2026 - 14 de outubro de 2026</x:v>
      </x:c>
      <x:c r="F40" s="32" t="str">
        <x:v>UTF-16</x:v>
      </x:c>
      <x:c r="G40" s="32" t="n">
        <x:v>3</x:v>
      </x:c>
      <x:c r="H40" s="32" t="n">
        <x:v>51</x:v>
      </x:c>
      <x:c r="I40" s="32" t="str">
        <x:v>7b0781a5205a720d5961d56e78fbb617bc2624bf0887f241d270d3764fd39ae9</x:v>
      </x:c>
      <x:c r="J40" s="32" t="str">
        <x:v>Lido e analisado</x:v>
      </x:c>
    </x:row>
    <x:row r="41" ht="24" customHeight="1">
      <x:c r="A41" s="32" t="str">
        <x:v>F036</x:v>
      </x:c>
      <x:c r="B41" s="32" t="str">
        <x:v>C04</x:v>
      </x:c>
      <x:c r="C41" s="33" t="str">
        <x:v>Remarketing Caçarola</x:v>
      </x:c>
      <x:c r="D41" s="33" t="str">
        <x:v>Caçarola Remarketing/Relatório de campanha.csv</x:v>
      </x:c>
      <x:c r="E41" s="33" t="str">
        <x:v>27 de agosto de 2026 - 14 de outubro de 2026</x:v>
      </x:c>
      <x:c r="F41" s="32" t="str">
        <x:v>UTF-16</x:v>
      </x:c>
      <x:c r="G41" s="32" t="n">
        <x:v>3</x:v>
      </x:c>
      <x:c r="H41" s="32" t="n">
        <x:v>20</x:v>
      </x:c>
      <x:c r="I41" s="32" t="str">
        <x:v>36dcc9605ad812519a3c36d51bbb71df041e564a2115cd15e2894d889789dffe</x:v>
      </x:c>
      <x:c r="J41" s="32" t="str">
        <x:v>Lido e analisado</x:v>
      </x:c>
    </x:row>
    <x:row r="42" ht="24" customHeight="1">
      <x:c r="A42" s="32" t="str">
        <x:v>F037</x:v>
      </x:c>
      <x:c r="B42" s="32" t="str">
        <x:v>C04</x:v>
      </x:c>
      <x:c r="C42" s="33" t="str">
        <x:v>Remarketing Caçarola</x:v>
      </x:c>
      <x:c r="D42" s="33" t="str">
        <x:v>Caçarola Remarketing/Relatório de dispositivos.csv</x:v>
      </x:c>
      <x:c r="E42" s="33" t="str">
        <x:v>27 de agosto de 2026 - 14 de outubro de 2026</x:v>
      </x:c>
      <x:c r="F42" s="32" t="str">
        <x:v>UTF-16</x:v>
      </x:c>
      <x:c r="G42" s="32" t="n">
        <x:v>5</x:v>
      </x:c>
      <x:c r="H42" s="32" t="n">
        <x:v>15</x:v>
      </x:c>
      <x:c r="I42" s="32" t="str">
        <x:v>f742137621344fd15a3692d91840067261648bc025824d5c555421ce67dee233</x:v>
      </x:c>
      <x:c r="J42" s="32" t="str">
        <x:v>Lido e analisado</x:v>
      </x:c>
    </x:row>
    <x:row r="43" ht="24" customHeight="1">
      <x:c r="A43" s="32" t="str">
        <x:v>F038</x:v>
      </x:c>
      <x:c r="B43" s="32" t="str">
        <x:v>C04</x:v>
      </x:c>
      <x:c r="C43" s="33" t="str">
        <x:v>Remarketing Caçarola</x:v>
      </x:c>
      <x:c r="D43" s="33" t="str">
        <x:v>Caçarola Remarketing/Relatório de locais.csv</x:v>
      </x:c>
      <x:c r="E43" s="33" t="str">
        <x:v>27 de agosto de 2026 - 14 de outubro de 2026</x:v>
      </x:c>
      <x:c r="F43" s="32" t="str">
        <x:v>UTF-16</x:v>
      </x:c>
      <x:c r="G43" s="32" t="n">
        <x:v>40</x:v>
      </x:c>
      <x:c r="H43" s="32" t="n">
        <x:v>11</x:v>
      </x:c>
      <x:c r="I43" s="32" t="str">
        <x:v>27b88c89f19ebd54e044ca609a034da039cf0f5c51c01d3ebb6910ddeacddd0a</x:v>
      </x:c>
      <x:c r="J43" s="32" t="str">
        <x:v>Lido e analisado</x:v>
      </x:c>
    </x:row>
    <x:row r="44" ht="24" customHeight="1">
      <x:c r="A44" s="32" t="str">
        <x:v>F039</x:v>
      </x:c>
      <x:c r="B44" s="32" t="str">
        <x:v>C04</x:v>
      </x:c>
      <x:c r="C44" s="33" t="str">
        <x:v>Remarketing Caçarola</x:v>
      </x:c>
      <x:c r="D44" s="33" t="str">
        <x:v>Caçarola Remarketing/Relatório do grupo de anúncios.csv</x:v>
      </x:c>
      <x:c r="E44" s="33" t="str">
        <x:v>27 de agosto de 2026 - 14 de outubro de 2026</x:v>
      </x:c>
      <x:c r="F44" s="32" t="str">
        <x:v>UTF-16</x:v>
      </x:c>
      <x:c r="G44" s="32" t="n">
        <x:v>3</x:v>
      </x:c>
      <x:c r="H44" s="32" t="n">
        <x:v>17</x:v>
      </x:c>
      <x:c r="I44" s="32" t="str">
        <x:v>f0791da4865b68f4670a068297a37a87dfaf57203ec27a21c5eb25cf3dbd10e0</x:v>
      </x:c>
      <x:c r="J44" s="32" t="str">
        <x:v>Lido e analisado</x:v>
      </x:c>
    </x:row>
    <x:row r="45" ht="24" customHeight="1">
      <x:c r="A45" s="32" t="str">
        <x:v>F040</x:v>
      </x:c>
      <x:c r="B45" s="32" t="str">
        <x:v>C04</x:v>
      </x:c>
      <x:c r="C45" s="33" t="str">
        <x:v>Remarketing Caçarola</x:v>
      </x:c>
      <x:c r="D45" s="33" t="str">
        <x:v>Caçarola Remarketing/Relatório por loja.csv</x:v>
      </x:c>
      <x:c r="E45" s="33" t="str">
        <x:v>27 de agosto de 2026 - 14 de outubro de 2026</x:v>
      </x:c>
      <x:c r="F45" s="32" t="str">
        <x:v>UTF-16</x:v>
      </x:c>
      <x:c r="G45" s="32" t="n">
        <x:v>6</x:v>
      </x:c>
      <x:c r="H45" s="32" t="n">
        <x:v>13</x:v>
      </x:c>
      <x:c r="I45" s="32" t="str">
        <x:v>82692e1ba8299f16979f18ad3a2e7db7be4b6f93cd34b8352d2d0cb702272fd3</x:v>
      </x:c>
      <x:c r="J45" s="32" t="str">
        <x:v>Lido e analisado</x:v>
      </x:c>
    </x:row>
    <x:row r="46" ht="24" customHeight="1">
      <x:c r="A46" s="32" t="str">
        <x:v>F041</x:v>
      </x:c>
      <x:c r="B46" s="32" t="str">
        <x:v>C05</x:v>
      </x:c>
      <x:c r="C46" s="33" t="str">
        <x:v>[TRON] - YouTube 01 -  VT 5 Seg - {Reg SC} - 07/10</x:v>
      </x:c>
      <x:c r="D46" s="33" t="str">
        <x:v>TRON - YOUTUBE 01 - VT 5 SEG - REG SC 07-10/brand_performance_report.zip &gt; Freq. méd. impr. _ usuário (covisualizadas).csv</x:v>
      </x:c>
      <x:c r="E46" s="33" t="str">
        <x:v>Período não informado no arquivo</x:v>
      </x:c>
      <x:c r="F46" s="32" t="str">
        <x:v>UTF-8</x:v>
      </x:c>
      <x:c r="G46" s="32" t="n">
        <x:v>7</x:v>
      </x:c>
      <x:c r="H46" s="32" t="n">
        <x:v>2</x:v>
      </x:c>
      <x:c r="I46" s="32" t="str">
        <x:v>010dda9b5d7fd010b880f8b0dc95dabb65c571f861aba734f0c586dfb99318f3</x:v>
      </x:c>
      <x:c r="J46" s="32" t="str">
        <x:v>Lido e analisado</x:v>
      </x:c>
    </x:row>
    <x:row r="47" ht="39" customHeight="1">
      <x:c r="A47" s="32" t="str">
        <x:v>F042</x:v>
      </x:c>
      <x:c r="B47" s="32" t="str">
        <x:v>C05</x:v>
      </x:c>
      <x:c r="C47" s="33" t="str">
        <x:v>[TRON] - YouTube 01 -  VT 5 Seg - {Reg SC} - 07/10</x:v>
      </x:c>
      <x:c r="D47" s="33" t="str">
        <x:v>TRON - YOUTUBE 01 - VT 5 SEG - REG SC 07-10/brand_performance_report.zip &gt; Formatos de anúncio por tipo de campanha/Usuários únicos (covisualizados).csv</x:v>
      </x:c>
      <x:c r="E47" s="33" t="str">
        <x:v>Período não informado no arquivo</x:v>
      </x:c>
      <x:c r="F47" s="32" t="str">
        <x:v>UTF-8</x:v>
      </x:c>
      <x:c r="G47" s="32" t="n">
        <x:v>2</x:v>
      </x:c>
      <x:c r="H47" s="32" t="n">
        <x:v>3</x:v>
      </x:c>
      <x:c r="I47" s="32" t="str">
        <x:v>fdcef8546d247ed77b295e09556f06dc89762dc1be2d8268746cf616526094b7</x:v>
      </x:c>
      <x:c r="J47" s="32" t="str">
        <x:v>Lido e analisado</x:v>
      </x:c>
    </x:row>
    <x:row r="48" ht="39" customHeight="1">
      <x:c r="A48" s="32" t="str">
        <x:v>F043</x:v>
      </x:c>
      <x:c r="B48" s="32" t="str">
        <x:v>C05</x:v>
      </x:c>
      <x:c r="C48" s="33" t="str">
        <x:v>[TRON] - YouTube 01 -  VT 5 Seg - {Reg SC} - 07/10</x:v>
      </x:c>
      <x:c r="D48" s="33" t="str">
        <x:v>TRON - YOUTUBE 01 - VT 5 SEG - REG SC 07-10/brand_performance_report.zip &gt; Formatos de anúncio por tipo de campanha/Freq. méd. impr. _ usuário (covisualizadas).csv</x:v>
      </x:c>
      <x:c r="E48" s="33" t="str">
        <x:v>Período não informado no arquivo</x:v>
      </x:c>
      <x:c r="F48" s="32" t="str">
        <x:v>UTF-8</x:v>
      </x:c>
      <x:c r="G48" s="32" t="n">
        <x:v>3</x:v>
      </x:c>
      <x:c r="H48" s="32" t="n">
        <x:v>2</x:v>
      </x:c>
      <x:c r="I48" s="32" t="str">
        <x:v>607ee205547436cfe10ddf8577250aa1ee35ae36868a49b32e185689498f72ac</x:v>
      </x:c>
      <x:c r="J48" s="32" t="str">
        <x:v>Lido e analisado</x:v>
      </x:c>
    </x:row>
    <x:row r="49" ht="39" customHeight="1">
      <x:c r="A49" s="32" t="str">
        <x:v>F044</x:v>
      </x:c>
      <x:c r="B49" s="32" t="str">
        <x:v>C05</x:v>
      </x:c>
      <x:c r="C49" s="33" t="str">
        <x:v>[TRON] - YouTube 01 -  VT 5 Seg - {Reg SC} - 07/10</x:v>
      </x:c>
      <x:c r="D49" s="33" t="str">
        <x:v>TRON - YOUTUBE 01 - VT 5 SEG - REG SC 07-10/brand_performance_report.zip &gt; Dispositivos/Usuários únicos (covisualizados).csv</x:v>
      </x:c>
      <x:c r="E49" s="33" t="str">
        <x:v>Período não informado no arquivo</x:v>
      </x:c>
      <x:c r="F49" s="32" t="str">
        <x:v>UTF-8</x:v>
      </x:c>
      <x:c r="G49" s="32" t="n">
        <x:v>4</x:v>
      </x:c>
      <x:c r="H49" s="32" t="n">
        <x:v>2</x:v>
      </x:c>
      <x:c r="I49" s="32" t="str">
        <x:v>b244bafb1d72555a2e14e439b1e6adad2c3ee451ecc3415ee904c491ad7ce557</x:v>
      </x:c>
      <x:c r="J49" s="32" t="str">
        <x:v>Lido e analisado</x:v>
      </x:c>
    </x:row>
    <x:row r="50" ht="39" customHeight="1">
      <x:c r="A50" s="32" t="str">
        <x:v>F045</x:v>
      </x:c>
      <x:c r="B50" s="32" t="str">
        <x:v>C05</x:v>
      </x:c>
      <x:c r="C50" s="33" t="str">
        <x:v>[TRON] - YouTube 01 -  VT 5 Seg - {Reg SC} - 07/10</x:v>
      </x:c>
      <x:c r="D50" s="33" t="str">
        <x:v>TRON - YOUTUBE 01 - VT 5 SEG - REG SC 07-10/brand_performance_report.zip &gt; Dispositivos/Freq. méd. impr. _ usuário (covisualizadas).csv</x:v>
      </x:c>
      <x:c r="E50" s="33" t="str">
        <x:v>Período não informado no arquivo</x:v>
      </x:c>
      <x:c r="F50" s="32" t="str">
        <x:v>UTF-8</x:v>
      </x:c>
      <x:c r="G50" s="32" t="n">
        <x:v>4</x:v>
      </x:c>
      <x:c r="H50" s="32" t="n">
        <x:v>2</x:v>
      </x:c>
      <x:c r="I50" s="32" t="str">
        <x:v>a958fad7e4668f0ddd5a176a9b3611cf5f81290c3d6f4b4998408de057083447</x:v>
      </x:c>
      <x:c r="J50" s="32" t="str">
        <x:v>Lido e analisado</x:v>
      </x:c>
    </x:row>
    <x:row r="51" ht="24" customHeight="1">
      <x:c r="A51" s="32" t="str">
        <x:v>F046</x:v>
      </x:c>
      <x:c r="B51" s="32" t="str">
        <x:v>C05</x:v>
      </x:c>
      <x:c r="C51" s="33" t="str">
        <x:v>[TRON] - YouTube 01 -  VT 5 Seg - {Reg SC} - 07/10</x:v>
      </x:c>
      <x:c r="D51" s="33" t="str">
        <x:v>TRON - YOUTUBE 01 - VT 5 SEG - REG SC 07-10/brand_performance_report.zip &gt; Local.csv</x:v>
      </x:c>
      <x:c r="E51" s="33" t="str">
        <x:v>Período não informado no arquivo</x:v>
      </x:c>
      <x:c r="F51" s="32" t="str">
        <x:v>UTF-8</x:v>
      </x:c>
      <x:c r="G51" s="32" t="n">
        <x:v>1</x:v>
      </x:c>
      <x:c r="H51" s="32" t="n">
        <x:v>3</x:v>
      </x:c>
      <x:c r="I51" s="32" t="str">
        <x:v>3ed0deb00b36604aa87e47c7cab22a9c961f70fa59d96a6abae1f4a8c05d272a</x:v>
      </x:c>
      <x:c r="J51" s="32" t="str">
        <x:v>Lido e analisado</x:v>
      </x:c>
    </x:row>
    <x:row r="52" ht="24" customHeight="1">
      <x:c r="A52" s="32" t="str">
        <x:v>F047</x:v>
      </x:c>
      <x:c r="B52" s="32" t="str">
        <x:v>C05</x:v>
      </x:c>
      <x:c r="C52" s="33" t="str">
        <x:v>[TRON] - YouTube 01 -  VT 5 Seg - {Reg SC} - 07/10</x:v>
      </x:c>
      <x:c r="D52" s="33" t="str">
        <x:v>TRON - YOUTUBE 01 - VT 5 SEG - REG SC 07-10/Gráfico_de_série_temporal(2026.09.01-2026.10.14) (1).csv</x:v>
      </x:c>
      <x:c r="E52" s="33" t="str">
        <x:v>Datas no nome: 2026.09.01-2026.10.14</x:v>
      </x:c>
      <x:c r="F52" s="32" t="str">
        <x:v>UTF-8</x:v>
      </x:c>
      <x:c r="G52" s="32" t="n">
        <x:v>44</x:v>
      </x:c>
      <x:c r="H52" s="32" t="n">
        <x:v>5</x:v>
      </x:c>
      <x:c r="I52" s="32" t="str">
        <x:v>633858ea7a8b3f8b16b812eaa2d82887d507517e6318f0879d6c4668b88924a5</x:v>
      </x:c>
      <x:c r="J52" s="32" t="str">
        <x:v>Lido e analisado</x:v>
      </x:c>
    </x:row>
    <x:row r="53" ht="24" customHeight="1">
      <x:c r="A53" s="32" t="str">
        <x:v>F048</x:v>
      </x:c>
      <x:c r="B53" s="32" t="str">
        <x:v>C05</x:v>
      </x:c>
      <x:c r="C53" s="33" t="str">
        <x:v>[TRON] - YouTube 01 -  VT 5 Seg - {Reg SC} - 07/10</x:v>
      </x:c>
      <x:c r="D53" s="33" t="str">
        <x:v>TRON - YOUTUBE 01 - VT 5 SEG - REG SC 07-10/Gráfico_de_série_temporal(2026.09.01-2026.10.14) (2).csv</x:v>
      </x:c>
      <x:c r="E53" s="33" t="str">
        <x:v>Datas no nome: 2026.09.01-2026.10.14</x:v>
      </x:c>
      <x:c r="F53" s="32" t="str">
        <x:v>UTF-8</x:v>
      </x:c>
      <x:c r="G53" s="32" t="n">
        <x:v>44</x:v>
      </x:c>
      <x:c r="H53" s="32" t="n">
        <x:v>5</x:v>
      </x:c>
      <x:c r="I53" s="32" t="str">
        <x:v>835ad3e725a84008f0da5f2275d8a445381111ae4e0e8f59bbe114c53ee59178</x:v>
      </x:c>
      <x:c r="J53" s="32" t="str">
        <x:v>Lido e analisado</x:v>
      </x:c>
    </x:row>
    <x:row r="54" ht="24" customHeight="1">
      <x:c r="A54" s="32" t="str">
        <x:v>F049</x:v>
      </x:c>
      <x:c r="B54" s="32" t="str">
        <x:v>C05</x:v>
      </x:c>
      <x:c r="C54" s="33" t="str">
        <x:v>[TRON] - YouTube 01 -  VT 5 Seg - {Reg SC} - 07/10</x:v>
      </x:c>
      <x:c r="D54" s="33" t="str">
        <x:v>TRON - YOUTUBE 01 - VT 5 SEG - REG SC 07-10/Gráfico_de_série_temporal(2026.09.01-2026.10.14).csv</x:v>
      </x:c>
      <x:c r="E54" s="33" t="str">
        <x:v>Datas no nome: 2026.09.01-2026.10.14</x:v>
      </x:c>
      <x:c r="F54" s="32" t="str">
        <x:v>UTF-8</x:v>
      </x:c>
      <x:c r="G54" s="32" t="n">
        <x:v>44</x:v>
      </x:c>
      <x:c r="H54" s="32" t="n">
        <x:v>5</x:v>
      </x:c>
      <x:c r="I54" s="32" t="str">
        <x:v>a3ba05e4039ae1d4e24337922f408c9ad6e099a3985202a9f2412a4fce3ae57d</x:v>
      </x:c>
      <x:c r="J54" s="32" t="str">
        <x:v>Lido e analisado</x:v>
      </x:c>
    </x:row>
    <x:row r="55" ht="24" customHeight="1">
      <x:c r="A55" s="32" t="str">
        <x:v>F050</x:v>
      </x:c>
      <x:c r="B55" s="32" t="str">
        <x:v>C05</x:v>
      </x:c>
      <x:c r="C55" s="33" t="str">
        <x:v>[TRON] - YouTube 01 -  VT 5 Seg - {Reg SC} - 07/10</x:v>
      </x:c>
      <x:c r="D55" s="33" t="str">
        <x:v>TRON - YOUTUBE 01 - VT 5 SEG - REG SC 07-10/Relatório de anúncios.csv</x:v>
      </x:c>
      <x:c r="E55" s="33" t="str">
        <x:v>1 de setembro de 2026 - 14 de outubro de 2026</x:v>
      </x:c>
      <x:c r="F55" s="32" t="str">
        <x:v>UTF-16</x:v>
      </x:c>
      <x:c r="G55" s="32" t="n">
        <x:v>3</x:v>
      </x:c>
      <x:c r="H55" s="32" t="n">
        <x:v>51</x:v>
      </x:c>
      <x:c r="I55" s="32" t="str">
        <x:v>f99a8e041ab14472dbfdac8b65aaf53aba919da392ef72c973d34e24ea84517a</x:v>
      </x:c>
      <x:c r="J55" s="32" t="str">
        <x:v>Lido e analisado</x:v>
      </x:c>
    </x:row>
    <x:row r="56" ht="24" customHeight="1">
      <x:c r="A56" s="32" t="str">
        <x:v>F051</x:v>
      </x:c>
      <x:c r="B56" s="32" t="str">
        <x:v>C05</x:v>
      </x:c>
      <x:c r="C56" s="33" t="str">
        <x:v>[TRON] - YouTube 01 -  VT 5 Seg - {Reg SC} - 07/10</x:v>
      </x:c>
      <x:c r="D56" s="33" t="str">
        <x:v>TRON - YOUTUBE 01 - VT 5 SEG - REG SC 07-10/Relatório de campanha.csv</x:v>
      </x:c>
      <x:c r="E56" s="33" t="str">
        <x:v>1 de setembro de 2026 - 14 de outubro de 2026</x:v>
      </x:c>
      <x:c r="F56" s="32" t="str">
        <x:v>UTF-16</x:v>
      </x:c>
      <x:c r="G56" s="32" t="n">
        <x:v>3</x:v>
      </x:c>
      <x:c r="H56" s="32" t="n">
        <x:v>20</x:v>
      </x:c>
      <x:c r="I56" s="32" t="str">
        <x:v>64f12ae40f127fd630dfc823d3cb8557a294f2c378b3d27c21bf8a01f4d58cd0</x:v>
      </x:c>
      <x:c r="J56" s="32" t="str">
        <x:v>Lido e analisado</x:v>
      </x:c>
    </x:row>
    <x:row r="57" ht="24" customHeight="1">
      <x:c r="A57" s="32" t="str">
        <x:v>F052</x:v>
      </x:c>
      <x:c r="B57" s="32" t="str">
        <x:v>C05</x:v>
      </x:c>
      <x:c r="C57" s="33" t="str">
        <x:v>[TRON] - YouTube 01 -  VT 5 Seg - {Reg SC} - 07/10</x:v>
      </x:c>
      <x:c r="D57" s="33" t="str">
        <x:v>TRON - YOUTUBE 01 - VT 5 SEG - REG SC 07-10/Relatório de dispositivos.csv</x:v>
      </x:c>
      <x:c r="E57" s="33" t="str">
        <x:v>1 de setembro de 2026 - 14 de outubro de 2026</x:v>
      </x:c>
      <x:c r="F57" s="32" t="str">
        <x:v>UTF-16</x:v>
      </x:c>
      <x:c r="G57" s="32" t="n">
        <x:v>5</x:v>
      </x:c>
      <x:c r="H57" s="32" t="n">
        <x:v>15</x:v>
      </x:c>
      <x:c r="I57" s="32" t="str">
        <x:v>d09659c41df20a280d3651b506a4bcd81dfc8ad07ee957112860a3c9f0245658</x:v>
      </x:c>
      <x:c r="J57" s="32" t="str">
        <x:v>Lido e analisado</x:v>
      </x:c>
    </x:row>
    <x:row r="58" ht="24" customHeight="1">
      <x:c r="A58" s="32" t="str">
        <x:v>F053</x:v>
      </x:c>
      <x:c r="B58" s="32" t="str">
        <x:v>C05</x:v>
      </x:c>
      <x:c r="C58" s="33" t="str">
        <x:v>[TRON] - YouTube 01 -  VT 5 Seg - {Reg SC} - 07/10</x:v>
      </x:c>
      <x:c r="D58" s="33" t="str">
        <x:v>TRON - YOUTUBE 01 - VT 5 SEG - REG SC 07-10/Relatório de locais.csv</x:v>
      </x:c>
      <x:c r="E58" s="33" t="str">
        <x:v>1 de setembro de 2026 - 14 de outubro de 2026</x:v>
      </x:c>
      <x:c r="F58" s="32" t="str">
        <x:v>UTF-16</x:v>
      </x:c>
      <x:c r="G58" s="32" t="n">
        <x:v>29</x:v>
      </x:c>
      <x:c r="H58" s="32" t="n">
        <x:v>11</x:v>
      </x:c>
      <x:c r="I58" s="32" t="str">
        <x:v>c0282ba31d8ea88649d74bf2190c9a6dbc244024b837c6e45d40f1d138ff4e2f</x:v>
      </x:c>
      <x:c r="J58" s="32" t="str">
        <x:v>Lido e analisado</x:v>
      </x:c>
    </x:row>
    <x:row r="59" ht="24" customHeight="1">
      <x:c r="A59" s="32" t="str">
        <x:v>F054</x:v>
      </x:c>
      <x:c r="B59" s="32" t="str">
        <x:v>C05</x:v>
      </x:c>
      <x:c r="C59" s="33" t="str">
        <x:v>[TRON] - YouTube 01 -  VT 5 Seg - {Reg SC} - 07/10</x:v>
      </x:c>
      <x:c r="D59" s="33" t="str">
        <x:v>TRON - YOUTUBE 01 - VT 5 SEG - REG SC 07-10/Relatório do grupo de anúncios.csv</x:v>
      </x:c>
      <x:c r="E59" s="33" t="str">
        <x:v>1 de setembro de 2026 - 14 de outubro de 2026</x:v>
      </x:c>
      <x:c r="F59" s="32" t="str">
        <x:v>UTF-16</x:v>
      </x:c>
      <x:c r="G59" s="32" t="n">
        <x:v>3</x:v>
      </x:c>
      <x:c r="H59" s="32" t="n">
        <x:v>17</x:v>
      </x:c>
      <x:c r="I59" s="32" t="str">
        <x:v>a86f0d507caf9463400e89cbe6143847e4c69c0b09dff5ab4603646dc35e725e</x:v>
      </x:c>
      <x:c r="J59" s="32" t="str">
        <x:v>Lido e analisado</x:v>
      </x:c>
    </x:row>
    <x:row r="60" ht="24" customHeight="1">
      <x:c r="A60" s="32" t="str">
        <x:v>F055</x:v>
      </x:c>
      <x:c r="B60" s="32" t="str">
        <x:v>C05</x:v>
      </x:c>
      <x:c r="C60" s="33" t="str">
        <x:v>[TRON] - YouTube 01 -  VT 5 Seg - {Reg SC} - 07/10</x:v>
      </x:c>
      <x:c r="D60" s="33" t="str">
        <x:v>TRON - YOUTUBE 01 - VT 5 SEG - REG SC 07-10/Relatório por loja.csv</x:v>
      </x:c>
      <x:c r="E60" s="33" t="str">
        <x:v>1 de setembro de 2026 - 14 de outubro de 2026</x:v>
      </x:c>
      <x:c r="F60" s="32" t="str">
        <x:v>UTF-16</x:v>
      </x:c>
      <x:c r="G60" s="32" t="n">
        <x:v>6</x:v>
      </x:c>
      <x:c r="H60" s="32" t="n">
        <x:v>13</x:v>
      </x:c>
      <x:c r="I60" s="32" t="str">
        <x:v>2b66a3f3e5ad951aeebe4b9bb4c51567b24f063fde5eca136d2d7d562c24d819</x:v>
      </x:c>
      <x:c r="J60" s="32" t="str">
        <x:v>Lido e analisado</x:v>
      </x:c>
    </x:row>
    <x:row r="61" ht="24" customHeight="1">
      <x:c r="A61" s="32" t="str">
        <x:v>F056</x:v>
      </x:c>
      <x:c r="B61" s="32" t="str">
        <x:v>C06</x:v>
      </x:c>
      <x:c r="C61" s="33" t="str">
        <x:v>[TRON] - YouTube 02 -  VT 5 Seg - {Reg SC} - 07/10</x:v>
      </x:c>
      <x:c r="D61" s="33" t="str">
        <x:v>TRON - YOUTUBE 02 - VT 5 SEG - REG SC 07-10/brand_performance_report.zip &gt; Freq. méd. impr. _ usuário (covisualizadas).csv</x:v>
      </x:c>
      <x:c r="E61" s="33" t="str">
        <x:v>Período não informado no arquivo</x:v>
      </x:c>
      <x:c r="F61" s="32" t="str">
        <x:v>UTF-8</x:v>
      </x:c>
      <x:c r="G61" s="32" t="n">
        <x:v>7</x:v>
      </x:c>
      <x:c r="H61" s="32" t="n">
        <x:v>2</x:v>
      </x:c>
      <x:c r="I61" s="32" t="str">
        <x:v>4ebb5f4b67b08a86c1952d771b7398dd3451d683a52c489b6d51252a45e12338</x:v>
      </x:c>
      <x:c r="J61" s="32" t="str">
        <x:v>Lido e analisado</x:v>
      </x:c>
    </x:row>
    <x:row r="62" ht="39" customHeight="1">
      <x:c r="A62" s="32" t="str">
        <x:v>F057</x:v>
      </x:c>
      <x:c r="B62" s="32" t="str">
        <x:v>C06</x:v>
      </x:c>
      <x:c r="C62" s="33" t="str">
        <x:v>[TRON] - YouTube 02 -  VT 5 Seg - {Reg SC} - 07/10</x:v>
      </x:c>
      <x:c r="D62" s="33" t="str">
        <x:v>TRON - YOUTUBE 02 - VT 5 SEG - REG SC 07-10/brand_performance_report.zip &gt; Formatos de anúncio por tipo de campanha/Usuários únicos (covisualizados).csv</x:v>
      </x:c>
      <x:c r="E62" s="33" t="str">
        <x:v>Período não informado no arquivo</x:v>
      </x:c>
      <x:c r="F62" s="32" t="str">
        <x:v>UTF-8</x:v>
      </x:c>
      <x:c r="G62" s="32" t="n">
        <x:v>3</x:v>
      </x:c>
      <x:c r="H62" s="32" t="n">
        <x:v>3</x:v>
      </x:c>
      <x:c r="I62" s="32" t="str">
        <x:v>7ef7a14dacbd388959c297fdef6abbf7ef6547a3dd41291d91a38a63033f6d45</x:v>
      </x:c>
      <x:c r="J62" s="32" t="str">
        <x:v>Lido e analisado</x:v>
      </x:c>
    </x:row>
    <x:row r="63" ht="39" customHeight="1">
      <x:c r="A63" s="32" t="str">
        <x:v>F058</x:v>
      </x:c>
      <x:c r="B63" s="32" t="str">
        <x:v>C06</x:v>
      </x:c>
      <x:c r="C63" s="33" t="str">
        <x:v>[TRON] - YouTube 02 -  VT 5 Seg - {Reg SC} - 07/10</x:v>
      </x:c>
      <x:c r="D63" s="33" t="str">
        <x:v>TRON - YOUTUBE 02 - VT 5 SEG - REG SC 07-10/brand_performance_report.zip &gt; Formatos de anúncio por tipo de campanha/Freq. méd. impr. _ usuário (covisualizadas).csv</x:v>
      </x:c>
      <x:c r="E63" s="33" t="str">
        <x:v>Período não informado no arquivo</x:v>
      </x:c>
      <x:c r="F63" s="32" t="str">
        <x:v>UTF-8</x:v>
      </x:c>
      <x:c r="G63" s="32" t="n">
        <x:v>3</x:v>
      </x:c>
      <x:c r="H63" s="32" t="n">
        <x:v>2</x:v>
      </x:c>
      <x:c r="I63" s="32" t="str">
        <x:v>a83292106ed88ea5d1b275e59ab97d1b4b869448259cbb4237a7b53f091916d6</x:v>
      </x:c>
      <x:c r="J63" s="32" t="str">
        <x:v>Lido e analisado</x:v>
      </x:c>
    </x:row>
    <x:row r="64" ht="39" customHeight="1">
      <x:c r="A64" s="32" t="str">
        <x:v>F059</x:v>
      </x:c>
      <x:c r="B64" s="32" t="str">
        <x:v>C06</x:v>
      </x:c>
      <x:c r="C64" s="33" t="str">
        <x:v>[TRON] - YouTube 02 -  VT 5 Seg - {Reg SC} - 07/10</x:v>
      </x:c>
      <x:c r="D64" s="33" t="str">
        <x:v>TRON - YOUTUBE 02 - VT 5 SEG - REG SC 07-10/brand_performance_report.zip &gt; Dispositivos/Usuários únicos (covisualizados).csv</x:v>
      </x:c>
      <x:c r="E64" s="33" t="str">
        <x:v>Período não informado no arquivo</x:v>
      </x:c>
      <x:c r="F64" s="32" t="str">
        <x:v>UTF-8</x:v>
      </x:c>
      <x:c r="G64" s="32" t="n">
        <x:v>4</x:v>
      </x:c>
      <x:c r="H64" s="32" t="n">
        <x:v>2</x:v>
      </x:c>
      <x:c r="I64" s="32" t="str">
        <x:v>e6b53827fc37560669222810460d830dee5b69a976dc58d31a8da0d8ce158002</x:v>
      </x:c>
      <x:c r="J64" s="32" t="str">
        <x:v>Lido e analisado</x:v>
      </x:c>
    </x:row>
    <x:row r="65" ht="39" customHeight="1">
      <x:c r="A65" s="32" t="str">
        <x:v>F060</x:v>
      </x:c>
      <x:c r="B65" s="32" t="str">
        <x:v>C06</x:v>
      </x:c>
      <x:c r="C65" s="33" t="str">
        <x:v>[TRON] - YouTube 02 -  VT 5 Seg - {Reg SC} - 07/10</x:v>
      </x:c>
      <x:c r="D65" s="33" t="str">
        <x:v>TRON - YOUTUBE 02 - VT 5 SEG - REG SC 07-10/brand_performance_report.zip &gt; Dispositivos/Freq. méd. impr. _ usuário (covisualizadas).csv</x:v>
      </x:c>
      <x:c r="E65" s="33" t="str">
        <x:v>Período não informado no arquivo</x:v>
      </x:c>
      <x:c r="F65" s="32" t="str">
        <x:v>UTF-8</x:v>
      </x:c>
      <x:c r="G65" s="32" t="n">
        <x:v>4</x:v>
      </x:c>
      <x:c r="H65" s="32" t="n">
        <x:v>2</x:v>
      </x:c>
      <x:c r="I65" s="32" t="str">
        <x:v>3e6917073ed5b54f6879d8dc73848e83e09ac0a1e4563d59f107c1cdb7a72b2b</x:v>
      </x:c>
      <x:c r="J65" s="32" t="str">
        <x:v>Lido e analisado</x:v>
      </x:c>
    </x:row>
    <x:row r="66" ht="24" customHeight="1">
      <x:c r="A66" s="32" t="str">
        <x:v>F061</x:v>
      </x:c>
      <x:c r="B66" s="32" t="str">
        <x:v>C06</x:v>
      </x:c>
      <x:c r="C66" s="33" t="str">
        <x:v>[TRON] - YouTube 02 -  VT 5 Seg - {Reg SC} - 07/10</x:v>
      </x:c>
      <x:c r="D66" s="33" t="str">
        <x:v>TRON - YOUTUBE 02 - VT 5 SEG - REG SC 07-10/brand_performance_report.zip &gt; Local.csv</x:v>
      </x:c>
      <x:c r="E66" s="33" t="str">
        <x:v>Período não informado no arquivo</x:v>
      </x:c>
      <x:c r="F66" s="32" t="str">
        <x:v>UTF-8</x:v>
      </x:c>
      <x:c r="G66" s="32" t="n">
        <x:v>1</x:v>
      </x:c>
      <x:c r="H66" s="32" t="n">
        <x:v>3</x:v>
      </x:c>
      <x:c r="I66" s="32" t="str">
        <x:v>0f44351d6cce29d44466ac915113cd5b5992cec8e0ac0b5fda029d9a434636f9</x:v>
      </x:c>
      <x:c r="J66" s="32" t="str">
        <x:v>Lido e analisado</x:v>
      </x:c>
    </x:row>
    <x:row r="67" ht="24" customHeight="1">
      <x:c r="A67" s="32" t="str">
        <x:v>F062</x:v>
      </x:c>
      <x:c r="B67" s="32" t="str">
        <x:v>C06</x:v>
      </x:c>
      <x:c r="C67" s="33" t="str">
        <x:v>[TRON] - YouTube 02 -  VT 5 Seg - {Reg SC} - 07/10</x:v>
      </x:c>
      <x:c r="D67" s="33" t="str">
        <x:v>TRON - YOUTUBE 02 - VT 5 SEG - REG SC 07-10/Gráfico_de_série_temporal(2026.09.01-2026.10.14) (1).csv</x:v>
      </x:c>
      <x:c r="E67" s="33" t="str">
        <x:v>Datas no nome: 2026.09.01-2026.10.14</x:v>
      </x:c>
      <x:c r="F67" s="32" t="str">
        <x:v>UTF-8</x:v>
      </x:c>
      <x:c r="G67" s="32" t="n">
        <x:v>44</x:v>
      </x:c>
      <x:c r="H67" s="32" t="n">
        <x:v>5</x:v>
      </x:c>
      <x:c r="I67" s="32" t="str">
        <x:v>86bbfb4ac6cc076ebcc6a3269ce07fafa9c72416d9b32c7e4175efff0d01ecb3</x:v>
      </x:c>
      <x:c r="J67" s="32" t="str">
        <x:v>Lido e analisado</x:v>
      </x:c>
    </x:row>
    <x:row r="68" ht="24" customHeight="1">
      <x:c r="A68" s="32" t="str">
        <x:v>F063</x:v>
      </x:c>
      <x:c r="B68" s="32" t="str">
        <x:v>C06</x:v>
      </x:c>
      <x:c r="C68" s="33" t="str">
        <x:v>[TRON] - YouTube 02 -  VT 5 Seg - {Reg SC} - 07/10</x:v>
      </x:c>
      <x:c r="D68" s="33" t="str">
        <x:v>TRON - YOUTUBE 02 - VT 5 SEG - REG SC 07-10/Gráfico_de_série_temporal(2026.09.01-2026.10.14) (2).csv</x:v>
      </x:c>
      <x:c r="E68" s="33" t="str">
        <x:v>Datas no nome: 2026.09.01-2026.10.14</x:v>
      </x:c>
      <x:c r="F68" s="32" t="str">
        <x:v>UTF-8</x:v>
      </x:c>
      <x:c r="G68" s="32" t="n">
        <x:v>44</x:v>
      </x:c>
      <x:c r="H68" s="32" t="n">
        <x:v>5</x:v>
      </x:c>
      <x:c r="I68" s="32" t="str">
        <x:v>2897c8673f31c15920fb8de995444f4c8671bc03f239972bcdc70c11736513eb</x:v>
      </x:c>
      <x:c r="J68" s="32" t="str">
        <x:v>Lido e analisado</x:v>
      </x:c>
    </x:row>
    <x:row r="69" ht="24" customHeight="1">
      <x:c r="A69" s="32" t="str">
        <x:v>F064</x:v>
      </x:c>
      <x:c r="B69" s="32" t="str">
        <x:v>C06</x:v>
      </x:c>
      <x:c r="C69" s="33" t="str">
        <x:v>[TRON] - YouTube 02 -  VT 5 Seg - {Reg SC} - 07/10</x:v>
      </x:c>
      <x:c r="D69" s="33" t="str">
        <x:v>TRON - YOUTUBE 02 - VT 5 SEG - REG SC 07-10/Gráfico_de_série_temporal(2026.09.01-2026.10.14).csv</x:v>
      </x:c>
      <x:c r="E69" s="33" t="str">
        <x:v>Datas no nome: 2026.09.01-2026.10.14</x:v>
      </x:c>
      <x:c r="F69" s="32" t="str">
        <x:v>UTF-8</x:v>
      </x:c>
      <x:c r="G69" s="32" t="n">
        <x:v>44</x:v>
      </x:c>
      <x:c r="H69" s="32" t="n">
        <x:v>5</x:v>
      </x:c>
      <x:c r="I69" s="32" t="str">
        <x:v>4ae04021a213289b731aefa146f684315a628cefaa57b808e415439068ae871a</x:v>
      </x:c>
      <x:c r="J69" s="32" t="str">
        <x:v>Lido e analisado</x:v>
      </x:c>
    </x:row>
    <x:row r="70" ht="24" customHeight="1">
      <x:c r="A70" s="32" t="str">
        <x:v>F065</x:v>
      </x:c>
      <x:c r="B70" s="32" t="str">
        <x:v>C06</x:v>
      </x:c>
      <x:c r="C70" s="33" t="str">
        <x:v>[TRON] - YouTube 02 -  VT 5 Seg - {Reg SC} - 07/10</x:v>
      </x:c>
      <x:c r="D70" s="33" t="str">
        <x:v>TRON - YOUTUBE 02 - VT 5 SEG - REG SC 07-10/Relatório de anúncios.csv</x:v>
      </x:c>
      <x:c r="E70" s="33" t="str">
        <x:v>1 de setembro de 2026 - 14 de outubro de 2026</x:v>
      </x:c>
      <x:c r="F70" s="32" t="str">
        <x:v>UTF-16</x:v>
      </x:c>
      <x:c r="G70" s="32" t="n">
        <x:v>3</x:v>
      </x:c>
      <x:c r="H70" s="32" t="n">
        <x:v>51</x:v>
      </x:c>
      <x:c r="I70" s="32" t="str">
        <x:v>98ba4d2a7f32f00a03330e455a46e359835b8ada5f1f6735024acc50677e7a73</x:v>
      </x:c>
      <x:c r="J70" s="32" t="str">
        <x:v>Lido e analisado</x:v>
      </x:c>
    </x:row>
    <x:row r="71" ht="24" customHeight="1">
      <x:c r="A71" s="32" t="str">
        <x:v>F066</x:v>
      </x:c>
      <x:c r="B71" s="32" t="str">
        <x:v>C06</x:v>
      </x:c>
      <x:c r="C71" s="33" t="str">
        <x:v>[TRON] - YouTube 02 -  VT 5 Seg - {Reg SC} - 07/10</x:v>
      </x:c>
      <x:c r="D71" s="33" t="str">
        <x:v>TRON - YOUTUBE 02 - VT 5 SEG - REG SC 07-10/Relatório de campanha.csv</x:v>
      </x:c>
      <x:c r="E71" s="33" t="str">
        <x:v>1 de setembro de 2026 - 14 de outubro de 2026</x:v>
      </x:c>
      <x:c r="F71" s="32" t="str">
        <x:v>UTF-16</x:v>
      </x:c>
      <x:c r="G71" s="32" t="n">
        <x:v>3</x:v>
      </x:c>
      <x:c r="H71" s="32" t="n">
        <x:v>20</x:v>
      </x:c>
      <x:c r="I71" s="32" t="str">
        <x:v>30553615e5697498043552f3ae2cb5b3a6c6c2ffc3ddb42259cf6c303777fd24</x:v>
      </x:c>
      <x:c r="J71" s="32" t="str">
        <x:v>Lido e analisado</x:v>
      </x:c>
    </x:row>
    <x:row r="72" ht="24" customHeight="1">
      <x:c r="A72" s="32" t="str">
        <x:v>F067</x:v>
      </x:c>
      <x:c r="B72" s="32" t="str">
        <x:v>C06</x:v>
      </x:c>
      <x:c r="C72" s="33" t="str">
        <x:v>[TRON] - YouTube 02 -  VT 5 Seg - {Reg SC} - 07/10</x:v>
      </x:c>
      <x:c r="D72" s="33" t="str">
        <x:v>TRON - YOUTUBE 02 - VT 5 SEG - REG SC 07-10/Relatório de dispositivos.csv</x:v>
      </x:c>
      <x:c r="E72" s="33" t="str">
        <x:v>1 de setembro de 2026 - 14 de outubro de 2026</x:v>
      </x:c>
      <x:c r="F72" s="32" t="str">
        <x:v>UTF-16</x:v>
      </x:c>
      <x:c r="G72" s="32" t="n">
        <x:v>5</x:v>
      </x:c>
      <x:c r="H72" s="32" t="n">
        <x:v>15</x:v>
      </x:c>
      <x:c r="I72" s="32" t="str">
        <x:v>bb97bbd4802d592cac21e8fe2bc2f5cbf757e1bac5ccf4067981c5e1a1f72fbc</x:v>
      </x:c>
      <x:c r="J72" s="32" t="str">
        <x:v>Lido e analisado</x:v>
      </x:c>
    </x:row>
    <x:row r="73" ht="24" customHeight="1">
      <x:c r="A73" s="32" t="str">
        <x:v>F068</x:v>
      </x:c>
      <x:c r="B73" s="32" t="str">
        <x:v>C06</x:v>
      </x:c>
      <x:c r="C73" s="33" t="str">
        <x:v>[TRON] - YouTube 02 -  VT 5 Seg - {Reg SC} - 07/10</x:v>
      </x:c>
      <x:c r="D73" s="33" t="str">
        <x:v>TRON - YOUTUBE 02 - VT 5 SEG - REG SC 07-10/Relatório de locais.csv</x:v>
      </x:c>
      <x:c r="E73" s="33" t="str">
        <x:v>1 de setembro de 2026 - 14 de outubro de 2026</x:v>
      </x:c>
      <x:c r="F73" s="32" t="str">
        <x:v>UTF-16</x:v>
      </x:c>
      <x:c r="G73" s="32" t="n">
        <x:v>29</x:v>
      </x:c>
      <x:c r="H73" s="32" t="n">
        <x:v>11</x:v>
      </x:c>
      <x:c r="I73" s="32" t="str">
        <x:v>8af104ac59f4e4d25300f9264d0a966139e89ac181e1c58cbf16e5af32230216</x:v>
      </x:c>
      <x:c r="J73" s="32" t="str">
        <x:v>Lido e analisado</x:v>
      </x:c>
    </x:row>
    <x:row r="74" ht="24" customHeight="1">
      <x:c r="A74" s="32" t="str">
        <x:v>F069</x:v>
      </x:c>
      <x:c r="B74" s="32" t="str">
        <x:v>C06</x:v>
      </x:c>
      <x:c r="C74" s="33" t="str">
        <x:v>[TRON] - YouTube 02 -  VT 5 Seg - {Reg SC} - 07/10</x:v>
      </x:c>
      <x:c r="D74" s="33" t="str">
        <x:v>TRON - YOUTUBE 02 - VT 5 SEG - REG SC 07-10/Relatório do grupo de anúncios.csv</x:v>
      </x:c>
      <x:c r="E74" s="33" t="str">
        <x:v>1 de setembro de 2026 - 14 de outubro de 2026</x:v>
      </x:c>
      <x:c r="F74" s="32" t="str">
        <x:v>UTF-16</x:v>
      </x:c>
      <x:c r="G74" s="32" t="n">
        <x:v>3</x:v>
      </x:c>
      <x:c r="H74" s="32" t="n">
        <x:v>17</x:v>
      </x:c>
      <x:c r="I74" s="32" t="str">
        <x:v>a8ec273c8ded902163cdcf02c8f655e6d15f114678d23fbe24aea7e596f84266</x:v>
      </x:c>
      <x:c r="J74" s="32" t="str">
        <x:v>Lido e analisado</x:v>
      </x:c>
    </x:row>
    <x:row r="75" ht="24" customHeight="1">
      <x:c r="A75" s="32" t="str">
        <x:v>F070</x:v>
      </x:c>
      <x:c r="B75" s="32" t="str">
        <x:v>C06</x:v>
      </x:c>
      <x:c r="C75" s="33" t="str">
        <x:v>[TRON] - YouTube 02 -  VT 5 Seg - {Reg SC} - 07/10</x:v>
      </x:c>
      <x:c r="D75" s="33" t="str">
        <x:v>TRON - YOUTUBE 02 - VT 5 SEG - REG SC 07-10/Relatório por loja.csv</x:v>
      </x:c>
      <x:c r="E75" s="33" t="str">
        <x:v>1 de setembro de 2026 - 14 de outubro de 2026</x:v>
      </x:c>
      <x:c r="F75" s="32" t="str">
        <x:v>UTF-16</x:v>
      </x:c>
      <x:c r="G75" s="32" t="n">
        <x:v>6</x:v>
      </x:c>
      <x:c r="H75" s="32" t="n">
        <x:v>13</x:v>
      </x:c>
      <x:c r="I75" s="32" t="str">
        <x:v>ed44e1c2d97d2e89a01a178e1ab823c8a3f66f26c13837a4bd1d7649e798a724</x:v>
      </x:c>
      <x:c r="J75" s="32" t="str">
        <x:v>Lido e analisado</x:v>
      </x:c>
    </x:row>
    <x:row r="76" ht="24" customHeight="1">
      <x:c r="A76" s="32" t="str">
        <x:v>F071</x:v>
      </x:c>
      <x:c r="B76" s="32" t="str">
        <x:v>C07</x:v>
      </x:c>
      <x:c r="C76" s="33" t="str">
        <x:v>[TRON] - YouTube 03 -  VT 5 Seg - {Reg SC} - 07/10</x:v>
      </x:c>
      <x:c r="D76" s="33" t="str">
        <x:v>TRON - YOUTUBE 03 - VT 5 SEG - REG SC 07-10/brand_performance_report.zip &gt; Freq. méd. impr. _ usuário (covisualizadas).csv</x:v>
      </x:c>
      <x:c r="E76" s="33" t="str">
        <x:v>Período não informado no arquivo</x:v>
      </x:c>
      <x:c r="F76" s="32" t="str">
        <x:v>UTF-8</x:v>
      </x:c>
      <x:c r="G76" s="32" t="n">
        <x:v>7</x:v>
      </x:c>
      <x:c r="H76" s="32" t="n">
        <x:v>2</x:v>
      </x:c>
      <x:c r="I76" s="32" t="str">
        <x:v>6cea340e6d7fcdf9629e5ab504c48bcdda37119141cc2e6ed7fb6cb2cdece6ea</x:v>
      </x:c>
      <x:c r="J76" s="32" t="str">
        <x:v>Lido e analisado</x:v>
      </x:c>
    </x:row>
    <x:row r="77" ht="39" customHeight="1">
      <x:c r="A77" s="32" t="str">
        <x:v>F072</x:v>
      </x:c>
      <x:c r="B77" s="32" t="str">
        <x:v>C07</x:v>
      </x:c>
      <x:c r="C77" s="33" t="str">
        <x:v>[TRON] - YouTube 03 -  VT 5 Seg - {Reg SC} - 07/10</x:v>
      </x:c>
      <x:c r="D77" s="33" t="str">
        <x:v>TRON - YOUTUBE 03 - VT 5 SEG - REG SC 07-10/brand_performance_report.zip &gt; Formatos de anúncio por tipo de campanha/Usuários únicos (covisualizados).csv</x:v>
      </x:c>
      <x:c r="E77" s="33" t="str">
        <x:v>Período não informado no arquivo</x:v>
      </x:c>
      <x:c r="F77" s="32" t="str">
        <x:v>UTF-8</x:v>
      </x:c>
      <x:c r="G77" s="32" t="n">
        <x:v>3</x:v>
      </x:c>
      <x:c r="H77" s="32" t="n">
        <x:v>3</x:v>
      </x:c>
      <x:c r="I77" s="32" t="str">
        <x:v>6bbf8acac2ca3c16798a7f014d3d7346e7b8e1f6da1daa6348284ccabada2962</x:v>
      </x:c>
      <x:c r="J77" s="32" t="str">
        <x:v>Lido e analisado</x:v>
      </x:c>
    </x:row>
    <x:row r="78" ht="39" customHeight="1">
      <x:c r="A78" s="32" t="str">
        <x:v>F073</x:v>
      </x:c>
      <x:c r="B78" s="32" t="str">
        <x:v>C07</x:v>
      </x:c>
      <x:c r="C78" s="33" t="str">
        <x:v>[TRON] - YouTube 03 -  VT 5 Seg - {Reg SC} - 07/10</x:v>
      </x:c>
      <x:c r="D78" s="33" t="str">
        <x:v>TRON - YOUTUBE 03 - VT 5 SEG - REG SC 07-10/brand_performance_report.zip &gt; Formatos de anúncio por tipo de campanha/Freq. méd. impr. _ usuário (covisualizadas).csv</x:v>
      </x:c>
      <x:c r="E78" s="33" t="str">
        <x:v>Período não informado no arquivo</x:v>
      </x:c>
      <x:c r="F78" s="32" t="str">
        <x:v>UTF-8</x:v>
      </x:c>
      <x:c r="G78" s="32" t="n">
        <x:v>3</x:v>
      </x:c>
      <x:c r="H78" s="32" t="n">
        <x:v>2</x:v>
      </x:c>
      <x:c r="I78" s="32" t="str">
        <x:v>6fb6e2c9f3a0f76956eb533dd7d0cafeea4dea80867cb9d38507f8e7d39ae5d8</x:v>
      </x:c>
      <x:c r="J78" s="32" t="str">
        <x:v>Lido e analisado</x:v>
      </x:c>
    </x:row>
    <x:row r="79" ht="39" customHeight="1">
      <x:c r="A79" s="32" t="str">
        <x:v>F074</x:v>
      </x:c>
      <x:c r="B79" s="32" t="str">
        <x:v>C07</x:v>
      </x:c>
      <x:c r="C79" s="33" t="str">
        <x:v>[TRON] - YouTube 03 -  VT 5 Seg - {Reg SC} - 07/10</x:v>
      </x:c>
      <x:c r="D79" s="33" t="str">
        <x:v>TRON - YOUTUBE 03 - VT 5 SEG - REG SC 07-10/brand_performance_report.zip &gt; Dispositivos/Usuários únicos (covisualizados).csv</x:v>
      </x:c>
      <x:c r="E79" s="33" t="str">
        <x:v>Período não informado no arquivo</x:v>
      </x:c>
      <x:c r="F79" s="32" t="str">
        <x:v>UTF-8</x:v>
      </x:c>
      <x:c r="G79" s="32" t="n">
        <x:v>4</x:v>
      </x:c>
      <x:c r="H79" s="32" t="n">
        <x:v>2</x:v>
      </x:c>
      <x:c r="I79" s="32" t="str">
        <x:v>14d867eeb544bf91f752abf3e78c91906bfade3ce033c1288abafe5b039576b4</x:v>
      </x:c>
      <x:c r="J79" s="32" t="str">
        <x:v>Lido e analisado</x:v>
      </x:c>
    </x:row>
    <x:row r="80" ht="39" customHeight="1">
      <x:c r="A80" s="32" t="str">
        <x:v>F075</x:v>
      </x:c>
      <x:c r="B80" s="32" t="str">
        <x:v>C07</x:v>
      </x:c>
      <x:c r="C80" s="33" t="str">
        <x:v>[TRON] - YouTube 03 -  VT 5 Seg - {Reg SC} - 07/10</x:v>
      </x:c>
      <x:c r="D80" s="33" t="str">
        <x:v>TRON - YOUTUBE 03 - VT 5 SEG - REG SC 07-10/brand_performance_report.zip &gt; Dispositivos/Freq. méd. impr. _ usuário (covisualizadas).csv</x:v>
      </x:c>
      <x:c r="E80" s="33" t="str">
        <x:v>Período não informado no arquivo</x:v>
      </x:c>
      <x:c r="F80" s="32" t="str">
        <x:v>UTF-8</x:v>
      </x:c>
      <x:c r="G80" s="32" t="n">
        <x:v>4</x:v>
      </x:c>
      <x:c r="H80" s="32" t="n">
        <x:v>2</x:v>
      </x:c>
      <x:c r="I80" s="32" t="str">
        <x:v>abcde09a810e6dad343ddee5349fa434f33f455bba95f897cbca4578df3dc3d0</x:v>
      </x:c>
      <x:c r="J80" s="32" t="str">
        <x:v>Lido e analisado</x:v>
      </x:c>
    </x:row>
    <x:row r="81" ht="24" customHeight="1">
      <x:c r="A81" s="32" t="str">
        <x:v>F076</x:v>
      </x:c>
      <x:c r="B81" s="32" t="str">
        <x:v>C07</x:v>
      </x:c>
      <x:c r="C81" s="33" t="str">
        <x:v>[TRON] - YouTube 03 -  VT 5 Seg - {Reg SC} - 07/10</x:v>
      </x:c>
      <x:c r="D81" s="33" t="str">
        <x:v>TRON - YOUTUBE 03 - VT 5 SEG - REG SC 07-10/brand_performance_report.zip &gt; Local.csv</x:v>
      </x:c>
      <x:c r="E81" s="33" t="str">
        <x:v>Período não informado no arquivo</x:v>
      </x:c>
      <x:c r="F81" s="32" t="str">
        <x:v>UTF-8</x:v>
      </x:c>
      <x:c r="G81" s="32" t="n">
        <x:v>1</x:v>
      </x:c>
      <x:c r="H81" s="32" t="n">
        <x:v>3</x:v>
      </x:c>
      <x:c r="I81" s="32" t="str">
        <x:v>e8f112033c0331505b2e097ea6b1e9af493a9926552f537a67bf90dc2d9e2642</x:v>
      </x:c>
      <x:c r="J81" s="32" t="str">
        <x:v>Lido e analisado</x:v>
      </x:c>
    </x:row>
    <x:row r="82" ht="24" customHeight="1">
      <x:c r="A82" s="32" t="str">
        <x:v>F077</x:v>
      </x:c>
      <x:c r="B82" s="32" t="str">
        <x:v>C07</x:v>
      </x:c>
      <x:c r="C82" s="33" t="str">
        <x:v>[TRON] - YouTube 03 -  VT 5 Seg - {Reg SC} - 07/10</x:v>
      </x:c>
      <x:c r="D82" s="33" t="str">
        <x:v>TRON - YOUTUBE 03 - VT 5 SEG - REG SC 07-10/Gráfico_de_série_temporal(2026.09.01-2026.10.14) (1).csv</x:v>
      </x:c>
      <x:c r="E82" s="33" t="str">
        <x:v>Datas no nome: 2026.09.01-2026.10.14</x:v>
      </x:c>
      <x:c r="F82" s="32" t="str">
        <x:v>UTF-8</x:v>
      </x:c>
      <x:c r="G82" s="32" t="n">
        <x:v>44</x:v>
      </x:c>
      <x:c r="H82" s="32" t="n">
        <x:v>4</x:v>
      </x:c>
      <x:c r="I82" s="32" t="str">
        <x:v>1ee4ef3adb37a5de067c00fa55d6a69a4b525496042dc2a805da77f283aeb6f0</x:v>
      </x:c>
      <x:c r="J82" s="32" t="str">
        <x:v>Lido e analisado</x:v>
      </x:c>
    </x:row>
    <x:row r="83" ht="24" customHeight="1">
      <x:c r="A83" s="32" t="str">
        <x:v>F078</x:v>
      </x:c>
      <x:c r="B83" s="32" t="str">
        <x:v>C07</x:v>
      </x:c>
      <x:c r="C83" s="33" t="str">
        <x:v>[TRON] - YouTube 03 -  VT 5 Seg - {Reg SC} - 07/10</x:v>
      </x:c>
      <x:c r="D83" s="33" t="str">
        <x:v>TRON - YOUTUBE 03 - VT 5 SEG - REG SC 07-10/Gráfico_de_série_temporal(2026.09.01-2026.10.14) (2).csv</x:v>
      </x:c>
      <x:c r="E83" s="33" t="str">
        <x:v>Datas no nome: 2026.09.01-2026.10.14</x:v>
      </x:c>
      <x:c r="F83" s="32" t="str">
        <x:v>UTF-8</x:v>
      </x:c>
      <x:c r="G83" s="32" t="n">
        <x:v>44</x:v>
      </x:c>
      <x:c r="H83" s="32" t="n">
        <x:v>5</x:v>
      </x:c>
      <x:c r="I83" s="32" t="str">
        <x:v>0ad001cdb64ce68fc3dc262a644cbbd38f71e533911ae08dad010d35bac7dd5d</x:v>
      </x:c>
      <x:c r="J83" s="32" t="str">
        <x:v>Lido e analisado</x:v>
      </x:c>
    </x:row>
    <x:row r="84" ht="24" customHeight="1">
      <x:c r="A84" s="32" t="str">
        <x:v>F079</x:v>
      </x:c>
      <x:c r="B84" s="32" t="str">
        <x:v>C07</x:v>
      </x:c>
      <x:c r="C84" s="33" t="str">
        <x:v>[TRON] - YouTube 03 -  VT 5 Seg - {Reg SC} - 07/10</x:v>
      </x:c>
      <x:c r="D84" s="33" t="str">
        <x:v>TRON - YOUTUBE 03 - VT 5 SEG - REG SC 07-10/Gráfico_de_série_temporal(2026.09.01-2026.10.14).csv</x:v>
      </x:c>
      <x:c r="E84" s="33" t="str">
        <x:v>Datas no nome: 2026.09.01-2026.10.14</x:v>
      </x:c>
      <x:c r="F84" s="32" t="str">
        <x:v>UTF-8</x:v>
      </x:c>
      <x:c r="G84" s="32" t="n">
        <x:v>44</x:v>
      </x:c>
      <x:c r="H84" s="32" t="n">
        <x:v>5</x:v>
      </x:c>
      <x:c r="I84" s="32" t="str">
        <x:v>64e1a10d2df4b83e9d721cbf5fda0d380e9adb8ffa231150aed40178aa2366c0</x:v>
      </x:c>
      <x:c r="J84" s="32" t="str">
        <x:v>Lido e analisado</x:v>
      </x:c>
    </x:row>
    <x:row r="85" ht="24" customHeight="1">
      <x:c r="A85" s="32" t="str">
        <x:v>F080</x:v>
      </x:c>
      <x:c r="B85" s="32" t="str">
        <x:v>C07</x:v>
      </x:c>
      <x:c r="C85" s="33" t="str">
        <x:v>[TRON] - YouTube 03 -  VT 5 Seg - {Reg SC} - 07/10</x:v>
      </x:c>
      <x:c r="D85" s="33" t="str">
        <x:v>TRON - YOUTUBE 03 - VT 5 SEG - REG SC 07-10/Relatório de anúncios.csv</x:v>
      </x:c>
      <x:c r="E85" s="33" t="str">
        <x:v>1 de setembro de 2026 - 14 de outubro de 2026</x:v>
      </x:c>
      <x:c r="F85" s="32" t="str">
        <x:v>UTF-16</x:v>
      </x:c>
      <x:c r="G85" s="32" t="n">
        <x:v>3</x:v>
      </x:c>
      <x:c r="H85" s="32" t="n">
        <x:v>51</x:v>
      </x:c>
      <x:c r="I85" s="32" t="str">
        <x:v>410324fb7d435e8029c023d7282b9fcb96c9f85d31207990333c259d59744c01</x:v>
      </x:c>
      <x:c r="J85" s="32" t="str">
        <x:v>Lido e analisado</x:v>
      </x:c>
    </x:row>
    <x:row r="86" ht="24" customHeight="1">
      <x:c r="A86" s="32" t="str">
        <x:v>F081</x:v>
      </x:c>
      <x:c r="B86" s="32" t="str">
        <x:v>C07</x:v>
      </x:c>
      <x:c r="C86" s="33" t="str">
        <x:v>[TRON] - YouTube 03 -  VT 5 Seg - {Reg SC} - 07/10</x:v>
      </x:c>
      <x:c r="D86" s="33" t="str">
        <x:v>TRON - YOUTUBE 03 - VT 5 SEG - REG SC 07-10/Relatório de campanha.csv</x:v>
      </x:c>
      <x:c r="E86" s="33" t="str">
        <x:v>1 de setembro de 2026 - 14 de outubro de 2026</x:v>
      </x:c>
      <x:c r="F86" s="32" t="str">
        <x:v>UTF-16</x:v>
      </x:c>
      <x:c r="G86" s="32" t="n">
        <x:v>3</x:v>
      </x:c>
      <x:c r="H86" s="32" t="n">
        <x:v>20</x:v>
      </x:c>
      <x:c r="I86" s="32" t="str">
        <x:v>a42998944b62524ce19d75e4ec68f78f766ff3b181a21b6a313f654afa0b5857</x:v>
      </x:c>
      <x:c r="J86" s="32" t="str">
        <x:v>Lido e analisado</x:v>
      </x:c>
    </x:row>
    <x:row r="87" ht="24" customHeight="1">
      <x:c r="A87" s="32" t="str">
        <x:v>F082</x:v>
      </x:c>
      <x:c r="B87" s="32" t="str">
        <x:v>C07</x:v>
      </x:c>
      <x:c r="C87" s="33" t="str">
        <x:v>[TRON] - YouTube 03 -  VT 5 Seg - {Reg SC} - 07/10</x:v>
      </x:c>
      <x:c r="D87" s="33" t="str">
        <x:v>TRON - YOUTUBE 03 - VT 5 SEG - REG SC 07-10/Relatório de dispositivos.csv</x:v>
      </x:c>
      <x:c r="E87" s="33" t="str">
        <x:v>1 de setembro de 2026 - 14 de outubro de 2026</x:v>
      </x:c>
      <x:c r="F87" s="32" t="str">
        <x:v>UTF-16</x:v>
      </x:c>
      <x:c r="G87" s="32" t="n">
        <x:v>5</x:v>
      </x:c>
      <x:c r="H87" s="32" t="n">
        <x:v>15</x:v>
      </x:c>
      <x:c r="I87" s="32" t="str">
        <x:v>257081243439a4a4f9dc5ca4693d1ca1e84ad58c5c00427e5f800b8e854b985e</x:v>
      </x:c>
      <x:c r="J87" s="32" t="str">
        <x:v>Lido e analisado</x:v>
      </x:c>
    </x:row>
    <x:row r="88" ht="24" customHeight="1">
      <x:c r="A88" s="32" t="str">
        <x:v>F083</x:v>
      </x:c>
      <x:c r="B88" s="32" t="str">
        <x:v>C07</x:v>
      </x:c>
      <x:c r="C88" s="33" t="str">
        <x:v>[TRON] - YouTube 03 -  VT 5 Seg - {Reg SC} - 07/10</x:v>
      </x:c>
      <x:c r="D88" s="33" t="str">
        <x:v>TRON - YOUTUBE 03 - VT 5 SEG - REG SC 07-10/Relatório de locais.csv</x:v>
      </x:c>
      <x:c r="E88" s="33" t="str">
        <x:v>1 de setembro de 2026 - 14 de outubro de 2026</x:v>
      </x:c>
      <x:c r="F88" s="32" t="str">
        <x:v>UTF-16</x:v>
      </x:c>
      <x:c r="G88" s="32" t="n">
        <x:v>29</x:v>
      </x:c>
      <x:c r="H88" s="32" t="n">
        <x:v>11</x:v>
      </x:c>
      <x:c r="I88" s="32" t="str">
        <x:v>d787f256cea527edfcfdcd77e93fca8eeaa86fea2c476a5cbf3bf733718e9a48</x:v>
      </x:c>
      <x:c r="J88" s="32" t="str">
        <x:v>Lido e analisado</x:v>
      </x:c>
    </x:row>
    <x:row r="89" ht="24" customHeight="1">
      <x:c r="A89" s="32" t="str">
        <x:v>F084</x:v>
      </x:c>
      <x:c r="B89" s="32" t="str">
        <x:v>C07</x:v>
      </x:c>
      <x:c r="C89" s="33" t="str">
        <x:v>[TRON] - YouTube 03 -  VT 5 Seg - {Reg SC} - 07/10</x:v>
      </x:c>
      <x:c r="D89" s="33" t="str">
        <x:v>TRON - YOUTUBE 03 - VT 5 SEG - REG SC 07-10/Relatório do grupo de anúncios.csv</x:v>
      </x:c>
      <x:c r="E89" s="33" t="str">
        <x:v>1 de setembro de 2026 - 14 de outubro de 2026</x:v>
      </x:c>
      <x:c r="F89" s="32" t="str">
        <x:v>UTF-16</x:v>
      </x:c>
      <x:c r="G89" s="32" t="n">
        <x:v>3</x:v>
      </x:c>
      <x:c r="H89" s="32" t="n">
        <x:v>17</x:v>
      </x:c>
      <x:c r="I89" s="32" t="str">
        <x:v>5daf88c8787fe26f8ede3272436b28745866d7faedc9123579a5c6a8489edb42</x:v>
      </x:c>
      <x:c r="J89" s="32" t="str">
        <x:v>Lido e analisado</x:v>
      </x:c>
    </x:row>
    <x:row r="90" ht="24" customHeight="1">
      <x:c r="A90" s="32" t="str">
        <x:v>F085</x:v>
      </x:c>
      <x:c r="B90" s="32" t="str">
        <x:v>C07</x:v>
      </x:c>
      <x:c r="C90" s="33" t="str">
        <x:v>[TRON] - YouTube 03 -  VT 5 Seg - {Reg SC} - 07/10</x:v>
      </x:c>
      <x:c r="D90" s="33" t="str">
        <x:v>TRON - YOUTUBE 03 - VT 5 SEG - REG SC 07-10/Relatório por loja.csv</x:v>
      </x:c>
      <x:c r="E90" s="33" t="str">
        <x:v>1 de setembro de 2026 - 14 de outubro de 2026</x:v>
      </x:c>
      <x:c r="F90" s="32" t="str">
        <x:v>UTF-16</x:v>
      </x:c>
      <x:c r="G90" s="32" t="n">
        <x:v>6</x:v>
      </x:c>
      <x:c r="H90" s="32" t="n">
        <x:v>13</x:v>
      </x:c>
      <x:c r="I90" s="32" t="str">
        <x:v>02f3044f8a9479fccdc39510144bae7126a5e3dc8795dec197f5678f12e6ae66</x:v>
      </x:c>
      <x:c r="J90" s="32" t="str">
        <x:v>Lido e analisado</x:v>
      </x:c>
    </x:row>
    <x:row r="91" ht="24" customHeight="1">
      <x:c r="A91" s="32" t="str">
        <x:v>F086</x:v>
      </x:c>
      <x:c r="B91" s="32" t="str">
        <x:v>C08</x:v>
      </x:c>
      <x:c r="C91" s="33" t="str">
        <x:v>[TRON] - YouTube 04 -  VT 5 Seg - {Reg SC} - 07/10</x:v>
      </x:c>
      <x:c r="D91" s="33" t="str">
        <x:v>TRON - YOUTUBE 04 - VT 5 SEG - REG SC 07-10/brand_performance_report.zip &gt; Freq. méd. impr. _ usuário (covisualizadas).csv</x:v>
      </x:c>
      <x:c r="E91" s="33" t="str">
        <x:v>Período não informado no arquivo</x:v>
      </x:c>
      <x:c r="F91" s="32" t="str">
        <x:v>UTF-8</x:v>
      </x:c>
      <x:c r="G91" s="32" t="n">
        <x:v>7</x:v>
      </x:c>
      <x:c r="H91" s="32" t="n">
        <x:v>2</x:v>
      </x:c>
      <x:c r="I91" s="32" t="str">
        <x:v>ab60fd5b68cc0eb55c256a12920da98973b99b9a076f05b044528dc4e58b3b0c</x:v>
      </x:c>
      <x:c r="J91" s="32" t="str">
        <x:v>Lido e analisado</x:v>
      </x:c>
    </x:row>
    <x:row r="92" ht="39" customHeight="1">
      <x:c r="A92" s="32" t="str">
        <x:v>F087</x:v>
      </x:c>
      <x:c r="B92" s="32" t="str">
        <x:v>C08</x:v>
      </x:c>
      <x:c r="C92" s="33" t="str">
        <x:v>[TRON] - YouTube 04 -  VT 5 Seg - {Reg SC} - 07/10</x:v>
      </x:c>
      <x:c r="D92" s="33" t="str">
        <x:v>TRON - YOUTUBE 04 - VT 5 SEG - REG SC 07-10/brand_performance_report.zip &gt; Formatos de anúncio por tipo de campanha/Usuários únicos (covisualizados).csv</x:v>
      </x:c>
      <x:c r="E92" s="33" t="str">
        <x:v>Período não informado no arquivo</x:v>
      </x:c>
      <x:c r="F92" s="32" t="str">
        <x:v>UTF-8</x:v>
      </x:c>
      <x:c r="G92" s="32" t="n">
        <x:v>3</x:v>
      </x:c>
      <x:c r="H92" s="32" t="n">
        <x:v>3</x:v>
      </x:c>
      <x:c r="I92" s="32" t="str">
        <x:v>59a766a199560ee80c9fac968ae8eb977e27f557a05a430f67aa3ed21828801f</x:v>
      </x:c>
      <x:c r="J92" s="32" t="str">
        <x:v>Lido e analisado</x:v>
      </x:c>
    </x:row>
    <x:row r="93" ht="39" customHeight="1">
      <x:c r="A93" s="32" t="str">
        <x:v>F088</x:v>
      </x:c>
      <x:c r="B93" s="32" t="str">
        <x:v>C08</x:v>
      </x:c>
      <x:c r="C93" s="33" t="str">
        <x:v>[TRON] - YouTube 04 -  VT 5 Seg - {Reg SC} - 07/10</x:v>
      </x:c>
      <x:c r="D93" s="33" t="str">
        <x:v>TRON - YOUTUBE 04 - VT 5 SEG - REG SC 07-10/brand_performance_report.zip &gt; Formatos de anúncio por tipo de campanha/Freq. méd. impr. _ usuário (covisualizadas).csv</x:v>
      </x:c>
      <x:c r="E93" s="33" t="str">
        <x:v>Período não informado no arquivo</x:v>
      </x:c>
      <x:c r="F93" s="32" t="str">
        <x:v>UTF-8</x:v>
      </x:c>
      <x:c r="G93" s="32" t="n">
        <x:v>3</x:v>
      </x:c>
      <x:c r="H93" s="32" t="n">
        <x:v>2</x:v>
      </x:c>
      <x:c r="I93" s="32" t="str">
        <x:v>13712873d6554c82f62945bb1330ca8b27d643ec34068dbe882bfac0fc262496</x:v>
      </x:c>
      <x:c r="J93" s="32" t="str">
        <x:v>Lido e analisado</x:v>
      </x:c>
    </x:row>
    <x:row r="94" ht="39" customHeight="1">
      <x:c r="A94" s="32" t="str">
        <x:v>F089</x:v>
      </x:c>
      <x:c r="B94" s="32" t="str">
        <x:v>C08</x:v>
      </x:c>
      <x:c r="C94" s="33" t="str">
        <x:v>[TRON] - YouTube 04 -  VT 5 Seg - {Reg SC} - 07/10</x:v>
      </x:c>
      <x:c r="D94" s="33" t="str">
        <x:v>TRON - YOUTUBE 04 - VT 5 SEG - REG SC 07-10/brand_performance_report.zip &gt; Dispositivos/Usuários únicos (covisualizados).csv</x:v>
      </x:c>
      <x:c r="E94" s="33" t="str">
        <x:v>Período não informado no arquivo</x:v>
      </x:c>
      <x:c r="F94" s="32" t="str">
        <x:v>UTF-8</x:v>
      </x:c>
      <x:c r="G94" s="32" t="n">
        <x:v>4</x:v>
      </x:c>
      <x:c r="H94" s="32" t="n">
        <x:v>2</x:v>
      </x:c>
      <x:c r="I94" s="32" t="str">
        <x:v>9e5a14e4f2ea86c38e694f6147699eec44fdabba4d28430181e40e226d521f7a</x:v>
      </x:c>
      <x:c r="J94" s="32" t="str">
        <x:v>Lido e analisado</x:v>
      </x:c>
    </x:row>
    <x:row r="95" ht="39" customHeight="1">
      <x:c r="A95" s="32" t="str">
        <x:v>F090</x:v>
      </x:c>
      <x:c r="B95" s="32" t="str">
        <x:v>C08</x:v>
      </x:c>
      <x:c r="C95" s="33" t="str">
        <x:v>[TRON] - YouTube 04 -  VT 5 Seg - {Reg SC} - 07/10</x:v>
      </x:c>
      <x:c r="D95" s="33" t="str">
        <x:v>TRON - YOUTUBE 04 - VT 5 SEG - REG SC 07-10/brand_performance_report.zip &gt; Dispositivos/Freq. méd. impr. _ usuário (covisualizadas).csv</x:v>
      </x:c>
      <x:c r="E95" s="33" t="str">
        <x:v>Período não informado no arquivo</x:v>
      </x:c>
      <x:c r="F95" s="32" t="str">
        <x:v>UTF-8</x:v>
      </x:c>
      <x:c r="G95" s="32" t="n">
        <x:v>4</x:v>
      </x:c>
      <x:c r="H95" s="32" t="n">
        <x:v>2</x:v>
      </x:c>
      <x:c r="I95" s="32" t="str">
        <x:v>0795d63ef72485efa4d0fd981ea995adf112f410bfd1481270faf52af2e79140</x:v>
      </x:c>
      <x:c r="J95" s="32" t="str">
        <x:v>Lido e analisado</x:v>
      </x:c>
    </x:row>
    <x:row r="96" ht="24" customHeight="1">
      <x:c r="A96" s="32" t="str">
        <x:v>F091</x:v>
      </x:c>
      <x:c r="B96" s="32" t="str">
        <x:v>C08</x:v>
      </x:c>
      <x:c r="C96" s="33" t="str">
        <x:v>[TRON] - YouTube 04 -  VT 5 Seg - {Reg SC} - 07/10</x:v>
      </x:c>
      <x:c r="D96" s="33" t="str">
        <x:v>TRON - YOUTUBE 04 - VT 5 SEG - REG SC 07-10/brand_performance_report.zip &gt; Local.csv</x:v>
      </x:c>
      <x:c r="E96" s="33" t="str">
        <x:v>Período não informado no arquivo</x:v>
      </x:c>
      <x:c r="F96" s="32" t="str">
        <x:v>UTF-8</x:v>
      </x:c>
      <x:c r="G96" s="32" t="n">
        <x:v>1</x:v>
      </x:c>
      <x:c r="H96" s="32" t="n">
        <x:v>3</x:v>
      </x:c>
      <x:c r="I96" s="32" t="str">
        <x:v>25ab55982092decc0c7efa7c1b528d058c142c801bb9248f15d6b30ea300de89</x:v>
      </x:c>
      <x:c r="J96" s="32" t="str">
        <x:v>Lido e analisado</x:v>
      </x:c>
    </x:row>
    <x:row r="97" ht="24" customHeight="1">
      <x:c r="A97" s="32" t="str">
        <x:v>F092</x:v>
      </x:c>
      <x:c r="B97" s="32" t="str">
        <x:v>C08</x:v>
      </x:c>
      <x:c r="C97" s="33" t="str">
        <x:v>[TRON] - YouTube 04 -  VT 5 Seg - {Reg SC} - 07/10</x:v>
      </x:c>
      <x:c r="D97" s="33" t="str">
        <x:v>TRON - YOUTUBE 04 - VT 5 SEG - REG SC 07-10/Gráfico_de_série_temporal(2026.09.01-2026.10.14) (1).csv</x:v>
      </x:c>
      <x:c r="E97" s="33" t="str">
        <x:v>Datas no nome: 2026.09.01-2026.10.14</x:v>
      </x:c>
      <x:c r="F97" s="32" t="str">
        <x:v>UTF-8</x:v>
      </x:c>
      <x:c r="G97" s="32" t="n">
        <x:v>44</x:v>
      </x:c>
      <x:c r="H97" s="32" t="n">
        <x:v>5</x:v>
      </x:c>
      <x:c r="I97" s="32" t="str">
        <x:v>8f1b072353dfe39d2a76f4c4bed53ac280d15fb9ad07ddd34322a7561ebb38c6</x:v>
      </x:c>
      <x:c r="J97" s="32" t="str">
        <x:v>Lido e analisado</x:v>
      </x:c>
    </x:row>
    <x:row r="98" ht="24" customHeight="1">
      <x:c r="A98" s="32" t="str">
        <x:v>F093</x:v>
      </x:c>
      <x:c r="B98" s="32" t="str">
        <x:v>C08</x:v>
      </x:c>
      <x:c r="C98" s="33" t="str">
        <x:v>[TRON] - YouTube 04 -  VT 5 Seg - {Reg SC} - 07/10</x:v>
      </x:c>
      <x:c r="D98" s="33" t="str">
        <x:v>TRON - YOUTUBE 04 - VT 5 SEG - REG SC 07-10/Gráfico_de_série_temporal(2026.09.01-2026.10.14) (2).csv</x:v>
      </x:c>
      <x:c r="E98" s="33" t="str">
        <x:v>Datas no nome: 2026.09.01-2026.10.14</x:v>
      </x:c>
      <x:c r="F98" s="32" t="str">
        <x:v>UTF-8</x:v>
      </x:c>
      <x:c r="G98" s="32" t="n">
        <x:v>44</x:v>
      </x:c>
      <x:c r="H98" s="32" t="n">
        <x:v>5</x:v>
      </x:c>
      <x:c r="I98" s="32" t="str">
        <x:v>2f76d9adf68df52cabfcb7986c4174747061d3ac4222bd6863a72c8904190525</x:v>
      </x:c>
      <x:c r="J98" s="32" t="str">
        <x:v>Lido e analisado</x:v>
      </x:c>
    </x:row>
    <x:row r="99" ht="24" customHeight="1">
      <x:c r="A99" s="32" t="str">
        <x:v>F094</x:v>
      </x:c>
      <x:c r="B99" s="32" t="str">
        <x:v>C08</x:v>
      </x:c>
      <x:c r="C99" s="33" t="str">
        <x:v>[TRON] - YouTube 04 -  VT 5 Seg - {Reg SC} - 07/10</x:v>
      </x:c>
      <x:c r="D99" s="33" t="str">
        <x:v>TRON - YOUTUBE 04 - VT 5 SEG - REG SC 07-10/Gráfico_de_série_temporal(2026.09.01-2026.10.14).csv</x:v>
      </x:c>
      <x:c r="E99" s="33" t="str">
        <x:v>Datas no nome: 2026.09.01-2026.10.14</x:v>
      </x:c>
      <x:c r="F99" s="32" t="str">
        <x:v>UTF-8</x:v>
      </x:c>
      <x:c r="G99" s="32" t="n">
        <x:v>44</x:v>
      </x:c>
      <x:c r="H99" s="32" t="n">
        <x:v>5</x:v>
      </x:c>
      <x:c r="I99" s="32" t="str">
        <x:v>fcd0b6005f057d3316129f96e7a723e935bce3cf2936c2285a3c0291f6c8f6c6</x:v>
      </x:c>
      <x:c r="J99" s="32" t="str">
        <x:v>Lido e analisado</x:v>
      </x:c>
    </x:row>
    <x:row r="100" ht="24" customHeight="1">
      <x:c r="A100" s="32" t="str">
        <x:v>F095</x:v>
      </x:c>
      <x:c r="B100" s="32" t="str">
        <x:v>C08</x:v>
      </x:c>
      <x:c r="C100" s="33" t="str">
        <x:v>[TRON] - YouTube 04 -  VT 5 Seg - {Reg SC} - 07/10</x:v>
      </x:c>
      <x:c r="D100" s="33" t="str">
        <x:v>TRON - YOUTUBE 04 - VT 5 SEG - REG SC 07-10/Relatório de anúncios.csv</x:v>
      </x:c>
      <x:c r="E100" s="33" t="str">
        <x:v>1 de setembro de 2026 - 14 de outubro de 2026</x:v>
      </x:c>
      <x:c r="F100" s="32" t="str">
        <x:v>UTF-16</x:v>
      </x:c>
      <x:c r="G100" s="32" t="n">
        <x:v>3</x:v>
      </x:c>
      <x:c r="H100" s="32" t="n">
        <x:v>51</x:v>
      </x:c>
      <x:c r="I100" s="32" t="str">
        <x:v>b16a133314af5b66ad98e3c6dba96aa2d779a1ff2f170348bc589756171ab23f</x:v>
      </x:c>
      <x:c r="J100" s="32" t="str">
        <x:v>Lido e analisado</x:v>
      </x:c>
    </x:row>
    <x:row r="101" ht="24" customHeight="1">
      <x:c r="A101" s="32" t="str">
        <x:v>F096</x:v>
      </x:c>
      <x:c r="B101" s="32" t="str">
        <x:v>C08</x:v>
      </x:c>
      <x:c r="C101" s="33" t="str">
        <x:v>[TRON] - YouTube 04 -  VT 5 Seg - {Reg SC} - 07/10</x:v>
      </x:c>
      <x:c r="D101" s="33" t="str">
        <x:v>TRON - YOUTUBE 04 - VT 5 SEG - REG SC 07-10/Relatório de campanha.csv</x:v>
      </x:c>
      <x:c r="E101" s="33" t="str">
        <x:v>1 de setembro de 2026 - 14 de outubro de 2026</x:v>
      </x:c>
      <x:c r="F101" s="32" t="str">
        <x:v>UTF-16</x:v>
      </x:c>
      <x:c r="G101" s="32" t="n">
        <x:v>3</x:v>
      </x:c>
      <x:c r="H101" s="32" t="n">
        <x:v>20</x:v>
      </x:c>
      <x:c r="I101" s="32" t="str">
        <x:v>138710f745ed3dea4afbb80fc86822d116190edae8de62a35417c797f718b93d</x:v>
      </x:c>
      <x:c r="J101" s="32" t="str">
        <x:v>Lido e analisado</x:v>
      </x:c>
    </x:row>
    <x:row r="102" ht="24" customHeight="1">
      <x:c r="A102" s="32" t="str">
        <x:v>F097</x:v>
      </x:c>
      <x:c r="B102" s="32" t="str">
        <x:v>C08</x:v>
      </x:c>
      <x:c r="C102" s="33" t="str">
        <x:v>[TRON] - YouTube 04 -  VT 5 Seg - {Reg SC} - 07/10</x:v>
      </x:c>
      <x:c r="D102" s="33" t="str">
        <x:v>TRON - YOUTUBE 04 - VT 5 SEG - REG SC 07-10/Relatório de dispositivos.csv</x:v>
      </x:c>
      <x:c r="E102" s="33" t="str">
        <x:v>1 de setembro de 2026 - 14 de outubro de 2026</x:v>
      </x:c>
      <x:c r="F102" s="32" t="str">
        <x:v>UTF-16</x:v>
      </x:c>
      <x:c r="G102" s="32" t="n">
        <x:v>5</x:v>
      </x:c>
      <x:c r="H102" s="32" t="n">
        <x:v>15</x:v>
      </x:c>
      <x:c r="I102" s="32" t="str">
        <x:v>67a77227e5de1f889799f25396fc159d208ce9ac8b7e35fcdd08f12fc116d32a</x:v>
      </x:c>
      <x:c r="J102" s="32" t="str">
        <x:v>Lido e analisado</x:v>
      </x:c>
    </x:row>
    <x:row r="103" ht="24" customHeight="1">
      <x:c r="A103" s="32" t="str">
        <x:v>F098</x:v>
      </x:c>
      <x:c r="B103" s="32" t="str">
        <x:v>C08</x:v>
      </x:c>
      <x:c r="C103" s="33" t="str">
        <x:v>[TRON] - YouTube 04 -  VT 5 Seg - {Reg SC} - 07/10</x:v>
      </x:c>
      <x:c r="D103" s="33" t="str">
        <x:v>TRON - YOUTUBE 04 - VT 5 SEG - REG SC 07-10/Relatório do grupo de anúncios.csv</x:v>
      </x:c>
      <x:c r="E103" s="33" t="str">
        <x:v>1 de setembro de 2026 - 14 de outubro de 2026</x:v>
      </x:c>
      <x:c r="F103" s="32" t="str">
        <x:v>UTF-16</x:v>
      </x:c>
      <x:c r="G103" s="32" t="n">
        <x:v>3</x:v>
      </x:c>
      <x:c r="H103" s="32" t="n">
        <x:v>17</x:v>
      </x:c>
      <x:c r="I103" s="32" t="str">
        <x:v>36c518755d214d37ab3ad81ffec8f0c03de90a2ae4eb3f538008579d47850dfd</x:v>
      </x:c>
      <x:c r="J103" s="32" t="str">
        <x:v>Lido e analisado</x:v>
      </x:c>
    </x:row>
    <x:row r="104" ht="24" customHeight="1">
      <x:c r="A104" s="32" t="str">
        <x:v>F099</x:v>
      </x:c>
      <x:c r="B104" s="32" t="str">
        <x:v>C08</x:v>
      </x:c>
      <x:c r="C104" s="33" t="str">
        <x:v>[TRON] - YouTube 04 -  VT 5 Seg - {Reg SC} - 07/10</x:v>
      </x:c>
      <x:c r="D104" s="33" t="str">
        <x:v>TRON - YOUTUBE 04 - VT 5 SEG - REG SC 07-10/Relatório por loja.csv</x:v>
      </x:c>
      <x:c r="E104" s="33" t="str">
        <x:v>1 de setembro de 2026 - 14 de outubro de 2026</x:v>
      </x:c>
      <x:c r="F104" s="32" t="str">
        <x:v>UTF-16</x:v>
      </x:c>
      <x:c r="G104" s="32" t="n">
        <x:v>6</x:v>
      </x:c>
      <x:c r="H104" s="32" t="n">
        <x:v>13</x:v>
      </x:c>
      <x:c r="I104" s="32" t="str">
        <x:v>6ef961bd5f2524f02d51883172c9e50d49cae1b3b6c71ec7894caeabf5cc959c</x:v>
      </x:c>
      <x:c r="J104" s="32" t="str">
        <x:v>Lido e analisado</x:v>
      </x:c>
    </x:row>
  </x:sheetData>
  <x:pageMargins left="0.7" right="0.7" top="0.75" bottom="0.75" header="0.3" footer="0.3"/>
  <x:tableParts count="1">
    <x:tablePart xmlns:r="http://schemas.openxmlformats.org/officeDocument/2006/relationships" r:id="R3437c2940fe54f2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50" hidden="0" customWidth="1"/>
  </x:cols>
  <x:sheetData>
    <x:row r="1">
      <x:c r="A1" s="1"/>
      <x:c r="B1" s="1"/>
      <x:c r="C1" s="1"/>
      <x:c r="D1" s="1"/>
    </x:row>
    <x:row r="2" ht="24" customHeight="1">
      <x:c r="A2" s="2" t="str">
        <x:v>Registros originais preservados</x:v>
      </x:c>
      <x:c r="B2" s="1"/>
      <x:c r="C2" s="1"/>
      <x:c r="D2" s="1"/>
    </x:row>
    <x:row r="3">
      <x:c r="A3" s="3" t="str">
        <x:v>Cada registro mantém todos os campos e valores do CSV original. Inclui linhas de totais, sem somá-las de novo.</x:v>
      </x:c>
      <x:c r="B3" s="1"/>
      <x:c r="C3" s="1"/>
      <x:c r="D3" s="1"/>
    </x:row>
    <x:row r="4">
      <x:c r="A4" s="1"/>
      <x:c r="B4" s="1"/>
      <x:c r="C4" s="1"/>
      <x:c r="D4" s="1"/>
    </x:row>
    <x:row r="5" ht="34" customHeight="1">
      <x:c r="A5" s="8" t="str">
        <x:v>Fonte ID</x:v>
      </x:c>
      <x:c r="B5" s="8" t="str">
        <x:v>Campanha ID</x:v>
      </x:c>
      <x:c r="C5" s="8" t="str">
        <x:v>Registro</x:v>
      </x:c>
      <x:c r="D5" s="8" t="str">
        <x:v>Campos e valores originais (JSON)</x:v>
      </x:c>
    </x:row>
    <x:row r="6" ht="24" customHeight="1">
      <x:c r="A6" s="32" t="str">
        <x:v>F001</x:v>
      </x:c>
      <x:c r="B6" s="32" t="str">
        <x:v>C01</x:v>
      </x:c>
      <x:c r="C6" s="32" t="n">
        <x:v>1</x:v>
      </x:c>
      <x:c r="D6" s="33" t="str">
        <x:v>{"Data":"qua., 1 de jul. de 2026","Visualizações públicas do YouTube":"0","Cliques":"0","Custo":"R$ 0,00"}</x:v>
      </x:c>
    </x:row>
    <x:row r="7" ht="24" customHeight="1">
      <x:c r="A7" s="32" t="str">
        <x:v>F001</x:v>
      </x:c>
      <x:c r="B7" s="32" t="str">
        <x:v>C01</x:v>
      </x:c>
      <x:c r="C7" s="32" t="n">
        <x:v>2</x:v>
      </x:c>
      <x:c r="D7" s="33" t="str">
        <x:v>{"Data":"qui., 2 de jul. de 2026","Visualizações públicas do YouTube":"0","Cliques":"0","Custo":"R$ 0,00"}</x:v>
      </x:c>
    </x:row>
    <x:row r="8" ht="24" customHeight="1">
      <x:c r="A8" s="32" t="str">
        <x:v>F001</x:v>
      </x:c>
      <x:c r="B8" s="32" t="str">
        <x:v>C01</x:v>
      </x:c>
      <x:c r="C8" s="32" t="n">
        <x:v>3</x:v>
      </x:c>
      <x:c r="D8" s="33" t="str">
        <x:v>{"Data":"sex., 3 de jul. de 2026","Visualizações públicas do YouTube":"0","Cliques":"0","Custo":"R$ 0,00"}</x:v>
      </x:c>
    </x:row>
    <x:row r="9" ht="24" customHeight="1">
      <x:c r="A9" s="32" t="str">
        <x:v>F001</x:v>
      </x:c>
      <x:c r="B9" s="32" t="str">
        <x:v>C01</x:v>
      </x:c>
      <x:c r="C9" s="32" t="n">
        <x:v>4</x:v>
      </x:c>
      <x:c r="D9" s="33" t="str">
        <x:v>{"Data":"sáb., 4 de jul. de 2026","Visualizações públicas do YouTube":"0","Cliques":"0","Custo":"R$ 0,00"}</x:v>
      </x:c>
    </x:row>
    <x:row r="10" ht="24" customHeight="1">
      <x:c r="A10" s="32" t="str">
        <x:v>F001</x:v>
      </x:c>
      <x:c r="B10" s="32" t="str">
        <x:v>C01</x:v>
      </x:c>
      <x:c r="C10" s="32" t="n">
        <x:v>5</x:v>
      </x:c>
      <x:c r="D10" s="33" t="str">
        <x:v>{"Data":"dom., 5 de jul. de 2026","Visualizações públicas do YouTube":"0","Cliques":"0","Custo":"R$ 0,00"}</x:v>
      </x:c>
    </x:row>
    <x:row r="11" ht="24" customHeight="1">
      <x:c r="A11" s="32" t="str">
        <x:v>F001</x:v>
      </x:c>
      <x:c r="B11" s="32" t="str">
        <x:v>C01</x:v>
      </x:c>
      <x:c r="C11" s="32" t="n">
        <x:v>6</x:v>
      </x:c>
      <x:c r="D11" s="33" t="str">
        <x:v>{"Data":"seg., 6 de jul. de 2026","Visualizações públicas do YouTube":"0","Cliques":"0","Custo":"R$ 0,00"}</x:v>
      </x:c>
    </x:row>
    <x:row r="12" ht="24" customHeight="1">
      <x:c r="A12" s="32" t="str">
        <x:v>F001</x:v>
      </x:c>
      <x:c r="B12" s="32" t="str">
        <x:v>C01</x:v>
      </x:c>
      <x:c r="C12" s="32" t="n">
        <x:v>7</x:v>
      </x:c>
      <x:c r="D12" s="33" t="str">
        <x:v>{"Data":"ter., 7 de jul. de 2026","Visualizações públicas do YouTube":"0","Cliques":"0","Custo":"R$ 0,00"}</x:v>
      </x:c>
    </x:row>
    <x:row r="13" ht="24" customHeight="1">
      <x:c r="A13" s="32" t="str">
        <x:v>F001</x:v>
      </x:c>
      <x:c r="B13" s="32" t="str">
        <x:v>C01</x:v>
      </x:c>
      <x:c r="C13" s="32" t="n">
        <x:v>8</x:v>
      </x:c>
      <x:c r="D13" s="33" t="str">
        <x:v>{"Data":"qua., 8 de jul. de 2026","Visualizações públicas do YouTube":"0","Cliques":"0","Custo":"R$ 0,00"}</x:v>
      </x:c>
    </x:row>
    <x:row r="14" ht="24" customHeight="1">
      <x:c r="A14" s="32" t="str">
        <x:v>F001</x:v>
      </x:c>
      <x:c r="B14" s="32" t="str">
        <x:v>C01</x:v>
      </x:c>
      <x:c r="C14" s="32" t="n">
        <x:v>9</x:v>
      </x:c>
      <x:c r="D14" s="33" t="str">
        <x:v>{"Data":"qui., 9 de jul. de 2026","Visualizações públicas do YouTube":"0","Cliques":"0","Custo":"R$ 0,00"}</x:v>
      </x:c>
    </x:row>
    <x:row r="15" ht="24" customHeight="1">
      <x:c r="A15" s="32" t="str">
        <x:v>F001</x:v>
      </x:c>
      <x:c r="B15" s="32" t="str">
        <x:v>C01</x:v>
      </x:c>
      <x:c r="C15" s="32" t="n">
        <x:v>10</x:v>
      </x:c>
      <x:c r="D15" s="33" t="str">
        <x:v>{"Data":"sex., 10 de jul. de 2026","Visualizações públicas do YouTube":"0","Cliques":"0","Custo":"R$ 0,00"}</x:v>
      </x:c>
    </x:row>
    <x:row r="16" ht="24" customHeight="1">
      <x:c r="A16" s="32" t="str">
        <x:v>F001</x:v>
      </x:c>
      <x:c r="B16" s="32" t="str">
        <x:v>C01</x:v>
      </x:c>
      <x:c r="C16" s="32" t="n">
        <x:v>11</x:v>
      </x:c>
      <x:c r="D16" s="33" t="str">
        <x:v>{"Data":"sáb., 11 de jul. de 2026","Visualizações públicas do YouTube":"0","Cliques":"0","Custo":"R$ 0,00"}</x:v>
      </x:c>
    </x:row>
    <x:row r="17" ht="24" customHeight="1">
      <x:c r="A17" s="32" t="str">
        <x:v>F001</x:v>
      </x:c>
      <x:c r="B17" s="32" t="str">
        <x:v>C01</x:v>
      </x:c>
      <x:c r="C17" s="32" t="n">
        <x:v>12</x:v>
      </x:c>
      <x:c r="D17" s="33" t="str">
        <x:v>{"Data":"dom., 12 de jul. de 2026","Visualizações públicas do YouTube":"0","Cliques":"0","Custo":"R$ 0,00"}</x:v>
      </x:c>
    </x:row>
    <x:row r="18" ht="24" customHeight="1">
      <x:c r="A18" s="32" t="str">
        <x:v>F001</x:v>
      </x:c>
      <x:c r="B18" s="32" t="str">
        <x:v>C01</x:v>
      </x:c>
      <x:c r="C18" s="32" t="n">
        <x:v>13</x:v>
      </x:c>
      <x:c r="D18" s="33" t="str">
        <x:v>{"Data":"seg., 13 de jul. de 2026","Visualizações públicas do YouTube":"0","Cliques":"0","Custo":"R$ 0,00"}</x:v>
      </x:c>
    </x:row>
    <x:row r="19" ht="24" customHeight="1">
      <x:c r="A19" s="32" t="str">
        <x:v>F001</x:v>
      </x:c>
      <x:c r="B19" s="32" t="str">
        <x:v>C01</x:v>
      </x:c>
      <x:c r="C19" s="32" t="n">
        <x:v>14</x:v>
      </x:c>
      <x:c r="D19" s="33" t="str">
        <x:v>{"Data":"ter., 14 de jul. de 2026","Visualizações públicas do YouTube":"0","Cliques":"0","Custo":"R$ 0,00"}</x:v>
      </x:c>
    </x:row>
    <x:row r="20" ht="24" customHeight="1">
      <x:c r="A20" s="32" t="str">
        <x:v>F001</x:v>
      </x:c>
      <x:c r="B20" s="32" t="str">
        <x:v>C01</x:v>
      </x:c>
      <x:c r="C20" s="32" t="n">
        <x:v>15</x:v>
      </x:c>
      <x:c r="D20" s="33" t="str">
        <x:v>{"Data":"qua., 15 de jul. de 2026","Visualizações públicas do YouTube":"0","Cliques":"0","Custo":"R$ 0,00"}</x:v>
      </x:c>
    </x:row>
    <x:row r="21" ht="24" customHeight="1">
      <x:c r="A21" s="32" t="str">
        <x:v>F001</x:v>
      </x:c>
      <x:c r="B21" s="32" t="str">
        <x:v>C01</x:v>
      </x:c>
      <x:c r="C21" s="32" t="n">
        <x:v>16</x:v>
      </x:c>
      <x:c r="D21" s="33" t="str">
        <x:v>{"Data":"qui., 16 de jul. de 2026","Visualizações públicas do YouTube":"0","Cliques":"0","Custo":"R$ 0,00"}</x:v>
      </x:c>
    </x:row>
    <x:row r="22" ht="24" customHeight="1">
      <x:c r="A22" s="32" t="str">
        <x:v>F001</x:v>
      </x:c>
      <x:c r="B22" s="32" t="str">
        <x:v>C01</x:v>
      </x:c>
      <x:c r="C22" s="32" t="n">
        <x:v>17</x:v>
      </x:c>
      <x:c r="D22" s="33" t="str">
        <x:v>{"Data":"sex., 17 de jul. de 2026","Visualizações públicas do YouTube":"0","Cliques":"0","Custo":"R$ 0,00"}</x:v>
      </x:c>
    </x:row>
    <x:row r="23" ht="24" customHeight="1">
      <x:c r="A23" s="32" t="str">
        <x:v>F001</x:v>
      </x:c>
      <x:c r="B23" s="32" t="str">
        <x:v>C01</x:v>
      </x:c>
      <x:c r="C23" s="32" t="n">
        <x:v>18</x:v>
      </x:c>
      <x:c r="D23" s="33" t="str">
        <x:v>{"Data":"sáb., 18 de jul. de 2026","Visualizações públicas do YouTube":"0","Cliques":"0","Custo":"R$ 0,00"}</x:v>
      </x:c>
    </x:row>
    <x:row r="24" ht="24" customHeight="1">
      <x:c r="A24" s="32" t="str">
        <x:v>F001</x:v>
      </x:c>
      <x:c r="B24" s="32" t="str">
        <x:v>C01</x:v>
      </x:c>
      <x:c r="C24" s="32" t="n">
        <x:v>19</x:v>
      </x:c>
      <x:c r="D24" s="33" t="str">
        <x:v>{"Data":"dom., 19 de jul. de 2026","Visualizações públicas do YouTube":"0","Cliques":"0","Custo":"R$ 0,00"}</x:v>
      </x:c>
    </x:row>
    <x:row r="25" ht="24" customHeight="1">
      <x:c r="A25" s="32" t="str">
        <x:v>F001</x:v>
      </x:c>
      <x:c r="B25" s="32" t="str">
        <x:v>C01</x:v>
      </x:c>
      <x:c r="C25" s="32" t="n">
        <x:v>20</x:v>
      </x:c>
      <x:c r="D25" s="33" t="str">
        <x:v>{"Data":"seg., 20 de jul. de 2026","Visualizações públicas do YouTube":"0","Cliques":"0","Custo":"R$ 0,00"}</x:v>
      </x:c>
    </x:row>
    <x:row r="26" ht="24" customHeight="1">
      <x:c r="A26" s="32" t="str">
        <x:v>F001</x:v>
      </x:c>
      <x:c r="B26" s="32" t="str">
        <x:v>C01</x:v>
      </x:c>
      <x:c r="C26" s="32" t="n">
        <x:v>21</x:v>
      </x:c>
      <x:c r="D26" s="33" t="str">
        <x:v>{"Data":"ter., 21 de jul. de 2026","Visualizações públicas do YouTube":"0","Cliques":"0","Custo":"R$ 0,00"}</x:v>
      </x:c>
    </x:row>
    <x:row r="27" ht="24" customHeight="1">
      <x:c r="A27" s="32" t="str">
        <x:v>F001</x:v>
      </x:c>
      <x:c r="B27" s="32" t="str">
        <x:v>C01</x:v>
      </x:c>
      <x:c r="C27" s="32" t="n">
        <x:v>22</x:v>
      </x:c>
      <x:c r="D27" s="33" t="str">
        <x:v>{"Data":"qua., 22 de jul. de 2026","Visualizações públicas do YouTube":"0","Cliques":"0","Custo":"R$ 0,00"}</x:v>
      </x:c>
    </x:row>
    <x:row r="28" ht="24" customHeight="1">
      <x:c r="A28" s="32" t="str">
        <x:v>F001</x:v>
      </x:c>
      <x:c r="B28" s="32" t="str">
        <x:v>C01</x:v>
      </x:c>
      <x:c r="C28" s="32" t="n">
        <x:v>23</x:v>
      </x:c>
      <x:c r="D28" s="33" t="str">
        <x:v>{"Data":"qui., 23 de jul. de 2026","Visualizações públicas do YouTube":"1.624","Cliques":"0","Custo":"R$ 19,98"}</x:v>
      </x:c>
    </x:row>
    <x:row r="29" ht="24" customHeight="1">
      <x:c r="A29" s="32" t="str">
        <x:v>F001</x:v>
      </x:c>
      <x:c r="B29" s="32" t="str">
        <x:v>C01</x:v>
      </x:c>
      <x:c r="C29" s="32" t="n">
        <x:v>24</x:v>
      </x:c>
      <x:c r="D29" s="33" t="str">
        <x:v>{"Data":"sex., 24 de jul. de 2026","Visualizações públicas do YouTube":"2.059","Cliques":"0","Custo":"R$ 10,83"}</x:v>
      </x:c>
    </x:row>
    <x:row r="30" ht="24" customHeight="1">
      <x:c r="A30" s="32" t="str">
        <x:v>F001</x:v>
      </x:c>
      <x:c r="B30" s="32" t="str">
        <x:v>C01</x:v>
      </x:c>
      <x:c r="C30" s="32" t="n">
        <x:v>25</x:v>
      </x:c>
      <x:c r="D30" s="33" t="str">
        <x:v>{"Data":"sáb., 25 de jul. de 2026","Visualizações públicas do YouTube":"2.142","Cliques":"0","Custo":"R$ 10,26"}</x:v>
      </x:c>
    </x:row>
    <x:row r="31" ht="24" customHeight="1">
      <x:c r="A31" s="32" t="str">
        <x:v>F001</x:v>
      </x:c>
      <x:c r="B31" s="32" t="str">
        <x:v>C01</x:v>
      </x:c>
      <x:c r="C31" s="32" t="n">
        <x:v>26</x:v>
      </x:c>
      <x:c r="D31" s="33" t="str">
        <x:v>{"Data":"dom., 26 de jul. de 2026","Visualizações públicas do YouTube":"2.176","Cliques":"0","Custo":"R$ 10,31"}</x:v>
      </x:c>
    </x:row>
    <x:row r="32" ht="24" customHeight="1">
      <x:c r="A32" s="32" t="str">
        <x:v>F001</x:v>
      </x:c>
      <x:c r="B32" s="32" t="str">
        <x:v>C01</x:v>
      </x:c>
      <x:c r="C32" s="32" t="n">
        <x:v>27</x:v>
      </x:c>
      <x:c r="D32" s="33" t="str">
        <x:v>{"Data":"seg., 27 de jul. de 2026","Visualizações públicas do YouTube":"2.099","Cliques":"0","Custo":"R$ 10,10"}</x:v>
      </x:c>
    </x:row>
    <x:row r="33" ht="24" customHeight="1">
      <x:c r="A33" s="32" t="str">
        <x:v>F001</x:v>
      </x:c>
      <x:c r="B33" s="32" t="str">
        <x:v>C01</x:v>
      </x:c>
      <x:c r="C33" s="32" t="n">
        <x:v>28</x:v>
      </x:c>
      <x:c r="D33" s="33" t="str">
        <x:v>{"Data":"ter., 28 de jul. de 2026","Visualizações públicas do YouTube":"2.056","Cliques":"1","Custo":"R$ 10,02"}</x:v>
      </x:c>
    </x:row>
    <x:row r="34" ht="24" customHeight="1">
      <x:c r="A34" s="32" t="str">
        <x:v>F001</x:v>
      </x:c>
      <x:c r="B34" s="32" t="str">
        <x:v>C01</x:v>
      </x:c>
      <x:c r="C34" s="32" t="n">
        <x:v>29</x:v>
      </x:c>
      <x:c r="D34" s="33" t="str">
        <x:v>{"Data":"qua., 29 de jul. de 2026","Visualizações públicas do YouTube":"1.669","Cliques":"0","Custo":"R$ 9,84"}</x:v>
      </x:c>
    </x:row>
    <x:row r="35" ht="24" customHeight="1">
      <x:c r="A35" s="32" t="str">
        <x:v>F001</x:v>
      </x:c>
      <x:c r="B35" s="32" t="str">
        <x:v>C01</x:v>
      </x:c>
      <x:c r="C35" s="32" t="n">
        <x:v>30</x:v>
      </x:c>
      <x:c r="D35" s="33" t="str">
        <x:v>{"Data":"qui., 30 de jul. de 2026","Visualizações públicas do YouTube":"1.673","Cliques":"0","Custo":"R$ 9,60"}</x:v>
      </x:c>
    </x:row>
    <x:row r="36" ht="24" customHeight="1">
      <x:c r="A36" s="32" t="str">
        <x:v>F001</x:v>
      </x:c>
      <x:c r="B36" s="32" t="str">
        <x:v>C01</x:v>
      </x:c>
      <x:c r="C36" s="32" t="n">
        <x:v>31</x:v>
      </x:c>
      <x:c r="D36" s="33" t="str">
        <x:v>{"Data":"sex., 31 de jul. de 2026","Visualizações públicas do YouTube":"1.662","Cliques":"0","Custo":"R$ 9,11"}</x:v>
      </x:c>
    </x:row>
    <x:row r="37" ht="24" customHeight="1">
      <x:c r="A37" s="32" t="str">
        <x:v>F001</x:v>
      </x:c>
      <x:c r="B37" s="32" t="str">
        <x:v>C01</x:v>
      </x:c>
      <x:c r="C37" s="32" t="n">
        <x:v>32</x:v>
      </x:c>
      <x:c r="D37" s="33" t="str">
        <x:v>{"Data":"sáb., 1 de ago. de 2026","Visualizações públicas do YouTube":"1.878","Cliques":"0","Custo":"R$ 9,77"}</x:v>
      </x:c>
    </x:row>
    <x:row r="38" ht="24" customHeight="1">
      <x:c r="A38" s="32" t="str">
        <x:v>F001</x:v>
      </x:c>
      <x:c r="B38" s="32" t="str">
        <x:v>C01</x:v>
      </x:c>
      <x:c r="C38" s="32" t="n">
        <x:v>33</x:v>
      </x:c>
      <x:c r="D38" s="33" t="str">
        <x:v>{"Data":"dom., 2 de ago. de 2026","Visualizações públicas do YouTube":"1.985","Cliques":"0","Custo":"R$ 10,31"}</x:v>
      </x:c>
    </x:row>
    <x:row r="39" ht="24" customHeight="1">
      <x:c r="A39" s="32" t="str">
        <x:v>F001</x:v>
      </x:c>
      <x:c r="B39" s="32" t="str">
        <x:v>C01</x:v>
      </x:c>
      <x:c r="C39" s="32" t="n">
        <x:v>34</x:v>
      </x:c>
      <x:c r="D39" s="33" t="str">
        <x:v>{"Data":"seg., 3 de ago. de 2026","Visualizações públicas do YouTube":"2.329","Cliques":"0","Custo":"R$ 10,28"}</x:v>
      </x:c>
    </x:row>
    <x:row r="40" ht="24" customHeight="1">
      <x:c r="A40" s="32" t="str">
        <x:v>F001</x:v>
      </x:c>
      <x:c r="B40" s="32" t="str">
        <x:v>C01</x:v>
      </x:c>
      <x:c r="C40" s="32" t="n">
        <x:v>35</x:v>
      </x:c>
      <x:c r="D40" s="33" t="str">
        <x:v>{"Data":"ter., 4 de ago. de 2026","Visualizações públicas do YouTube":"2.007","Cliques":"0","Custo":"R$ 10,22"}</x:v>
      </x:c>
    </x:row>
    <x:row r="41" ht="24" customHeight="1">
      <x:c r="A41" s="32" t="str">
        <x:v>F001</x:v>
      </x:c>
      <x:c r="B41" s="32" t="str">
        <x:v>C01</x:v>
      </x:c>
      <x:c r="C41" s="32" t="n">
        <x:v>36</x:v>
      </x:c>
      <x:c r="D41" s="33" t="str">
        <x:v>{"Data":"qua., 5 de ago. de 2026","Visualizações públicas do YouTube":"1.849","Cliques":"0","Custo":"R$ 10,25"}</x:v>
      </x:c>
    </x:row>
    <x:row r="42" ht="24" customHeight="1">
      <x:c r="A42" s="32" t="str">
        <x:v>F001</x:v>
      </x:c>
      <x:c r="B42" s="32" t="str">
        <x:v>C01</x:v>
      </x:c>
      <x:c r="C42" s="32" t="n">
        <x:v>37</x:v>
      </x:c>
      <x:c r="D42" s="33" t="str">
        <x:v>{"Data":"qui., 6 de ago. de 2026","Visualizações públicas do YouTube":"1.809","Cliques":"1","Custo":"R$ 10,20"}</x:v>
      </x:c>
    </x:row>
    <x:row r="43" ht="24" customHeight="1">
      <x:c r="A43" s="32" t="str">
        <x:v>F001</x:v>
      </x:c>
      <x:c r="B43" s="32" t="str">
        <x:v>C01</x:v>
      </x:c>
      <x:c r="C43" s="32" t="n">
        <x:v>38</x:v>
      </x:c>
      <x:c r="D43" s="33" t="str">
        <x:v>{"Data":"sex., 7 de ago. de 2026","Visualizações públicas do YouTube":"1.802","Cliques":"0","Custo":"R$ 10,18"}</x:v>
      </x:c>
    </x:row>
    <x:row r="44" ht="24" customHeight="1">
      <x:c r="A44" s="32" t="str">
        <x:v>F001</x:v>
      </x:c>
      <x:c r="B44" s="32" t="str">
        <x:v>C01</x:v>
      </x:c>
      <x:c r="C44" s="32" t="n">
        <x:v>39</x:v>
      </x:c>
      <x:c r="D44" s="33" t="str">
        <x:v>{"Data":"sáb., 8 de ago. de 2026","Visualizações públicas do YouTube":"1.893","Cliques":"0","Custo":"R$ 10,21"}</x:v>
      </x:c>
    </x:row>
    <x:row r="45" ht="24" customHeight="1">
      <x:c r="A45" s="32" t="str">
        <x:v>F001</x:v>
      </x:c>
      <x:c r="B45" s="32" t="str">
        <x:v>C01</x:v>
      </x:c>
      <x:c r="C45" s="32" t="n">
        <x:v>40</x:v>
      </x:c>
      <x:c r="D45" s="33" t="str">
        <x:v>{"Data":"dom., 9 de ago. de 2026","Visualizações públicas do YouTube":"1.659","Cliques":"0","Custo":"R$ 10,20"}</x:v>
      </x:c>
    </x:row>
    <x:row r="46" ht="24" customHeight="1">
      <x:c r="A46" s="32" t="str">
        <x:v>F001</x:v>
      </x:c>
      <x:c r="B46" s="32" t="str">
        <x:v>C01</x:v>
      </x:c>
      <x:c r="C46" s="32" t="n">
        <x:v>41</x:v>
      </x:c>
      <x:c r="D46" s="33" t="str">
        <x:v>{"Data":"seg., 10 de ago. de 2026","Visualizações públicas do YouTube":"1.951","Cliques":"0","Custo":"R$ 10,08"}</x:v>
      </x:c>
    </x:row>
    <x:row r="47" ht="24" customHeight="1">
      <x:c r="A47" s="32" t="str">
        <x:v>F001</x:v>
      </x:c>
      <x:c r="B47" s="32" t="str">
        <x:v>C01</x:v>
      </x:c>
      <x:c r="C47" s="32" t="n">
        <x:v>42</x:v>
      </x:c>
      <x:c r="D47" s="33" t="str">
        <x:v>{"Data":"ter., 11 de ago. de 2026","Visualizações públicas do YouTube":"1.929","Cliques":"0","Custo":"R$ 10,11"}</x:v>
      </x:c>
    </x:row>
    <x:row r="48" ht="24" customHeight="1">
      <x:c r="A48" s="32" t="str">
        <x:v>F001</x:v>
      </x:c>
      <x:c r="B48" s="32" t="str">
        <x:v>C01</x:v>
      </x:c>
      <x:c r="C48" s="32" t="n">
        <x:v>43</x:v>
      </x:c>
      <x:c r="D48" s="33" t="str">
        <x:v>{"Data":"qua., 12 de ago. de 2026","Visualizações públicas do YouTube":"1.868","Cliques":"0","Custo":"R$ 10,13"}</x:v>
      </x:c>
    </x:row>
    <x:row r="49" ht="24" customHeight="1">
      <x:c r="A49" s="32" t="str">
        <x:v>F001</x:v>
      </x:c>
      <x:c r="B49" s="32" t="str">
        <x:v>C01</x:v>
      </x:c>
      <x:c r="C49" s="32" t="n">
        <x:v>44</x:v>
      </x:c>
      <x:c r="D49" s="33" t="str">
        <x:v>{"Data":"qui., 13 de ago. de 2026","Visualizações públicas do YouTube":"1.932","Cliques":"0","Custo":"R$ 10,06"}</x:v>
      </x:c>
    </x:row>
    <x:row r="50" ht="24" customHeight="1">
      <x:c r="A50" s="32" t="str">
        <x:v>F001</x:v>
      </x:c>
      <x:c r="B50" s="32" t="str">
        <x:v>C01</x:v>
      </x:c>
      <x:c r="C50" s="32" t="n">
        <x:v>45</x:v>
      </x:c>
      <x:c r="D50" s="33" t="str">
        <x:v>{"Data":"sex., 14 de ago. de 2026","Visualizações públicas do YouTube":"1.940","Cliques":"0","Custo":"R$ 9,99"}</x:v>
      </x:c>
    </x:row>
    <x:row r="51" ht="24" customHeight="1">
      <x:c r="A51" s="32" t="str">
        <x:v>F001</x:v>
      </x:c>
      <x:c r="B51" s="32" t="str">
        <x:v>C01</x:v>
      </x:c>
      <x:c r="C51" s="32" t="n">
        <x:v>46</x:v>
      </x:c>
      <x:c r="D51" s="33" t="str">
        <x:v>{"Data":"sáb., 15 de ago. de 2026","Visualizações públicas do YouTube":"2.207","Cliques":"0","Custo":"R$ 10,03"}</x:v>
      </x:c>
    </x:row>
    <x:row r="52" ht="24" customHeight="1">
      <x:c r="A52" s="32" t="str">
        <x:v>F001</x:v>
      </x:c>
      <x:c r="B52" s="32" t="str">
        <x:v>C01</x:v>
      </x:c>
      <x:c r="C52" s="32" t="n">
        <x:v>47</x:v>
      </x:c>
      <x:c r="D52" s="33" t="str">
        <x:v>{"Data":"dom., 16 de ago. de 2026","Visualizações públicas do YouTube":"2.019","Cliques":"0","Custo":"R$ 10,01"}</x:v>
      </x:c>
    </x:row>
    <x:row r="53" ht="24" customHeight="1">
      <x:c r="A53" s="32" t="str">
        <x:v>F001</x:v>
      </x:c>
      <x:c r="B53" s="32" t="str">
        <x:v>C01</x:v>
      </x:c>
      <x:c r="C53" s="32" t="n">
        <x:v>48</x:v>
      </x:c>
      <x:c r="D53" s="33" t="str">
        <x:v>{"Data":"seg., 17 de ago. de 2026","Visualizações públicas do YouTube":"1.816","Cliques":"2","Custo":"R$ 9,86"}</x:v>
      </x:c>
    </x:row>
    <x:row r="54" ht="24" customHeight="1">
      <x:c r="A54" s="32" t="str">
        <x:v>F001</x:v>
      </x:c>
      <x:c r="B54" s="32" t="str">
        <x:v>C01</x:v>
      </x:c>
      <x:c r="C54" s="32" t="n">
        <x:v>49</x:v>
      </x:c>
      <x:c r="D54" s="33" t="str">
        <x:v>{"Data":"ter., 18 de ago. de 2026","Visualizações públicas do YouTube":"1.695","Cliques":"0","Custo":"R$ 9,98"}</x:v>
      </x:c>
    </x:row>
    <x:row r="55" ht="24" customHeight="1">
      <x:c r="A55" s="32" t="str">
        <x:v>F001</x:v>
      </x:c>
      <x:c r="B55" s="32" t="str">
        <x:v>C01</x:v>
      </x:c>
      <x:c r="C55" s="32" t="n">
        <x:v>50</x:v>
      </x:c>
      <x:c r="D55" s="33" t="str">
        <x:v>{"Data":"qua., 19 de ago. de 2026","Visualizações públicas do YouTube":"1.932","Cliques":"2","Custo":"R$ 9,86"}</x:v>
      </x:c>
    </x:row>
    <x:row r="56" ht="24" customHeight="1">
      <x:c r="A56" s="32" t="str">
        <x:v>F001</x:v>
      </x:c>
      <x:c r="B56" s="32" t="str">
        <x:v>C01</x:v>
      </x:c>
      <x:c r="C56" s="32" t="n">
        <x:v>51</x:v>
      </x:c>
      <x:c r="D56" s="33" t="str">
        <x:v>{"Data":"qui., 20 de ago. de 2026","Visualizações públicas do YouTube":"1.697","Cliques":"0","Custo":"R$ 9,86"}</x:v>
      </x:c>
    </x:row>
    <x:row r="57" ht="24" customHeight="1">
      <x:c r="A57" s="32" t="str">
        <x:v>F001</x:v>
      </x:c>
      <x:c r="B57" s="32" t="str">
        <x:v>C01</x:v>
      </x:c>
      <x:c r="C57" s="32" t="n">
        <x:v>52</x:v>
      </x:c>
      <x:c r="D57" s="33" t="str">
        <x:v>{"Data":"sex., 21 de ago. de 2026","Visualizações públicas do YouTube":"1.813","Cliques":"0","Custo":"R$ 9,79"}</x:v>
      </x:c>
    </x:row>
    <x:row r="58" ht="24" customHeight="1">
      <x:c r="A58" s="32" t="str">
        <x:v>F001</x:v>
      </x:c>
      <x:c r="B58" s="32" t="str">
        <x:v>C01</x:v>
      </x:c>
      <x:c r="C58" s="32" t="n">
        <x:v>53</x:v>
      </x:c>
      <x:c r="D58" s="33" t="str">
        <x:v>{"Data":"sáb., 22 de ago. de 2026","Visualizações públicas do YouTube":"1.742","Cliques":"0","Custo":"R$ 9,65"}</x:v>
      </x:c>
    </x:row>
    <x:row r="59" ht="24" customHeight="1">
      <x:c r="A59" s="32" t="str">
        <x:v>F001</x:v>
      </x:c>
      <x:c r="B59" s="32" t="str">
        <x:v>C01</x:v>
      </x:c>
      <x:c r="C59" s="32" t="n">
        <x:v>54</x:v>
      </x:c>
      <x:c r="D59" s="33" t="str">
        <x:v>{"Data":"dom., 23 de ago. de 2026","Visualizações públicas do YouTube":"1.785","Cliques":"0","Custo":"R$ 9,69"}</x:v>
      </x:c>
    </x:row>
    <x:row r="60" ht="24" customHeight="1">
      <x:c r="A60" s="32" t="str">
        <x:v>F001</x:v>
      </x:c>
      <x:c r="B60" s="32" t="str">
        <x:v>C01</x:v>
      </x:c>
      <x:c r="C60" s="32" t="n">
        <x:v>55</x:v>
      </x:c>
      <x:c r="D60" s="33" t="str">
        <x:v>{"Data":"seg., 24 de ago. de 2026","Visualizações públicas do YouTube":"1.927","Cliques":"0","Custo":"R$ 9,55"}</x:v>
      </x:c>
    </x:row>
    <x:row r="61" ht="24" customHeight="1">
      <x:c r="A61" s="32" t="str">
        <x:v>F001</x:v>
      </x:c>
      <x:c r="B61" s="32" t="str">
        <x:v>C01</x:v>
      </x:c>
      <x:c r="C61" s="32" t="n">
        <x:v>56</x:v>
      </x:c>
      <x:c r="D61" s="33" t="str">
        <x:v>{"Data":"ter., 25 de ago. de 2026","Visualizações públicas do YouTube":"1.667","Cliques":"0","Custo":"R$ 9,53"}</x:v>
      </x:c>
    </x:row>
    <x:row r="62" ht="24" customHeight="1">
      <x:c r="A62" s="32" t="str">
        <x:v>F001</x:v>
      </x:c>
      <x:c r="B62" s="32" t="str">
        <x:v>C01</x:v>
      </x:c>
      <x:c r="C62" s="32" t="n">
        <x:v>57</x:v>
      </x:c>
      <x:c r="D62" s="33" t="str">
        <x:v>{"Data":"qua., 26 de ago. de 2026","Visualizações públicas do YouTube":"1.235","Cliques":"0","Custo":"R$ 6,53"}</x:v>
      </x:c>
    </x:row>
    <x:row r="63" ht="24" customHeight="1">
      <x:c r="A63" s="32" t="str">
        <x:v>F001</x:v>
      </x:c>
      <x:c r="B63" s="32" t="str">
        <x:v>C01</x:v>
      </x:c>
      <x:c r="C63" s="32" t="n">
        <x:v>58</x:v>
      </x:c>
      <x:c r="D63" s="33" t="str">
        <x:v>{"Data":"qui., 27 de ago. de 2026","Visualizações públicas do YouTube":"1.938","Cliques":"0","Custo":"R$ 12,32"}</x:v>
      </x:c>
    </x:row>
    <x:row r="64" ht="24" customHeight="1">
      <x:c r="A64" s="32" t="str">
        <x:v>F001</x:v>
      </x:c>
      <x:c r="B64" s="32" t="str">
        <x:v>C01</x:v>
      </x:c>
      <x:c r="C64" s="32" t="n">
        <x:v>59</x:v>
      </x:c>
      <x:c r="D64" s="33" t="str">
        <x:v>{"Data":"sex., 28 de ago. de 2026","Visualizações públicas do YouTube":"1.494","Cliques":"0","Custo":"R$ 9,30"}</x:v>
      </x:c>
    </x:row>
    <x:row r="65" ht="24" customHeight="1">
      <x:c r="A65" s="32" t="str">
        <x:v>F001</x:v>
      </x:c>
      <x:c r="B65" s="32" t="str">
        <x:v>C01</x:v>
      </x:c>
      <x:c r="C65" s="32" t="n">
        <x:v>60</x:v>
      </x:c>
      <x:c r="D65" s="33" t="str">
        <x:v>{"Data":"sáb., 29 de ago. de 2026","Visualizações públicas do YouTube":"1.577","Cliques":"0","Custo":"R$ 9,22"}</x:v>
      </x:c>
    </x:row>
    <x:row r="66" ht="24" customHeight="1">
      <x:c r="A66" s="32" t="str">
        <x:v>F001</x:v>
      </x:c>
      <x:c r="B66" s="32" t="str">
        <x:v>C01</x:v>
      </x:c>
      <x:c r="C66" s="32" t="n">
        <x:v>61</x:v>
      </x:c>
      <x:c r="D66" s="33" t="str">
        <x:v>{"Data":"dom., 30 de ago. de 2026","Visualizações públicas do YouTube":"1.489","Cliques":"0","Custo":"R$ 9,01"}</x:v>
      </x:c>
    </x:row>
    <x:row r="67" ht="24" customHeight="1">
      <x:c r="A67" s="32" t="str">
        <x:v>F001</x:v>
      </x:c>
      <x:c r="B67" s="32" t="str">
        <x:v>C01</x:v>
      </x:c>
      <x:c r="C67" s="32" t="n">
        <x:v>62</x:v>
      </x:c>
      <x:c r="D67" s="33" t="str">
        <x:v>{"Data":"seg., 31 de ago. de 2026","Visualizações públicas do YouTube":"1.309","Cliques":"0","Custo":"R$ 8,20"}</x:v>
      </x:c>
    </x:row>
    <x:row r="68" ht="24" customHeight="1">
      <x:c r="A68" s="32" t="str">
        <x:v>F001</x:v>
      </x:c>
      <x:c r="B68" s="32" t="str">
        <x:v>C01</x:v>
      </x:c>
      <x:c r="C68" s="32" t="n">
        <x:v>63</x:v>
      </x:c>
      <x:c r="D68" s="33" t="str">
        <x:v>{"Data":"ter., 1 de set. de 2026","Visualizações públicas do YouTube":"2.127","Cliques":"0","Custo":"R$ 10,48"}</x:v>
      </x:c>
    </x:row>
    <x:row r="69" ht="24" customHeight="1">
      <x:c r="A69" s="32" t="str">
        <x:v>F001</x:v>
      </x:c>
      <x:c r="B69" s="32" t="str">
        <x:v>C01</x:v>
      </x:c>
      <x:c r="C69" s="32" t="n">
        <x:v>64</x:v>
      </x:c>
      <x:c r="D69" s="33" t="str">
        <x:v>{"Data":"qua., 2 de set. de 2026","Visualizações públicas do YouTube":"1.729","Cliques":"1","Custo":"R$ 10,53"}</x:v>
      </x:c>
    </x:row>
    <x:row r="70" ht="24" customHeight="1">
      <x:c r="A70" s="32" t="str">
        <x:v>F001</x:v>
      </x:c>
      <x:c r="B70" s="32" t="str">
        <x:v>C01</x:v>
      </x:c>
      <x:c r="C70" s="32" t="n">
        <x:v>65</x:v>
      </x:c>
      <x:c r="D70" s="33" t="str">
        <x:v>{"Data":"qui., 3 de set. de 2026","Visualizações públicas do YouTube":"1.965","Cliques":"0","Custo":"R$ 10,58"}</x:v>
      </x:c>
    </x:row>
    <x:row r="71" ht="24" customHeight="1">
      <x:c r="A71" s="32" t="str">
        <x:v>F001</x:v>
      </x:c>
      <x:c r="B71" s="32" t="str">
        <x:v>C01</x:v>
      </x:c>
      <x:c r="C71" s="32" t="n">
        <x:v>66</x:v>
      </x:c>
      <x:c r="D71" s="33" t="str">
        <x:v>{"Data":"sex., 4 de set. de 2026","Visualizações públicas do YouTube":"2.131","Cliques":"0","Custo":"R$ 10,39"}</x:v>
      </x:c>
    </x:row>
    <x:row r="72" ht="24" customHeight="1">
      <x:c r="A72" s="32" t="str">
        <x:v>F001</x:v>
      </x:c>
      <x:c r="B72" s="32" t="str">
        <x:v>C01</x:v>
      </x:c>
      <x:c r="C72" s="32" t="n">
        <x:v>67</x:v>
      </x:c>
      <x:c r="D72" s="33" t="str">
        <x:v>{"Data":"sáb., 5 de set. de 2026","Visualizações públicas do YouTube":"2.137","Cliques":"0","Custo":"R$ 10,52"}</x:v>
      </x:c>
    </x:row>
    <x:row r="73" ht="24" customHeight="1">
      <x:c r="A73" s="32" t="str">
        <x:v>F001</x:v>
      </x:c>
      <x:c r="B73" s="32" t="str">
        <x:v>C01</x:v>
      </x:c>
      <x:c r="C73" s="32" t="n">
        <x:v>68</x:v>
      </x:c>
      <x:c r="D73" s="33" t="str">
        <x:v>{"Data":"dom., 6 de set. de 2026","Visualizações públicas do YouTube":"2.201","Cliques":"1","Custo":"R$ 10,55"}</x:v>
      </x:c>
    </x:row>
    <x:row r="74" ht="24" customHeight="1">
      <x:c r="A74" s="32" t="str">
        <x:v>F001</x:v>
      </x:c>
      <x:c r="B74" s="32" t="str">
        <x:v>C01</x:v>
      </x:c>
      <x:c r="C74" s="32" t="n">
        <x:v>69</x:v>
      </x:c>
      <x:c r="D74" s="33" t="str">
        <x:v>{"Data":"seg., 7 de set. de 2026","Visualizações públicas do YouTube":"2.158","Cliques":"2","Custo":"R$ 10,59"}</x:v>
      </x:c>
    </x:row>
    <x:row r="75" ht="24" customHeight="1">
      <x:c r="A75" s="32" t="str">
        <x:v>F001</x:v>
      </x:c>
      <x:c r="B75" s="32" t="str">
        <x:v>C01</x:v>
      </x:c>
      <x:c r="C75" s="32" t="n">
        <x:v>70</x:v>
      </x:c>
      <x:c r="D75" s="33" t="str">
        <x:v>{"Data":"ter., 8 de set. de 2026","Visualizações públicas do YouTube":"1.844","Cliques":"2","Custo":"R$ 10,57"}</x:v>
      </x:c>
    </x:row>
    <x:row r="76" ht="24" customHeight="1">
      <x:c r="A76" s="32" t="str">
        <x:v>F001</x:v>
      </x:c>
      <x:c r="B76" s="32" t="str">
        <x:v>C01</x:v>
      </x:c>
      <x:c r="C76" s="32" t="n">
        <x:v>71</x:v>
      </x:c>
      <x:c r="D76" s="33" t="str">
        <x:v>{"Data":"qua., 9 de set. de 2026","Visualizações públicas do YouTube":"2.237","Cliques":"0","Custo":"R$ 10,47"}</x:v>
      </x:c>
    </x:row>
    <x:row r="77" ht="24" customHeight="1">
      <x:c r="A77" s="32" t="str">
        <x:v>F001</x:v>
      </x:c>
      <x:c r="B77" s="32" t="str">
        <x:v>C01</x:v>
      </x:c>
      <x:c r="C77" s="32" t="n">
        <x:v>72</x:v>
      </x:c>
      <x:c r="D77" s="33" t="str">
        <x:v>{"Data":"qui., 10 de set. de 2026","Visualizações públicas do YouTube":"1.943","Cliques":"4","Custo":"R$ 10,54"}</x:v>
      </x:c>
    </x:row>
    <x:row r="78" ht="24" customHeight="1">
      <x:c r="A78" s="32" t="str">
        <x:v>F001</x:v>
      </x:c>
      <x:c r="B78" s="32" t="str">
        <x:v>C01</x:v>
      </x:c>
      <x:c r="C78" s="32" t="n">
        <x:v>73</x:v>
      </x:c>
      <x:c r="D78" s="33" t="str">
        <x:v>{"Data":"sex., 11 de set. de 2026","Visualizações públicas do YouTube":"2.108","Cliques":"0","Custo":"R$ 10,44"}</x:v>
      </x:c>
    </x:row>
    <x:row r="79" ht="24" customHeight="1">
      <x:c r="A79" s="32" t="str">
        <x:v>F001</x:v>
      </x:c>
      <x:c r="B79" s="32" t="str">
        <x:v>C01</x:v>
      </x:c>
      <x:c r="C79" s="32" t="n">
        <x:v>74</x:v>
      </x:c>
      <x:c r="D79" s="33" t="str">
        <x:v>{"Data":"sáb., 12 de set. de 2026","Visualizações públicas do YouTube":"2.120","Cliques":"0","Custo":"R$ 10,41"}</x:v>
      </x:c>
    </x:row>
    <x:row r="80" ht="24" customHeight="1">
      <x:c r="A80" s="32" t="str">
        <x:v>F001</x:v>
      </x:c>
      <x:c r="B80" s="32" t="str">
        <x:v>C01</x:v>
      </x:c>
      <x:c r="C80" s="32" t="n">
        <x:v>75</x:v>
      </x:c>
      <x:c r="D80" s="33" t="str">
        <x:v>{"Data":"dom., 13 de set. de 2026","Visualizações públicas do YouTube":"2.097","Cliques":"0","Custo":"R$ 10,38"}</x:v>
      </x:c>
    </x:row>
    <x:row r="81" ht="24" customHeight="1">
      <x:c r="A81" s="32" t="str">
        <x:v>F001</x:v>
      </x:c>
      <x:c r="B81" s="32" t="str">
        <x:v>C01</x:v>
      </x:c>
      <x:c r="C81" s="32" t="n">
        <x:v>76</x:v>
      </x:c>
      <x:c r="D81" s="33" t="str">
        <x:v>{"Data":"seg., 14 de set. de 2026","Visualizações públicas do YouTube":"2.005","Cliques":"0","Custo":"R$ 10,36"}</x:v>
      </x:c>
    </x:row>
    <x:row r="82" ht="24" customHeight="1">
      <x:c r="A82" s="32" t="str">
        <x:v>F001</x:v>
      </x:c>
      <x:c r="B82" s="32" t="str">
        <x:v>C01</x:v>
      </x:c>
      <x:c r="C82" s="32" t="n">
        <x:v>77</x:v>
      </x:c>
      <x:c r="D82" s="33" t="str">
        <x:v>{"Data":"ter., 15 de set. de 2026","Visualizações públicas do YouTube":"2.145","Cliques":"1","Custo":"R$ 10,36"}</x:v>
      </x:c>
    </x:row>
    <x:row r="83" ht="24" customHeight="1">
      <x:c r="A83" s="32" t="str">
        <x:v>F001</x:v>
      </x:c>
      <x:c r="B83" s="32" t="str">
        <x:v>C01</x:v>
      </x:c>
      <x:c r="C83" s="32" t="n">
        <x:v>78</x:v>
      </x:c>
      <x:c r="D83" s="33" t="str">
        <x:v>{"Data":"qua., 16 de set. de 2026","Visualizações públicas do YouTube":"2.034","Cliques":"0","Custo":"R$ 10,28"}</x:v>
      </x:c>
    </x:row>
    <x:row r="84" ht="24" customHeight="1">
      <x:c r="A84" s="32" t="str">
        <x:v>F001</x:v>
      </x:c>
      <x:c r="B84" s="32" t="str">
        <x:v>C01</x:v>
      </x:c>
      <x:c r="C84" s="32" t="n">
        <x:v>79</x:v>
      </x:c>
      <x:c r="D84" s="33" t="str">
        <x:v>{"Data":"qui., 17 de set. de 2026","Visualizações públicas do YouTube":"1.879","Cliques":"0","Custo":"R$ 10,23"}</x:v>
      </x:c>
    </x:row>
    <x:row r="85" ht="24" customHeight="1">
      <x:c r="A85" s="32" t="str">
        <x:v>F001</x:v>
      </x:c>
      <x:c r="B85" s="32" t="str">
        <x:v>C01</x:v>
      </x:c>
      <x:c r="C85" s="32" t="n">
        <x:v>80</x:v>
      </x:c>
      <x:c r="D85" s="33" t="str">
        <x:v>{"Data":"sex., 18 de set. de 2026","Visualizações públicas do YouTube":"1.779","Cliques":"0","Custo":"R$ 10,19"}</x:v>
      </x:c>
    </x:row>
    <x:row r="86" ht="24" customHeight="1">
      <x:c r="A86" s="32" t="str">
        <x:v>F001</x:v>
      </x:c>
      <x:c r="B86" s="32" t="str">
        <x:v>C01</x:v>
      </x:c>
      <x:c r="C86" s="32" t="n">
        <x:v>81</x:v>
      </x:c>
      <x:c r="D86" s="33" t="str">
        <x:v>{"Data":"sáb., 19 de set. de 2026","Visualizações públicas do YouTube":"1.928","Cliques":"0","Custo":"R$ 10,18"}</x:v>
      </x:c>
    </x:row>
    <x:row r="87" ht="24" customHeight="1">
      <x:c r="A87" s="32" t="str">
        <x:v>F001</x:v>
      </x:c>
      <x:c r="B87" s="32" t="str">
        <x:v>C01</x:v>
      </x:c>
      <x:c r="C87" s="32" t="n">
        <x:v>82</x:v>
      </x:c>
      <x:c r="D87" s="33" t="str">
        <x:v>{"Data":"dom., 20 de set. de 2026","Visualizações públicas do YouTube":"1.987","Cliques":"0","Custo":"R$ 10,18"}</x:v>
      </x:c>
    </x:row>
    <x:row r="88" ht="24" customHeight="1">
      <x:c r="A88" s="32" t="str">
        <x:v>F001</x:v>
      </x:c>
      <x:c r="B88" s="32" t="str">
        <x:v>C01</x:v>
      </x:c>
      <x:c r="C88" s="32" t="n">
        <x:v>83</x:v>
      </x:c>
      <x:c r="D88" s="33" t="str">
        <x:v>{"Data":"seg., 21 de set. de 2026","Visualizações públicas do YouTube":"2.106","Cliques":"0","Custo":"R$ 10,06"}</x:v>
      </x:c>
    </x:row>
    <x:row r="89" ht="24" customHeight="1">
      <x:c r="A89" s="32" t="str">
        <x:v>F001</x:v>
      </x:c>
      <x:c r="B89" s="32" t="str">
        <x:v>C01</x:v>
      </x:c>
      <x:c r="C89" s="32" t="n">
        <x:v>84</x:v>
      </x:c>
      <x:c r="D89" s="33" t="str">
        <x:v>{"Data":"ter., 22 de set. de 2026","Visualizações públicas do YouTube":"1.919","Cliques":"0","Custo":"R$ 10,04"}</x:v>
      </x:c>
    </x:row>
    <x:row r="90" ht="24" customHeight="1">
      <x:c r="A90" s="32" t="str">
        <x:v>F001</x:v>
      </x:c>
      <x:c r="B90" s="32" t="str">
        <x:v>C01</x:v>
      </x:c>
      <x:c r="C90" s="32" t="n">
        <x:v>85</x:v>
      </x:c>
      <x:c r="D90" s="33" t="str">
        <x:v>{"Data":"qua., 23 de set. de 2026","Visualizações públicas do YouTube":"2.069","Cliques":"1","Custo":"R$ 9,95"}</x:v>
      </x:c>
    </x:row>
    <x:row r="91" ht="24" customHeight="1">
      <x:c r="A91" s="32" t="str">
        <x:v>F001</x:v>
      </x:c>
      <x:c r="B91" s="32" t="str">
        <x:v>C01</x:v>
      </x:c>
      <x:c r="C91" s="32" t="n">
        <x:v>86</x:v>
      </x:c>
      <x:c r="D91" s="33" t="str">
        <x:v>{"Data":"qui., 24 de set. de 2026","Visualizações públicas do YouTube":"163","Cliques":"0","Custo":"R$ 0,81"}</x:v>
      </x:c>
    </x:row>
    <x:row r="92" ht="24" customHeight="1">
      <x:c r="A92" s="32" t="str">
        <x:v>F001</x:v>
      </x:c>
      <x:c r="B92" s="32" t="str">
        <x:v>C01</x:v>
      </x:c>
      <x:c r="C92" s="32" t="n">
        <x:v>87</x:v>
      </x:c>
      <x:c r="D92" s="33" t="str">
        <x:v>{"Data":"sex., 25 de set. de 2026","Visualizações públicas do YouTube":"6","Cliques":"0","Custo":"R$ 0,03"}</x:v>
      </x:c>
    </x:row>
    <x:row r="93" ht="24" customHeight="1">
      <x:c r="A93" s="32" t="str">
        <x:v>F001</x:v>
      </x:c>
      <x:c r="B93" s="32" t="str">
        <x:v>C01</x:v>
      </x:c>
      <x:c r="C93" s="32" t="n">
        <x:v>88</x:v>
      </x:c>
      <x:c r="D93" s="33" t="str">
        <x:v>{"Data":"sáb., 26 de set. de 2026","Visualizações públicas do YouTube":"0","Cliques":"0","Custo":"R$ 0,00"}</x:v>
      </x:c>
    </x:row>
    <x:row r="94" ht="24" customHeight="1">
      <x:c r="A94" s="32" t="str">
        <x:v>F001</x:v>
      </x:c>
      <x:c r="B94" s="32" t="str">
        <x:v>C01</x:v>
      </x:c>
      <x:c r="C94" s="32" t="n">
        <x:v>89</x:v>
      </x:c>
      <x:c r="D94" s="33" t="str">
        <x:v>{"Data":"dom., 27 de set. de 2026","Visualizações públicas do YouTube":"1","Cliques":"0","Custo":"R$ 0,00"}</x:v>
      </x:c>
    </x:row>
    <x:row r="95" ht="24" customHeight="1">
      <x:c r="A95" s="32" t="str">
        <x:v>F001</x:v>
      </x:c>
      <x:c r="B95" s="32" t="str">
        <x:v>C01</x:v>
      </x:c>
      <x:c r="C95" s="32" t="n">
        <x:v>90</x:v>
      </x:c>
      <x:c r="D95" s="33" t="str">
        <x:v>{"Data":"seg., 28 de set. de 2026","Visualizações públicas do YouTube":"0","Cliques":"0","Custo":"R$ 0,00"}</x:v>
      </x:c>
    </x:row>
    <x:row r="96" ht="24" customHeight="1">
      <x:c r="A96" s="32" t="str">
        <x:v>F001</x:v>
      </x:c>
      <x:c r="B96" s="32" t="str">
        <x:v>C01</x:v>
      </x:c>
      <x:c r="C96" s="32" t="n">
        <x:v>91</x:v>
      </x:c>
      <x:c r="D96" s="33" t="str">
        <x:v>{"Data":"ter., 29 de set. de 2026","Visualizações públicas do YouTube":"11","Cliques":"0","Custo":"R$ 0,11"}</x:v>
      </x:c>
    </x:row>
    <x:row r="97" ht="24" customHeight="1">
      <x:c r="A97" s="32" t="str">
        <x:v>F001</x:v>
      </x:c>
      <x:c r="B97" s="32" t="str">
        <x:v>C01</x:v>
      </x:c>
      <x:c r="C97" s="32" t="n">
        <x:v>92</x:v>
      </x:c>
      <x:c r="D97" s="33" t="str">
        <x:v>{"Data":"qua., 30 de set. de 2026","Visualizações públicas do YouTube":"0","Cliques":"0","Custo":"R$ 0,00"}</x:v>
      </x:c>
    </x:row>
    <x:row r="98" ht="24" customHeight="1">
      <x:c r="A98" s="32" t="str">
        <x:v>F001</x:v>
      </x:c>
      <x:c r="B98" s="32" t="str">
        <x:v>C01</x:v>
      </x:c>
      <x:c r="C98" s="32" t="n">
        <x:v>93</x:v>
      </x:c>
      <x:c r="D98" s="33" t="str">
        <x:v>{"Data":"qui., 1 de out. de 2026","Visualizações públicas do YouTube":"2.244","Cliques":"0","Custo":"R$ 9,77"}</x:v>
      </x:c>
    </x:row>
    <x:row r="99" ht="24" customHeight="1">
      <x:c r="A99" s="32" t="str">
        <x:v>F001</x:v>
      </x:c>
      <x:c r="B99" s="32" t="str">
        <x:v>C01</x:v>
      </x:c>
      <x:c r="C99" s="32" t="n">
        <x:v>94</x:v>
      </x:c>
      <x:c r="D99" s="33" t="str">
        <x:v>{"Data":"sex., 2 de out. de 2026","Visualizações públicas do YouTube":"2.441","Cliques":"2","Custo":"R$ 10,32"}</x:v>
      </x:c>
    </x:row>
    <x:row r="100" ht="24" customHeight="1">
      <x:c r="A100" s="32" t="str">
        <x:v>F001</x:v>
      </x:c>
      <x:c r="B100" s="32" t="str">
        <x:v>C01</x:v>
      </x:c>
      <x:c r="C100" s="32" t="n">
        <x:v>95</x:v>
      </x:c>
      <x:c r="D100" s="33" t="str">
        <x:v>{"Data":"sáb., 3 de out. de 2026","Visualizações públicas do YouTube":"2.202","Cliques":"0","Custo":"R$ 10,33"}</x:v>
      </x:c>
    </x:row>
    <x:row r="101" ht="24" customHeight="1">
      <x:c r="A101" s="32" t="str">
        <x:v>F001</x:v>
      </x:c>
      <x:c r="B101" s="32" t="str">
        <x:v>C01</x:v>
      </x:c>
      <x:c r="C101" s="32" t="n">
        <x:v>96</x:v>
      </x:c>
      <x:c r="D101" s="33" t="str">
        <x:v>{"Data":"dom., 4 de out. de 2026","Visualizações públicas do YouTube":"2.445","Cliques":"0","Custo":"R$ 10,25"}</x:v>
      </x:c>
    </x:row>
    <x:row r="102" ht="24" customHeight="1">
      <x:c r="A102" s="32" t="str">
        <x:v>F001</x:v>
      </x:c>
      <x:c r="B102" s="32" t="str">
        <x:v>C01</x:v>
      </x:c>
      <x:c r="C102" s="32" t="n">
        <x:v>97</x:v>
      </x:c>
      <x:c r="D102" s="33" t="str">
        <x:v>{"Data":"seg., 5 de out. de 2026","Visualizações públicas do YouTube":"2.636","Cliques":"0","Custo":"R$ 10,23"}</x:v>
      </x:c>
    </x:row>
    <x:row r="103" ht="24" customHeight="1">
      <x:c r="A103" s="32" t="str">
        <x:v>F001</x:v>
      </x:c>
      <x:c r="B103" s="32" t="str">
        <x:v>C01</x:v>
      </x:c>
      <x:c r="C103" s="32" t="n">
        <x:v>98</x:v>
      </x:c>
      <x:c r="D103" s="33" t="str">
        <x:v>{"Data":"ter., 6 de out. de 2026","Visualizações públicas do YouTube":"2.436","Cliques":"1","Custo":"R$ 10,13"}</x:v>
      </x:c>
    </x:row>
    <x:row r="104" ht="24" customHeight="1">
      <x:c r="A104" s="32" t="str">
        <x:v>F001</x:v>
      </x:c>
      <x:c r="B104" s="32" t="str">
        <x:v>C01</x:v>
      </x:c>
      <x:c r="C104" s="32" t="n">
        <x:v>99</x:v>
      </x:c>
      <x:c r="D104" s="33" t="str">
        <x:v>{"Data":"qua., 7 de out. de 2026","Visualizações públicas do YouTube":"2.389","Cliques":"0","Custo":"R$ 10,20"}</x:v>
      </x:c>
    </x:row>
    <x:row r="105" ht="24" customHeight="1">
      <x:c r="A105" s="32" t="str">
        <x:v>F001</x:v>
      </x:c>
      <x:c r="B105" s="32" t="str">
        <x:v>C01</x:v>
      </x:c>
      <x:c r="C105" s="32" t="n">
        <x:v>100</x:v>
      </x:c>
      <x:c r="D105" s="33" t="str">
        <x:v>{"Data":"qui., 8 de out. de 2026","Visualizações públicas do YouTube":"2.121","Cliques":"2","Custo":"R$ 10,38"}</x:v>
      </x:c>
    </x:row>
    <x:row r="106" ht="24" customHeight="1">
      <x:c r="A106" s="32" t="str">
        <x:v>F001</x:v>
      </x:c>
      <x:c r="B106" s="32" t="str">
        <x:v>C01</x:v>
      </x:c>
      <x:c r="C106" s="32" t="n">
        <x:v>101</x:v>
      </x:c>
      <x:c r="D106" s="33" t="str">
        <x:v>{"Data":"sex., 9 de out. de 2026","Visualizações públicas do YouTube":"2.508","Cliques":"0","Custo":"R$ 10,32"}</x:v>
      </x:c>
    </x:row>
    <x:row r="107" ht="24" customHeight="1">
      <x:c r="A107" s="32" t="str">
        <x:v>F001</x:v>
      </x:c>
      <x:c r="B107" s="32" t="str">
        <x:v>C01</x:v>
      </x:c>
      <x:c r="C107" s="32" t="n">
        <x:v>102</x:v>
      </x:c>
      <x:c r="D107" s="33" t="str">
        <x:v>{"Data":"sáb., 10 de out. de 2026","Visualizações públicas do YouTube":"2.398","Cliques":"0","Custo":"R$ 10,10"}</x:v>
      </x:c>
    </x:row>
    <x:row r="108" ht="24" customHeight="1">
      <x:c r="A108" s="32" t="str">
        <x:v>F001</x:v>
      </x:c>
      <x:c r="B108" s="32" t="str">
        <x:v>C01</x:v>
      </x:c>
      <x:c r="C108" s="32" t="n">
        <x:v>103</x:v>
      </x:c>
      <x:c r="D108" s="33" t="str">
        <x:v>{"Data":"dom., 11 de out. de 2026","Visualizações públicas do YouTube":"2.205","Cliques":"0","Custo":"R$ 10,12"}</x:v>
      </x:c>
    </x:row>
    <x:row r="109" ht="24" customHeight="1">
      <x:c r="A109" s="32" t="str">
        <x:v>F001</x:v>
      </x:c>
      <x:c r="B109" s="32" t="str">
        <x:v>C01</x:v>
      </x:c>
      <x:c r="C109" s="32" t="n">
        <x:v>104</x:v>
      </x:c>
      <x:c r="D109" s="33" t="str">
        <x:v>{"Data":"seg., 12 de out. de 2026","Visualizações públicas do YouTube":"2.457","Cliques":"0","Custo":"R$ 10,10"}</x:v>
      </x:c>
    </x:row>
    <x:row r="110" ht="24" customHeight="1">
      <x:c r="A110" s="32" t="str">
        <x:v>F001</x:v>
      </x:c>
      <x:c r="B110" s="32" t="str">
        <x:v>C01</x:v>
      </x:c>
      <x:c r="C110" s="32" t="n">
        <x:v>105</x:v>
      </x:c>
      <x:c r="D110" s="33" t="str">
        <x:v>{"Data":"ter., 13 de out. de 2026","Visualizações públicas do YouTube":"2.372","Cliques":"0","Custo":"R$ 10,06"}</x:v>
      </x:c>
    </x:row>
    <x:row r="111" ht="24" customHeight="1">
      <x:c r="A111" s="32" t="str">
        <x:v>F002</x:v>
      </x:c>
      <x:c r="B111" s="32" t="str">
        <x:v>C01</x:v>
      </x:c>
      <x:c r="C111" s="32" t="n">
        <x:v>1</x:v>
      </x:c>
      <x:c r="D111" s="33" t="str">
        <x:v>{"Data":"qua., 1 de jul. de 2026","Cliques":"0","Visualizações públicas do YouTube":"0","Shorts":"—","Custo":"R$ 0,00"}</x:v>
      </x:c>
    </x:row>
    <x:row r="112" ht="24" customHeight="1">
      <x:c r="A112" s="32" t="str">
        <x:v>F002</x:v>
      </x:c>
      <x:c r="B112" s="32" t="str">
        <x:v>C01</x:v>
      </x:c>
      <x:c r="C112" s="32" t="n">
        <x:v>2</x:v>
      </x:c>
      <x:c r="D112" s="33" t="str">
        <x:v>{"Data":"qui., 2 de jul. de 2026","Cliques":"0","Visualizações públicas do YouTube":"0","Shorts":"—","Custo":"R$ 0,00"}</x:v>
      </x:c>
    </x:row>
    <x:row r="113" ht="24" customHeight="1">
      <x:c r="A113" s="32" t="str">
        <x:v>F002</x:v>
      </x:c>
      <x:c r="B113" s="32" t="str">
        <x:v>C01</x:v>
      </x:c>
      <x:c r="C113" s="32" t="n">
        <x:v>3</x:v>
      </x:c>
      <x:c r="D113" s="33" t="str">
        <x:v>{"Data":"sex., 3 de jul. de 2026","Cliques":"0","Visualizações públicas do YouTube":"0","Shorts":"—","Custo":"R$ 0,00"}</x:v>
      </x:c>
    </x:row>
    <x:row r="114" ht="24" customHeight="1">
      <x:c r="A114" s="32" t="str">
        <x:v>F002</x:v>
      </x:c>
      <x:c r="B114" s="32" t="str">
        <x:v>C01</x:v>
      </x:c>
      <x:c r="C114" s="32" t="n">
        <x:v>4</x:v>
      </x:c>
      <x:c r="D114" s="33" t="str">
        <x:v>{"Data":"sáb., 4 de jul. de 2026","Cliques":"0","Visualizações públicas do YouTube":"0","Shorts":"—","Custo":"R$ 0,00"}</x:v>
      </x:c>
    </x:row>
    <x:row r="115" ht="24" customHeight="1">
      <x:c r="A115" s="32" t="str">
        <x:v>F002</x:v>
      </x:c>
      <x:c r="B115" s="32" t="str">
        <x:v>C01</x:v>
      </x:c>
      <x:c r="C115" s="32" t="n">
        <x:v>5</x:v>
      </x:c>
      <x:c r="D115" s="33" t="str">
        <x:v>{"Data":"dom., 5 de jul. de 2026","Cliques":"0","Visualizações públicas do YouTube":"0","Shorts":"—","Custo":"R$ 0,00"}</x:v>
      </x:c>
    </x:row>
    <x:row r="116" ht="24" customHeight="1">
      <x:c r="A116" s="32" t="str">
        <x:v>F002</x:v>
      </x:c>
      <x:c r="B116" s="32" t="str">
        <x:v>C01</x:v>
      </x:c>
      <x:c r="C116" s="32" t="n">
        <x:v>6</x:v>
      </x:c>
      <x:c r="D116" s="33" t="str">
        <x:v>{"Data":"seg., 6 de jul. de 2026","Cliques":"0","Visualizações públicas do YouTube":"0","Shorts":"—","Custo":"R$ 0,00"}</x:v>
      </x:c>
    </x:row>
    <x:row r="117" ht="24" customHeight="1">
      <x:c r="A117" s="32" t="str">
        <x:v>F002</x:v>
      </x:c>
      <x:c r="B117" s="32" t="str">
        <x:v>C01</x:v>
      </x:c>
      <x:c r="C117" s="32" t="n">
        <x:v>7</x:v>
      </x:c>
      <x:c r="D117" s="33" t="str">
        <x:v>{"Data":"ter., 7 de jul. de 2026","Cliques":"0","Visualizações públicas do YouTube":"0","Shorts":"—","Custo":"R$ 0,00"}</x:v>
      </x:c>
    </x:row>
    <x:row r="118" ht="24" customHeight="1">
      <x:c r="A118" s="32" t="str">
        <x:v>F002</x:v>
      </x:c>
      <x:c r="B118" s="32" t="str">
        <x:v>C01</x:v>
      </x:c>
      <x:c r="C118" s="32" t="n">
        <x:v>8</x:v>
      </x:c>
      <x:c r="D118" s="33" t="str">
        <x:v>{"Data":"qua., 8 de jul. de 2026","Cliques":"0","Visualizações públicas do YouTube":"0","Shorts":"—","Custo":"R$ 0,00"}</x:v>
      </x:c>
    </x:row>
    <x:row r="119" ht="24" customHeight="1">
      <x:c r="A119" s="32" t="str">
        <x:v>F002</x:v>
      </x:c>
      <x:c r="B119" s="32" t="str">
        <x:v>C01</x:v>
      </x:c>
      <x:c r="C119" s="32" t="n">
        <x:v>9</x:v>
      </x:c>
      <x:c r="D119" s="33" t="str">
        <x:v>{"Data":"qui., 9 de jul. de 2026","Cliques":"0","Visualizações públicas do YouTube":"0","Shorts":"—","Custo":"R$ 0,00"}</x:v>
      </x:c>
    </x:row>
    <x:row r="120" ht="24" customHeight="1">
      <x:c r="A120" s="32" t="str">
        <x:v>F002</x:v>
      </x:c>
      <x:c r="B120" s="32" t="str">
        <x:v>C01</x:v>
      </x:c>
      <x:c r="C120" s="32" t="n">
        <x:v>10</x:v>
      </x:c>
      <x:c r="D120" s="33" t="str">
        <x:v>{"Data":"sex., 10 de jul. de 2026","Cliques":"0","Visualizações públicas do YouTube":"0","Shorts":"—","Custo":"R$ 0,00"}</x:v>
      </x:c>
    </x:row>
    <x:row r="121" ht="24" customHeight="1">
      <x:c r="A121" s="32" t="str">
        <x:v>F002</x:v>
      </x:c>
      <x:c r="B121" s="32" t="str">
        <x:v>C01</x:v>
      </x:c>
      <x:c r="C121" s="32" t="n">
        <x:v>11</x:v>
      </x:c>
      <x:c r="D121" s="33" t="str">
        <x:v>{"Data":"sáb., 11 de jul. de 2026","Cliques":"0","Visualizações públicas do YouTube":"0","Shorts":"—","Custo":"R$ 0,00"}</x:v>
      </x:c>
    </x:row>
    <x:row r="122" ht="24" customHeight="1">
      <x:c r="A122" s="32" t="str">
        <x:v>F002</x:v>
      </x:c>
      <x:c r="B122" s="32" t="str">
        <x:v>C01</x:v>
      </x:c>
      <x:c r="C122" s="32" t="n">
        <x:v>12</x:v>
      </x:c>
      <x:c r="D122" s="33" t="str">
        <x:v>{"Data":"dom., 12 de jul. de 2026","Cliques":"0","Visualizações públicas do YouTube":"0","Shorts":"—","Custo":"R$ 0,00"}</x:v>
      </x:c>
    </x:row>
    <x:row r="123" ht="24" customHeight="1">
      <x:c r="A123" s="32" t="str">
        <x:v>F002</x:v>
      </x:c>
      <x:c r="B123" s="32" t="str">
        <x:v>C01</x:v>
      </x:c>
      <x:c r="C123" s="32" t="n">
        <x:v>13</x:v>
      </x:c>
      <x:c r="D123" s="33" t="str">
        <x:v>{"Data":"seg., 13 de jul. de 2026","Cliques":"0","Visualizações públicas do YouTube":"0","Shorts":"—","Custo":"R$ 0,00"}</x:v>
      </x:c>
    </x:row>
    <x:row r="124" ht="24" customHeight="1">
      <x:c r="A124" s="32" t="str">
        <x:v>F002</x:v>
      </x:c>
      <x:c r="B124" s="32" t="str">
        <x:v>C01</x:v>
      </x:c>
      <x:c r="C124" s="32" t="n">
        <x:v>14</x:v>
      </x:c>
      <x:c r="D124" s="33" t="str">
        <x:v>{"Data":"ter., 14 de jul. de 2026","Cliques":"0","Visualizações públicas do YouTube":"0","Shorts":"—","Custo":"R$ 0,00"}</x:v>
      </x:c>
    </x:row>
    <x:row r="125" ht="24" customHeight="1">
      <x:c r="A125" s="32" t="str">
        <x:v>F002</x:v>
      </x:c>
      <x:c r="B125" s="32" t="str">
        <x:v>C01</x:v>
      </x:c>
      <x:c r="C125" s="32" t="n">
        <x:v>15</x:v>
      </x:c>
      <x:c r="D125" s="33" t="str">
        <x:v>{"Data":"qua., 15 de jul. de 2026","Cliques":"0","Visualizações públicas do YouTube":"0","Shorts":"—","Custo":"R$ 0,00"}</x:v>
      </x:c>
    </x:row>
    <x:row r="126" ht="24" customHeight="1">
      <x:c r="A126" s="32" t="str">
        <x:v>F002</x:v>
      </x:c>
      <x:c r="B126" s="32" t="str">
        <x:v>C01</x:v>
      </x:c>
      <x:c r="C126" s="32" t="n">
        <x:v>16</x:v>
      </x:c>
      <x:c r="D126" s="33" t="str">
        <x:v>{"Data":"qui., 16 de jul. de 2026","Cliques":"0","Visualizações públicas do YouTube":"0","Shorts":"—","Custo":"R$ 0,00"}</x:v>
      </x:c>
    </x:row>
    <x:row r="127" ht="24" customHeight="1">
      <x:c r="A127" s="32" t="str">
        <x:v>F002</x:v>
      </x:c>
      <x:c r="B127" s="32" t="str">
        <x:v>C01</x:v>
      </x:c>
      <x:c r="C127" s="32" t="n">
        <x:v>17</x:v>
      </x:c>
      <x:c r="D127" s="33" t="str">
        <x:v>{"Data":"sex., 17 de jul. de 2026","Cliques":"0","Visualizações públicas do YouTube":"0","Shorts":"—","Custo":"R$ 0,00"}</x:v>
      </x:c>
    </x:row>
    <x:row r="128" ht="24" customHeight="1">
      <x:c r="A128" s="32" t="str">
        <x:v>F002</x:v>
      </x:c>
      <x:c r="B128" s="32" t="str">
        <x:v>C01</x:v>
      </x:c>
      <x:c r="C128" s="32" t="n">
        <x:v>18</x:v>
      </x:c>
      <x:c r="D128" s="33" t="str">
        <x:v>{"Data":"sáb., 18 de jul. de 2026","Cliques":"0","Visualizações públicas do YouTube":"0","Shorts":"—","Custo":"R$ 0,00"}</x:v>
      </x:c>
    </x:row>
    <x:row r="129" ht="24" customHeight="1">
      <x:c r="A129" s="32" t="str">
        <x:v>F002</x:v>
      </x:c>
      <x:c r="B129" s="32" t="str">
        <x:v>C01</x:v>
      </x:c>
      <x:c r="C129" s="32" t="n">
        <x:v>19</x:v>
      </x:c>
      <x:c r="D129" s="33" t="str">
        <x:v>{"Data":"dom., 19 de jul. de 2026","Cliques":"0","Visualizações públicas do YouTube":"0","Shorts":"—","Custo":"R$ 0,00"}</x:v>
      </x:c>
    </x:row>
    <x:row r="130" ht="24" customHeight="1">
      <x:c r="A130" s="32" t="str">
        <x:v>F002</x:v>
      </x:c>
      <x:c r="B130" s="32" t="str">
        <x:v>C01</x:v>
      </x:c>
      <x:c r="C130" s="32" t="n">
        <x:v>20</x:v>
      </x:c>
      <x:c r="D130" s="33" t="str">
        <x:v>{"Data":"seg., 20 de jul. de 2026","Cliques":"0","Visualizações públicas do YouTube":"0","Shorts":"—","Custo":"R$ 0,00"}</x:v>
      </x:c>
    </x:row>
    <x:row r="131" ht="24" customHeight="1">
      <x:c r="A131" s="32" t="str">
        <x:v>F002</x:v>
      </x:c>
      <x:c r="B131" s="32" t="str">
        <x:v>C01</x:v>
      </x:c>
      <x:c r="C131" s="32" t="n">
        <x:v>21</x:v>
      </x:c>
      <x:c r="D131" s="33" t="str">
        <x:v>{"Data":"ter., 21 de jul. de 2026","Cliques":"0","Visualizações públicas do YouTube":"0","Shorts":"—","Custo":"R$ 0,00"}</x:v>
      </x:c>
    </x:row>
    <x:row r="132" ht="24" customHeight="1">
      <x:c r="A132" s="32" t="str">
        <x:v>F002</x:v>
      </x:c>
      <x:c r="B132" s="32" t="str">
        <x:v>C01</x:v>
      </x:c>
      <x:c r="C132" s="32" t="n">
        <x:v>22</x:v>
      </x:c>
      <x:c r="D132" s="33" t="str">
        <x:v>{"Data":"qua., 22 de jul. de 2026","Cliques":"0","Visualizações públicas do YouTube":"0","Shorts":"—","Custo":"R$ 0,00"}</x:v>
      </x:c>
    </x:row>
    <x:row r="133" ht="24" customHeight="1">
      <x:c r="A133" s="32" t="str">
        <x:v>F002</x:v>
      </x:c>
      <x:c r="B133" s="32" t="str">
        <x:v>C01</x:v>
      </x:c>
      <x:c r="C133" s="32" t="n">
        <x:v>23</x:v>
      </x:c>
      <x:c r="D133" s="33" t="str">
        <x:v>{"Data":"qui., 23 de jul. de 2026","Cliques":"0","Visualizações públicas do YouTube":"1.624","Shorts":"—","Custo":"R$ 19,98"}</x:v>
      </x:c>
    </x:row>
    <x:row r="134" ht="24" customHeight="1">
      <x:c r="A134" s="32" t="str">
        <x:v>F002</x:v>
      </x:c>
      <x:c r="B134" s="32" t="str">
        <x:v>C01</x:v>
      </x:c>
      <x:c r="C134" s="32" t="n">
        <x:v>24</x:v>
      </x:c>
      <x:c r="D134" s="33" t="str">
        <x:v>{"Data":"sex., 24 de jul. de 2026","Cliques":"0","Visualizações públicas do YouTube":"2.059","Shorts":"—","Custo":"R$ 10,83"}</x:v>
      </x:c>
    </x:row>
    <x:row r="135" ht="24" customHeight="1">
      <x:c r="A135" s="32" t="str">
        <x:v>F002</x:v>
      </x:c>
      <x:c r="B135" s="32" t="str">
        <x:v>C01</x:v>
      </x:c>
      <x:c r="C135" s="32" t="n">
        <x:v>25</x:v>
      </x:c>
      <x:c r="D135" s="33" t="str">
        <x:v>{"Data":"sáb., 25 de jul. de 2026","Cliques":"0","Visualizações públicas do YouTube":"2.142","Shorts":"—","Custo":"R$ 10,26"}</x:v>
      </x:c>
    </x:row>
    <x:row r="136" ht="24" customHeight="1">
      <x:c r="A136" s="32" t="str">
        <x:v>F002</x:v>
      </x:c>
      <x:c r="B136" s="32" t="str">
        <x:v>C01</x:v>
      </x:c>
      <x:c r="C136" s="32" t="n">
        <x:v>26</x:v>
      </x:c>
      <x:c r="D136" s="33" t="str">
        <x:v>{"Data":"dom., 26 de jul. de 2026","Cliques":"0","Visualizações públicas do YouTube":"2.176","Shorts":"—","Custo":"R$ 10,31"}</x:v>
      </x:c>
    </x:row>
    <x:row r="137" ht="24" customHeight="1">
      <x:c r="A137" s="32" t="str">
        <x:v>F002</x:v>
      </x:c>
      <x:c r="B137" s="32" t="str">
        <x:v>C01</x:v>
      </x:c>
      <x:c r="C137" s="32" t="n">
        <x:v>27</x:v>
      </x:c>
      <x:c r="D137" s="33" t="str">
        <x:v>{"Data":"seg., 27 de jul. de 2026","Cliques":"0","Visualizações públicas do YouTube":"2.099","Shorts":"—","Custo":"R$ 10,10"}</x:v>
      </x:c>
    </x:row>
    <x:row r="138" ht="24" customHeight="1">
      <x:c r="A138" s="32" t="str">
        <x:v>F002</x:v>
      </x:c>
      <x:c r="B138" s="32" t="str">
        <x:v>C01</x:v>
      </x:c>
      <x:c r="C138" s="32" t="n">
        <x:v>28</x:v>
      </x:c>
      <x:c r="D138" s="33" t="str">
        <x:v>{"Data":"ter., 28 de jul. de 2026","Cliques":"1","Visualizações públicas do YouTube":"2.056","Shorts":"—","Custo":"R$ 10,02"}</x:v>
      </x:c>
    </x:row>
    <x:row r="139" ht="24" customHeight="1">
      <x:c r="A139" s="32" t="str">
        <x:v>F002</x:v>
      </x:c>
      <x:c r="B139" s="32" t="str">
        <x:v>C01</x:v>
      </x:c>
      <x:c r="C139" s="32" t="n">
        <x:v>29</x:v>
      </x:c>
      <x:c r="D139" s="33" t="str">
        <x:v>{"Data":"qua., 29 de jul. de 2026","Cliques":"0","Visualizações públicas do YouTube":"1.669","Shorts":"—","Custo":"R$ 9,84"}</x:v>
      </x:c>
    </x:row>
    <x:row r="140" ht="24" customHeight="1">
      <x:c r="A140" s="32" t="str">
        <x:v>F002</x:v>
      </x:c>
      <x:c r="B140" s="32" t="str">
        <x:v>C01</x:v>
      </x:c>
      <x:c r="C140" s="32" t="n">
        <x:v>30</x:v>
      </x:c>
      <x:c r="D140" s="33" t="str">
        <x:v>{"Data":"qui., 30 de jul. de 2026","Cliques":"0","Visualizações públicas do YouTube":"1.673","Shorts":"—","Custo":"R$ 9,60"}</x:v>
      </x:c>
    </x:row>
    <x:row r="141" ht="24" customHeight="1">
      <x:c r="A141" s="32" t="str">
        <x:v>F002</x:v>
      </x:c>
      <x:c r="B141" s="32" t="str">
        <x:v>C01</x:v>
      </x:c>
      <x:c r="C141" s="32" t="n">
        <x:v>31</x:v>
      </x:c>
      <x:c r="D141" s="33" t="str">
        <x:v>{"Data":"sex., 31 de jul. de 2026","Cliques":"0","Visualizações públicas do YouTube":"1.662","Shorts":"—","Custo":"R$ 9,11"}</x:v>
      </x:c>
    </x:row>
    <x:row r="142" ht="24" customHeight="1">
      <x:c r="A142" s="32" t="str">
        <x:v>F002</x:v>
      </x:c>
      <x:c r="B142" s="32" t="str">
        <x:v>C01</x:v>
      </x:c>
      <x:c r="C142" s="32" t="n">
        <x:v>32</x:v>
      </x:c>
      <x:c r="D142" s="33" t="str">
        <x:v>{"Data":"sáb., 1 de ago. de 2026","Cliques":"0","Visualizações públicas do YouTube":"1.878","Shorts":"—","Custo":"R$ 9,77"}</x:v>
      </x:c>
    </x:row>
    <x:row r="143" ht="24" customHeight="1">
      <x:c r="A143" s="32" t="str">
        <x:v>F002</x:v>
      </x:c>
      <x:c r="B143" s="32" t="str">
        <x:v>C01</x:v>
      </x:c>
      <x:c r="C143" s="32" t="n">
        <x:v>33</x:v>
      </x:c>
      <x:c r="D143" s="33" t="str">
        <x:v>{"Data":"dom., 2 de ago. de 2026","Cliques":"0","Visualizações públicas do YouTube":"1.985","Shorts":"—","Custo":"R$ 10,31"}</x:v>
      </x:c>
    </x:row>
    <x:row r="144" ht="24" customHeight="1">
      <x:c r="A144" s="32" t="str">
        <x:v>F002</x:v>
      </x:c>
      <x:c r="B144" s="32" t="str">
        <x:v>C01</x:v>
      </x:c>
      <x:c r="C144" s="32" t="n">
        <x:v>34</x:v>
      </x:c>
      <x:c r="D144" s="33" t="str">
        <x:v>{"Data":"seg., 3 de ago. de 2026","Cliques":"0","Visualizações públicas do YouTube":"2.329","Shorts":"—","Custo":"R$ 10,28"}</x:v>
      </x:c>
    </x:row>
    <x:row r="145" ht="24" customHeight="1">
      <x:c r="A145" s="32" t="str">
        <x:v>F002</x:v>
      </x:c>
      <x:c r="B145" s="32" t="str">
        <x:v>C01</x:v>
      </x:c>
      <x:c r="C145" s="32" t="n">
        <x:v>35</x:v>
      </x:c>
      <x:c r="D145" s="33" t="str">
        <x:v>{"Data":"ter., 4 de ago. de 2026","Cliques":"0","Visualizações públicas do YouTube":"2.007","Shorts":"—","Custo":"R$ 10,22"}</x:v>
      </x:c>
    </x:row>
    <x:row r="146" ht="24" customHeight="1">
      <x:c r="A146" s="32" t="str">
        <x:v>F002</x:v>
      </x:c>
      <x:c r="B146" s="32" t="str">
        <x:v>C01</x:v>
      </x:c>
      <x:c r="C146" s="32" t="n">
        <x:v>36</x:v>
      </x:c>
      <x:c r="D146" s="33" t="str">
        <x:v>{"Data":"qua., 5 de ago. de 2026","Cliques":"0","Visualizações públicas do YouTube":"1.849","Shorts":"—","Custo":"R$ 10,25"}</x:v>
      </x:c>
    </x:row>
    <x:row r="147" ht="24" customHeight="1">
      <x:c r="A147" s="32" t="str">
        <x:v>F002</x:v>
      </x:c>
      <x:c r="B147" s="32" t="str">
        <x:v>C01</x:v>
      </x:c>
      <x:c r="C147" s="32" t="n">
        <x:v>37</x:v>
      </x:c>
      <x:c r="D147" s="33" t="str">
        <x:v>{"Data":"qui., 6 de ago. de 2026","Cliques":"1","Visualizações públicas do YouTube":"1.809","Shorts":"—","Custo":"R$ 10,20"}</x:v>
      </x:c>
    </x:row>
    <x:row r="148" ht="24" customHeight="1">
      <x:c r="A148" s="32" t="str">
        <x:v>F002</x:v>
      </x:c>
      <x:c r="B148" s="32" t="str">
        <x:v>C01</x:v>
      </x:c>
      <x:c r="C148" s="32" t="n">
        <x:v>38</x:v>
      </x:c>
      <x:c r="D148" s="33" t="str">
        <x:v>{"Data":"sex., 7 de ago. de 2026","Cliques":"0","Visualizações públicas do YouTube":"1.802","Shorts":"—","Custo":"R$ 10,18"}</x:v>
      </x:c>
    </x:row>
    <x:row r="149" ht="24" customHeight="1">
      <x:c r="A149" s="32" t="str">
        <x:v>F002</x:v>
      </x:c>
      <x:c r="B149" s="32" t="str">
        <x:v>C01</x:v>
      </x:c>
      <x:c r="C149" s="32" t="n">
        <x:v>39</x:v>
      </x:c>
      <x:c r="D149" s="33" t="str">
        <x:v>{"Data":"sáb., 8 de ago. de 2026","Cliques":"0","Visualizações públicas do YouTube":"1.893","Shorts":"—","Custo":"R$ 10,21"}</x:v>
      </x:c>
    </x:row>
    <x:row r="150" ht="24" customHeight="1">
      <x:c r="A150" s="32" t="str">
        <x:v>F002</x:v>
      </x:c>
      <x:c r="B150" s="32" t="str">
        <x:v>C01</x:v>
      </x:c>
      <x:c r="C150" s="32" t="n">
        <x:v>40</x:v>
      </x:c>
      <x:c r="D150" s="33" t="str">
        <x:v>{"Data":"dom., 9 de ago. de 2026","Cliques":"0","Visualizações públicas do YouTube":"1.659","Shorts":"—","Custo":"R$ 10,20"}</x:v>
      </x:c>
    </x:row>
    <x:row r="151" ht="24" customHeight="1">
      <x:c r="A151" s="32" t="str">
        <x:v>F002</x:v>
      </x:c>
      <x:c r="B151" s="32" t="str">
        <x:v>C01</x:v>
      </x:c>
      <x:c r="C151" s="32" t="n">
        <x:v>41</x:v>
      </x:c>
      <x:c r="D151" s="33" t="str">
        <x:v>{"Data":"seg., 10 de ago. de 2026","Cliques":"0","Visualizações públicas do YouTube":"1.951","Shorts":"—","Custo":"R$ 10,08"}</x:v>
      </x:c>
    </x:row>
    <x:row r="152" ht="24" customHeight="1">
      <x:c r="A152" s="32" t="str">
        <x:v>F002</x:v>
      </x:c>
      <x:c r="B152" s="32" t="str">
        <x:v>C01</x:v>
      </x:c>
      <x:c r="C152" s="32" t="n">
        <x:v>42</x:v>
      </x:c>
      <x:c r="D152" s="33" t="str">
        <x:v>{"Data":"ter., 11 de ago. de 2026","Cliques":"0","Visualizações públicas do YouTube":"1.929","Shorts":"—","Custo":"R$ 10,11"}</x:v>
      </x:c>
    </x:row>
    <x:row r="153" ht="24" customHeight="1">
      <x:c r="A153" s="32" t="str">
        <x:v>F002</x:v>
      </x:c>
      <x:c r="B153" s="32" t="str">
        <x:v>C01</x:v>
      </x:c>
      <x:c r="C153" s="32" t="n">
        <x:v>43</x:v>
      </x:c>
      <x:c r="D153" s="33" t="str">
        <x:v>{"Data":"qua., 12 de ago. de 2026","Cliques":"0","Visualizações públicas do YouTube":"1.868","Shorts":"—","Custo":"R$ 10,13"}</x:v>
      </x:c>
    </x:row>
    <x:row r="154" ht="24" customHeight="1">
      <x:c r="A154" s="32" t="str">
        <x:v>F002</x:v>
      </x:c>
      <x:c r="B154" s="32" t="str">
        <x:v>C01</x:v>
      </x:c>
      <x:c r="C154" s="32" t="n">
        <x:v>44</x:v>
      </x:c>
      <x:c r="D154" s="33" t="str">
        <x:v>{"Data":"qui., 13 de ago. de 2026","Cliques":"0","Visualizações públicas do YouTube":"1.932","Shorts":"—","Custo":"R$ 10,06"}</x:v>
      </x:c>
    </x:row>
    <x:row r="155" ht="24" customHeight="1">
      <x:c r="A155" s="32" t="str">
        <x:v>F002</x:v>
      </x:c>
      <x:c r="B155" s="32" t="str">
        <x:v>C01</x:v>
      </x:c>
      <x:c r="C155" s="32" t="n">
        <x:v>45</x:v>
      </x:c>
      <x:c r="D155" s="33" t="str">
        <x:v>{"Data":"sex., 14 de ago. de 2026","Cliques":"0","Visualizações públicas do YouTube":"1.940","Shorts":"—","Custo":"R$ 9,99"}</x:v>
      </x:c>
    </x:row>
    <x:row r="156" ht="24" customHeight="1">
      <x:c r="A156" s="32" t="str">
        <x:v>F002</x:v>
      </x:c>
      <x:c r="B156" s="32" t="str">
        <x:v>C01</x:v>
      </x:c>
      <x:c r="C156" s="32" t="n">
        <x:v>46</x:v>
      </x:c>
      <x:c r="D156" s="33" t="str">
        <x:v>{"Data":"sáb., 15 de ago. de 2026","Cliques":"0","Visualizações públicas do YouTube":"2.207","Shorts":"—","Custo":"R$ 10,03"}</x:v>
      </x:c>
    </x:row>
    <x:row r="157" ht="24" customHeight="1">
      <x:c r="A157" s="32" t="str">
        <x:v>F002</x:v>
      </x:c>
      <x:c r="B157" s="32" t="str">
        <x:v>C01</x:v>
      </x:c>
      <x:c r="C157" s="32" t="n">
        <x:v>47</x:v>
      </x:c>
      <x:c r="D157" s="33" t="str">
        <x:v>{"Data":"dom., 16 de ago. de 2026","Cliques":"0","Visualizações públicas do YouTube":"2.019","Shorts":"—","Custo":"R$ 10,01"}</x:v>
      </x:c>
    </x:row>
    <x:row r="158" ht="24" customHeight="1">
      <x:c r="A158" s="32" t="str">
        <x:v>F002</x:v>
      </x:c>
      <x:c r="B158" s="32" t="str">
        <x:v>C01</x:v>
      </x:c>
      <x:c r="C158" s="32" t="n">
        <x:v>48</x:v>
      </x:c>
      <x:c r="D158" s="33" t="str">
        <x:v>{"Data":"seg., 17 de ago. de 2026","Cliques":"2","Visualizações públicas do YouTube":"1.816","Shorts":"—","Custo":"R$ 9,86"}</x:v>
      </x:c>
    </x:row>
    <x:row r="159" ht="24" customHeight="1">
      <x:c r="A159" s="32" t="str">
        <x:v>F002</x:v>
      </x:c>
      <x:c r="B159" s="32" t="str">
        <x:v>C01</x:v>
      </x:c>
      <x:c r="C159" s="32" t="n">
        <x:v>49</x:v>
      </x:c>
      <x:c r="D159" s="33" t="str">
        <x:v>{"Data":"ter., 18 de ago. de 2026","Cliques":"0","Visualizações públicas do YouTube":"1.695","Shorts":"—","Custo":"R$ 9,98"}</x:v>
      </x:c>
    </x:row>
    <x:row r="160" ht="24" customHeight="1">
      <x:c r="A160" s="32" t="str">
        <x:v>F002</x:v>
      </x:c>
      <x:c r="B160" s="32" t="str">
        <x:v>C01</x:v>
      </x:c>
      <x:c r="C160" s="32" t="n">
        <x:v>50</x:v>
      </x:c>
      <x:c r="D160" s="33" t="str">
        <x:v>{"Data":"qua., 19 de ago. de 2026","Cliques":"2","Visualizações públicas do YouTube":"1.932","Shorts":"—","Custo":"R$ 9,86"}</x:v>
      </x:c>
    </x:row>
    <x:row r="161" ht="24" customHeight="1">
      <x:c r="A161" s="32" t="str">
        <x:v>F002</x:v>
      </x:c>
      <x:c r="B161" s="32" t="str">
        <x:v>C01</x:v>
      </x:c>
      <x:c r="C161" s="32" t="n">
        <x:v>51</x:v>
      </x:c>
      <x:c r="D161" s="33" t="str">
        <x:v>{"Data":"qui., 20 de ago. de 2026","Cliques":"0","Visualizações públicas do YouTube":"1.697","Shorts":"—","Custo":"R$ 9,86"}</x:v>
      </x:c>
    </x:row>
    <x:row r="162" ht="24" customHeight="1">
      <x:c r="A162" s="32" t="str">
        <x:v>F002</x:v>
      </x:c>
      <x:c r="B162" s="32" t="str">
        <x:v>C01</x:v>
      </x:c>
      <x:c r="C162" s="32" t="n">
        <x:v>52</x:v>
      </x:c>
      <x:c r="D162" s="33" t="str">
        <x:v>{"Data":"sex., 21 de ago. de 2026","Cliques":"0","Visualizações públicas do YouTube":"1.813","Shorts":"—","Custo":"R$ 9,79"}</x:v>
      </x:c>
    </x:row>
    <x:row r="163" ht="24" customHeight="1">
      <x:c r="A163" s="32" t="str">
        <x:v>F002</x:v>
      </x:c>
      <x:c r="B163" s="32" t="str">
        <x:v>C01</x:v>
      </x:c>
      <x:c r="C163" s="32" t="n">
        <x:v>53</x:v>
      </x:c>
      <x:c r="D163" s="33" t="str">
        <x:v>{"Data":"sáb., 22 de ago. de 2026","Cliques":"0","Visualizações públicas do YouTube":"1.742","Shorts":"—","Custo":"R$ 9,65"}</x:v>
      </x:c>
    </x:row>
    <x:row r="164" ht="24" customHeight="1">
      <x:c r="A164" s="32" t="str">
        <x:v>F002</x:v>
      </x:c>
      <x:c r="B164" s="32" t="str">
        <x:v>C01</x:v>
      </x:c>
      <x:c r="C164" s="32" t="n">
        <x:v>54</x:v>
      </x:c>
      <x:c r="D164" s="33" t="str">
        <x:v>{"Data":"dom., 23 de ago. de 2026","Cliques":"0","Visualizações públicas do YouTube":"1.785","Shorts":"—","Custo":"R$ 9,69"}</x:v>
      </x:c>
    </x:row>
    <x:row r="165" ht="24" customHeight="1">
      <x:c r="A165" s="32" t="str">
        <x:v>F002</x:v>
      </x:c>
      <x:c r="B165" s="32" t="str">
        <x:v>C01</x:v>
      </x:c>
      <x:c r="C165" s="32" t="n">
        <x:v>55</x:v>
      </x:c>
      <x:c r="D165" s="33" t="str">
        <x:v>{"Data":"seg., 24 de ago. de 2026","Cliques":"0","Visualizações públicas do YouTube":"1.927","Shorts":"—","Custo":"R$ 9,55"}</x:v>
      </x:c>
    </x:row>
    <x:row r="166" ht="24" customHeight="1">
      <x:c r="A166" s="32" t="str">
        <x:v>F002</x:v>
      </x:c>
      <x:c r="B166" s="32" t="str">
        <x:v>C01</x:v>
      </x:c>
      <x:c r="C166" s="32" t="n">
        <x:v>56</x:v>
      </x:c>
      <x:c r="D166" s="33" t="str">
        <x:v>{"Data":"ter., 25 de ago. de 2026","Cliques":"0","Visualizações públicas do YouTube":"1.667","Shorts":"—","Custo":"R$ 9,53"}</x:v>
      </x:c>
    </x:row>
    <x:row r="167" ht="24" customHeight="1">
      <x:c r="A167" s="32" t="str">
        <x:v>F002</x:v>
      </x:c>
      <x:c r="B167" s="32" t="str">
        <x:v>C01</x:v>
      </x:c>
      <x:c r="C167" s="32" t="n">
        <x:v>57</x:v>
      </x:c>
      <x:c r="D167" s="33" t="str">
        <x:v>{"Data":"qua., 26 de ago. de 2026","Cliques":"0","Visualizações públicas do YouTube":"1.235","Shorts":"—","Custo":"R$ 6,53"}</x:v>
      </x:c>
    </x:row>
    <x:row r="168" ht="24" customHeight="1">
      <x:c r="A168" s="32" t="str">
        <x:v>F002</x:v>
      </x:c>
      <x:c r="B168" s="32" t="str">
        <x:v>C01</x:v>
      </x:c>
      <x:c r="C168" s="32" t="n">
        <x:v>58</x:v>
      </x:c>
      <x:c r="D168" s="33" t="str">
        <x:v>{"Data":"qui., 27 de ago. de 2026","Cliques":"0","Visualizações públicas do YouTube":"1.938","Shorts":"—","Custo":"R$ 12,32"}</x:v>
      </x:c>
    </x:row>
    <x:row r="169" ht="24" customHeight="1">
      <x:c r="A169" s="32" t="str">
        <x:v>F002</x:v>
      </x:c>
      <x:c r="B169" s="32" t="str">
        <x:v>C01</x:v>
      </x:c>
      <x:c r="C169" s="32" t="n">
        <x:v>59</x:v>
      </x:c>
      <x:c r="D169" s="33" t="str">
        <x:v>{"Data":"sex., 28 de ago. de 2026","Cliques":"0","Visualizações públicas do YouTube":"1.494","Shorts":"—","Custo":"R$ 9,30"}</x:v>
      </x:c>
    </x:row>
    <x:row r="170" ht="24" customHeight="1">
      <x:c r="A170" s="32" t="str">
        <x:v>F002</x:v>
      </x:c>
      <x:c r="B170" s="32" t="str">
        <x:v>C01</x:v>
      </x:c>
      <x:c r="C170" s="32" t="n">
        <x:v>60</x:v>
      </x:c>
      <x:c r="D170" s="33" t="str">
        <x:v>{"Data":"sáb., 29 de ago. de 2026","Cliques":"0","Visualizações públicas do YouTube":"1.577","Shorts":"—","Custo":"R$ 9,22"}</x:v>
      </x:c>
    </x:row>
    <x:row r="171" ht="24" customHeight="1">
      <x:c r="A171" s="32" t="str">
        <x:v>F002</x:v>
      </x:c>
      <x:c r="B171" s="32" t="str">
        <x:v>C01</x:v>
      </x:c>
      <x:c r="C171" s="32" t="n">
        <x:v>61</x:v>
      </x:c>
      <x:c r="D171" s="33" t="str">
        <x:v>{"Data":"dom., 30 de ago. de 2026","Cliques":"0","Visualizações públicas do YouTube":"1.489","Shorts":"—","Custo":"R$ 9,01"}</x:v>
      </x:c>
    </x:row>
    <x:row r="172" ht="24" customHeight="1">
      <x:c r="A172" s="32" t="str">
        <x:v>F002</x:v>
      </x:c>
      <x:c r="B172" s="32" t="str">
        <x:v>C01</x:v>
      </x:c>
      <x:c r="C172" s="32" t="n">
        <x:v>62</x:v>
      </x:c>
      <x:c r="D172" s="33" t="str">
        <x:v>{"Data":"seg., 31 de ago. de 2026","Cliques":"0","Visualizações públicas do YouTube":"1.309","Shorts":"—","Custo":"R$ 8,20"}</x:v>
      </x:c>
    </x:row>
    <x:row r="173" ht="24" customHeight="1">
      <x:c r="A173" s="32" t="str">
        <x:v>F002</x:v>
      </x:c>
      <x:c r="B173" s="32" t="str">
        <x:v>C01</x:v>
      </x:c>
      <x:c r="C173" s="32" t="n">
        <x:v>63</x:v>
      </x:c>
      <x:c r="D173" s="33" t="str">
        <x:v>{"Data":"ter., 1 de set. de 2026","Cliques":"0","Visualizações públicas do YouTube":"2.127","Shorts":"—","Custo":"R$ 10,48"}</x:v>
      </x:c>
    </x:row>
    <x:row r="174" ht="24" customHeight="1">
      <x:c r="A174" s="32" t="str">
        <x:v>F002</x:v>
      </x:c>
      <x:c r="B174" s="32" t="str">
        <x:v>C01</x:v>
      </x:c>
      <x:c r="C174" s="32" t="n">
        <x:v>64</x:v>
      </x:c>
      <x:c r="D174" s="33" t="str">
        <x:v>{"Data":"qua., 2 de set. de 2026","Cliques":"1","Visualizações públicas do YouTube":"1.729","Shorts":"—","Custo":"R$ 10,53"}</x:v>
      </x:c>
    </x:row>
    <x:row r="175" ht="24" customHeight="1">
      <x:c r="A175" s="32" t="str">
        <x:v>F002</x:v>
      </x:c>
      <x:c r="B175" s="32" t="str">
        <x:v>C01</x:v>
      </x:c>
      <x:c r="C175" s="32" t="n">
        <x:v>65</x:v>
      </x:c>
      <x:c r="D175" s="33" t="str">
        <x:v>{"Data":"qui., 3 de set. de 2026","Cliques":"0","Visualizações públicas do YouTube":"1.965","Shorts":"—","Custo":"R$ 10,58"}</x:v>
      </x:c>
    </x:row>
    <x:row r="176" ht="24" customHeight="1">
      <x:c r="A176" s="32" t="str">
        <x:v>F002</x:v>
      </x:c>
      <x:c r="B176" s="32" t="str">
        <x:v>C01</x:v>
      </x:c>
      <x:c r="C176" s="32" t="n">
        <x:v>66</x:v>
      </x:c>
      <x:c r="D176" s="33" t="str">
        <x:v>{"Data":"sex., 4 de set. de 2026","Cliques":"0","Visualizações públicas do YouTube":"2.131","Shorts":"—","Custo":"R$ 10,39"}</x:v>
      </x:c>
    </x:row>
    <x:row r="177" ht="24" customHeight="1">
      <x:c r="A177" s="32" t="str">
        <x:v>F002</x:v>
      </x:c>
      <x:c r="B177" s="32" t="str">
        <x:v>C01</x:v>
      </x:c>
      <x:c r="C177" s="32" t="n">
        <x:v>67</x:v>
      </x:c>
      <x:c r="D177" s="33" t="str">
        <x:v>{"Data":"sáb., 5 de set. de 2026","Cliques":"0","Visualizações públicas do YouTube":"2.137","Shorts":"—","Custo":"R$ 10,52"}</x:v>
      </x:c>
    </x:row>
    <x:row r="178" ht="24" customHeight="1">
      <x:c r="A178" s="32" t="str">
        <x:v>F002</x:v>
      </x:c>
      <x:c r="B178" s="32" t="str">
        <x:v>C01</x:v>
      </x:c>
      <x:c r="C178" s="32" t="n">
        <x:v>68</x:v>
      </x:c>
      <x:c r="D178" s="33" t="str">
        <x:v>{"Data":"dom., 6 de set. de 2026","Cliques":"1","Visualizações públicas do YouTube":"2.201","Shorts":"—","Custo":"R$ 10,55"}</x:v>
      </x:c>
    </x:row>
    <x:row r="179" ht="24" customHeight="1">
      <x:c r="A179" s="32" t="str">
        <x:v>F002</x:v>
      </x:c>
      <x:c r="B179" s="32" t="str">
        <x:v>C01</x:v>
      </x:c>
      <x:c r="C179" s="32" t="n">
        <x:v>69</x:v>
      </x:c>
      <x:c r="D179" s="33" t="str">
        <x:v>{"Data":"seg., 7 de set. de 2026","Cliques":"2","Visualizações públicas do YouTube":"2.158","Shorts":"—","Custo":"R$ 10,59"}</x:v>
      </x:c>
    </x:row>
    <x:row r="180" ht="24" customHeight="1">
      <x:c r="A180" s="32" t="str">
        <x:v>F002</x:v>
      </x:c>
      <x:c r="B180" s="32" t="str">
        <x:v>C01</x:v>
      </x:c>
      <x:c r="C180" s="32" t="n">
        <x:v>70</x:v>
      </x:c>
      <x:c r="D180" s="33" t="str">
        <x:v>{"Data":"ter., 8 de set. de 2026","Cliques":"2","Visualizações públicas do YouTube":"1.844","Shorts":"—","Custo":"R$ 10,57"}</x:v>
      </x:c>
    </x:row>
    <x:row r="181" ht="24" customHeight="1">
      <x:c r="A181" s="32" t="str">
        <x:v>F002</x:v>
      </x:c>
      <x:c r="B181" s="32" t="str">
        <x:v>C01</x:v>
      </x:c>
      <x:c r="C181" s="32" t="n">
        <x:v>71</x:v>
      </x:c>
      <x:c r="D181" s="33" t="str">
        <x:v>{"Data":"qua., 9 de set. de 2026","Cliques":"0","Visualizações públicas do YouTube":"2.237","Shorts":"—","Custo":"R$ 10,47"}</x:v>
      </x:c>
    </x:row>
    <x:row r="182" ht="24" customHeight="1">
      <x:c r="A182" s="32" t="str">
        <x:v>F002</x:v>
      </x:c>
      <x:c r="B182" s="32" t="str">
        <x:v>C01</x:v>
      </x:c>
      <x:c r="C182" s="32" t="n">
        <x:v>72</x:v>
      </x:c>
      <x:c r="D182" s="33" t="str">
        <x:v>{"Data":"qui., 10 de set. de 2026","Cliques":"4","Visualizações públicas do YouTube":"1.943","Shorts":"—","Custo":"R$ 10,54"}</x:v>
      </x:c>
    </x:row>
    <x:row r="183" ht="24" customHeight="1">
      <x:c r="A183" s="32" t="str">
        <x:v>F002</x:v>
      </x:c>
      <x:c r="B183" s="32" t="str">
        <x:v>C01</x:v>
      </x:c>
      <x:c r="C183" s="32" t="n">
        <x:v>73</x:v>
      </x:c>
      <x:c r="D183" s="33" t="str">
        <x:v>{"Data":"sex., 11 de set. de 2026","Cliques":"0","Visualizações públicas do YouTube":"2.108","Shorts":"—","Custo":"R$ 10,44"}</x:v>
      </x:c>
    </x:row>
    <x:row r="184" ht="24" customHeight="1">
      <x:c r="A184" s="32" t="str">
        <x:v>F002</x:v>
      </x:c>
      <x:c r="B184" s="32" t="str">
        <x:v>C01</x:v>
      </x:c>
      <x:c r="C184" s="32" t="n">
        <x:v>74</x:v>
      </x:c>
      <x:c r="D184" s="33" t="str">
        <x:v>{"Data":"sáb., 12 de set. de 2026","Cliques":"0","Visualizações públicas do YouTube":"2.120","Shorts":"—","Custo":"R$ 10,41"}</x:v>
      </x:c>
    </x:row>
    <x:row r="185" ht="24" customHeight="1">
      <x:c r="A185" s="32" t="str">
        <x:v>F002</x:v>
      </x:c>
      <x:c r="B185" s="32" t="str">
        <x:v>C01</x:v>
      </x:c>
      <x:c r="C185" s="32" t="n">
        <x:v>75</x:v>
      </x:c>
      <x:c r="D185" s="33" t="str">
        <x:v>{"Data":"dom., 13 de set. de 2026","Cliques":"0","Visualizações públicas do YouTube":"2.097","Shorts":"—","Custo":"R$ 10,38"}</x:v>
      </x:c>
    </x:row>
    <x:row r="186" ht="24" customHeight="1">
      <x:c r="A186" s="32" t="str">
        <x:v>F002</x:v>
      </x:c>
      <x:c r="B186" s="32" t="str">
        <x:v>C01</x:v>
      </x:c>
      <x:c r="C186" s="32" t="n">
        <x:v>76</x:v>
      </x:c>
      <x:c r="D186" s="33" t="str">
        <x:v>{"Data":"seg., 14 de set. de 2026","Cliques":"0","Visualizações públicas do YouTube":"2.005","Shorts":"—","Custo":"R$ 10,36"}</x:v>
      </x:c>
    </x:row>
    <x:row r="187" ht="24" customHeight="1">
      <x:c r="A187" s="32" t="str">
        <x:v>F002</x:v>
      </x:c>
      <x:c r="B187" s="32" t="str">
        <x:v>C01</x:v>
      </x:c>
      <x:c r="C187" s="32" t="n">
        <x:v>77</x:v>
      </x:c>
      <x:c r="D187" s="33" t="str">
        <x:v>{"Data":"ter., 15 de set. de 2026","Cliques":"1","Visualizações públicas do YouTube":"2.145","Shorts":"—","Custo":"R$ 10,36"}</x:v>
      </x:c>
    </x:row>
    <x:row r="188" ht="24" customHeight="1">
      <x:c r="A188" s="32" t="str">
        <x:v>F002</x:v>
      </x:c>
      <x:c r="B188" s="32" t="str">
        <x:v>C01</x:v>
      </x:c>
      <x:c r="C188" s="32" t="n">
        <x:v>78</x:v>
      </x:c>
      <x:c r="D188" s="33" t="str">
        <x:v>{"Data":"qua., 16 de set. de 2026","Cliques":"0","Visualizações públicas do YouTube":"2.034","Shorts":"—","Custo":"R$ 10,28"}</x:v>
      </x:c>
    </x:row>
    <x:row r="189" ht="24" customHeight="1">
      <x:c r="A189" s="32" t="str">
        <x:v>F002</x:v>
      </x:c>
      <x:c r="B189" s="32" t="str">
        <x:v>C01</x:v>
      </x:c>
      <x:c r="C189" s="32" t="n">
        <x:v>79</x:v>
      </x:c>
      <x:c r="D189" s="33" t="str">
        <x:v>{"Data":"qui., 17 de set. de 2026","Cliques":"0","Visualizações públicas do YouTube":"1.879","Shorts":"—","Custo":"R$ 10,23"}</x:v>
      </x:c>
    </x:row>
    <x:row r="190" ht="24" customHeight="1">
      <x:c r="A190" s="32" t="str">
        <x:v>F002</x:v>
      </x:c>
      <x:c r="B190" s="32" t="str">
        <x:v>C01</x:v>
      </x:c>
      <x:c r="C190" s="32" t="n">
        <x:v>80</x:v>
      </x:c>
      <x:c r="D190" s="33" t="str">
        <x:v>{"Data":"sex., 18 de set. de 2026","Cliques":"0","Visualizações públicas do YouTube":"1.779","Shorts":"—","Custo":"R$ 10,19"}</x:v>
      </x:c>
    </x:row>
    <x:row r="191" ht="24" customHeight="1">
      <x:c r="A191" s="32" t="str">
        <x:v>F002</x:v>
      </x:c>
      <x:c r="B191" s="32" t="str">
        <x:v>C01</x:v>
      </x:c>
      <x:c r="C191" s="32" t="n">
        <x:v>81</x:v>
      </x:c>
      <x:c r="D191" s="33" t="str">
        <x:v>{"Data":"sáb., 19 de set. de 2026","Cliques":"0","Visualizações públicas do YouTube":"1.928","Shorts":"—","Custo":"R$ 10,18"}</x:v>
      </x:c>
    </x:row>
    <x:row r="192" ht="24" customHeight="1">
      <x:c r="A192" s="32" t="str">
        <x:v>F002</x:v>
      </x:c>
      <x:c r="B192" s="32" t="str">
        <x:v>C01</x:v>
      </x:c>
      <x:c r="C192" s="32" t="n">
        <x:v>82</x:v>
      </x:c>
      <x:c r="D192" s="33" t="str">
        <x:v>{"Data":"dom., 20 de set. de 2026","Cliques":"0","Visualizações públicas do YouTube":"1.987","Shorts":"—","Custo":"R$ 10,18"}</x:v>
      </x:c>
    </x:row>
    <x:row r="193" ht="24" customHeight="1">
      <x:c r="A193" s="32" t="str">
        <x:v>F002</x:v>
      </x:c>
      <x:c r="B193" s="32" t="str">
        <x:v>C01</x:v>
      </x:c>
      <x:c r="C193" s="32" t="n">
        <x:v>83</x:v>
      </x:c>
      <x:c r="D193" s="33" t="str">
        <x:v>{"Data":"seg., 21 de set. de 2026","Cliques":"0","Visualizações públicas do YouTube":"2.106","Shorts":"—","Custo":"R$ 10,06"}</x:v>
      </x:c>
    </x:row>
    <x:row r="194" ht="24" customHeight="1">
      <x:c r="A194" s="32" t="str">
        <x:v>F002</x:v>
      </x:c>
      <x:c r="B194" s="32" t="str">
        <x:v>C01</x:v>
      </x:c>
      <x:c r="C194" s="32" t="n">
        <x:v>84</x:v>
      </x:c>
      <x:c r="D194" s="33" t="str">
        <x:v>{"Data":"ter., 22 de set. de 2026","Cliques":"0","Visualizações públicas do YouTube":"1.919","Shorts":"—","Custo":"R$ 10,04"}</x:v>
      </x:c>
    </x:row>
    <x:row r="195" ht="24" customHeight="1">
      <x:c r="A195" s="32" t="str">
        <x:v>F002</x:v>
      </x:c>
      <x:c r="B195" s="32" t="str">
        <x:v>C01</x:v>
      </x:c>
      <x:c r="C195" s="32" t="n">
        <x:v>85</x:v>
      </x:c>
      <x:c r="D195" s="33" t="str">
        <x:v>{"Data":"qua., 23 de set. de 2026","Cliques":"1","Visualizações públicas do YouTube":"2.069","Shorts":"—","Custo":"R$ 9,95"}</x:v>
      </x:c>
    </x:row>
    <x:row r="196" ht="24" customHeight="1">
      <x:c r="A196" s="32" t="str">
        <x:v>F002</x:v>
      </x:c>
      <x:c r="B196" s="32" t="str">
        <x:v>C01</x:v>
      </x:c>
      <x:c r="C196" s="32" t="n">
        <x:v>86</x:v>
      </x:c>
      <x:c r="D196" s="33" t="str">
        <x:v>{"Data":"qui., 24 de set. de 2026","Cliques":"0","Visualizações públicas do YouTube":"163","Shorts":"—","Custo":"R$ 0,81"}</x:v>
      </x:c>
    </x:row>
    <x:row r="197" ht="24" customHeight="1">
      <x:c r="A197" s="32" t="str">
        <x:v>F002</x:v>
      </x:c>
      <x:c r="B197" s="32" t="str">
        <x:v>C01</x:v>
      </x:c>
      <x:c r="C197" s="32" t="n">
        <x:v>87</x:v>
      </x:c>
      <x:c r="D197" s="33" t="str">
        <x:v>{"Data":"sex., 25 de set. de 2026","Cliques":"0","Visualizações públicas do YouTube":"6","Shorts":"—","Custo":"R$ 0,03"}</x:v>
      </x:c>
    </x:row>
    <x:row r="198" ht="24" customHeight="1">
      <x:c r="A198" s="32" t="str">
        <x:v>F002</x:v>
      </x:c>
      <x:c r="B198" s="32" t="str">
        <x:v>C01</x:v>
      </x:c>
      <x:c r="C198" s="32" t="n">
        <x:v>88</x:v>
      </x:c>
      <x:c r="D198" s="33" t="str">
        <x:v>{"Data":"sáb., 26 de set. de 2026","Cliques":"0","Visualizações públicas do YouTube":"0","Shorts":"—","Custo":"R$ 0,00"}</x:v>
      </x:c>
    </x:row>
    <x:row r="199" ht="24" customHeight="1">
      <x:c r="A199" s="32" t="str">
        <x:v>F002</x:v>
      </x:c>
      <x:c r="B199" s="32" t="str">
        <x:v>C01</x:v>
      </x:c>
      <x:c r="C199" s="32" t="n">
        <x:v>89</x:v>
      </x:c>
      <x:c r="D199" s="33" t="str">
        <x:v>{"Data":"dom., 27 de set. de 2026","Cliques":"0","Visualizações públicas do YouTube":"1","Shorts":"—","Custo":"R$ 0,00"}</x:v>
      </x:c>
    </x:row>
    <x:row r="200" ht="24" customHeight="1">
      <x:c r="A200" s="32" t="str">
        <x:v>F002</x:v>
      </x:c>
      <x:c r="B200" s="32" t="str">
        <x:v>C01</x:v>
      </x:c>
      <x:c r="C200" s="32" t="n">
        <x:v>90</x:v>
      </x:c>
      <x:c r="D200" s="33" t="str">
        <x:v>{"Data":"seg., 28 de set. de 2026","Cliques":"0","Visualizações públicas do YouTube":"0","Shorts":"—","Custo":"R$ 0,00"}</x:v>
      </x:c>
    </x:row>
    <x:row r="201" ht="24" customHeight="1">
      <x:c r="A201" s="32" t="str">
        <x:v>F002</x:v>
      </x:c>
      <x:c r="B201" s="32" t="str">
        <x:v>C01</x:v>
      </x:c>
      <x:c r="C201" s="32" t="n">
        <x:v>91</x:v>
      </x:c>
      <x:c r="D201" s="33" t="str">
        <x:v>{"Data":"ter., 29 de set. de 2026","Cliques":"0","Visualizações públicas do YouTube":"11","Shorts":"—","Custo":"R$ 0,11"}</x:v>
      </x:c>
    </x:row>
    <x:row r="202" ht="24" customHeight="1">
      <x:c r="A202" s="32" t="str">
        <x:v>F002</x:v>
      </x:c>
      <x:c r="B202" s="32" t="str">
        <x:v>C01</x:v>
      </x:c>
      <x:c r="C202" s="32" t="n">
        <x:v>92</x:v>
      </x:c>
      <x:c r="D202" s="33" t="str">
        <x:v>{"Data":"qua., 30 de set. de 2026","Cliques":"0","Visualizações públicas do YouTube":"0","Shorts":"—","Custo":"R$ 0,00"}</x:v>
      </x:c>
    </x:row>
    <x:row r="203" ht="24" customHeight="1">
      <x:c r="A203" s="32" t="str">
        <x:v>F002</x:v>
      </x:c>
      <x:c r="B203" s="32" t="str">
        <x:v>C01</x:v>
      </x:c>
      <x:c r="C203" s="32" t="n">
        <x:v>93</x:v>
      </x:c>
      <x:c r="D203" s="33" t="str">
        <x:v>{"Data":"qui., 1 de out. de 2026","Cliques":"0","Visualizações públicas do YouTube":"2.244","Shorts":"—","Custo":"R$ 9,77"}</x:v>
      </x:c>
    </x:row>
    <x:row r="204" ht="24" customHeight="1">
      <x:c r="A204" s="32" t="str">
        <x:v>F002</x:v>
      </x:c>
      <x:c r="B204" s="32" t="str">
        <x:v>C01</x:v>
      </x:c>
      <x:c r="C204" s="32" t="n">
        <x:v>94</x:v>
      </x:c>
      <x:c r="D204" s="33" t="str">
        <x:v>{"Data":"sex., 2 de out. de 2026","Cliques":"2","Visualizações públicas do YouTube":"2.441","Shorts":"—","Custo":"R$ 10,32"}</x:v>
      </x:c>
    </x:row>
    <x:row r="205" ht="24" customHeight="1">
      <x:c r="A205" s="32" t="str">
        <x:v>F002</x:v>
      </x:c>
      <x:c r="B205" s="32" t="str">
        <x:v>C01</x:v>
      </x:c>
      <x:c r="C205" s="32" t="n">
        <x:v>95</x:v>
      </x:c>
      <x:c r="D205" s="33" t="str">
        <x:v>{"Data":"sáb., 3 de out. de 2026","Cliques":"0","Visualizações públicas do YouTube":"2.202","Shorts":"—","Custo":"R$ 10,33"}</x:v>
      </x:c>
    </x:row>
    <x:row r="206" ht="24" customHeight="1">
      <x:c r="A206" s="32" t="str">
        <x:v>F002</x:v>
      </x:c>
      <x:c r="B206" s="32" t="str">
        <x:v>C01</x:v>
      </x:c>
      <x:c r="C206" s="32" t="n">
        <x:v>96</x:v>
      </x:c>
      <x:c r="D206" s="33" t="str">
        <x:v>{"Data":"dom., 4 de out. de 2026","Cliques":"0","Visualizações públicas do YouTube":"2.445","Shorts":"—","Custo":"R$ 10,25"}</x:v>
      </x:c>
    </x:row>
    <x:row r="207" ht="24" customHeight="1">
      <x:c r="A207" s="32" t="str">
        <x:v>F002</x:v>
      </x:c>
      <x:c r="B207" s="32" t="str">
        <x:v>C01</x:v>
      </x:c>
      <x:c r="C207" s="32" t="n">
        <x:v>97</x:v>
      </x:c>
      <x:c r="D207" s="33" t="str">
        <x:v>{"Data":"seg., 5 de out. de 2026","Cliques":"0","Visualizações públicas do YouTube":"2.636","Shorts":"—","Custo":"R$ 10,23"}</x:v>
      </x:c>
    </x:row>
    <x:row r="208" ht="24" customHeight="1">
      <x:c r="A208" s="32" t="str">
        <x:v>F002</x:v>
      </x:c>
      <x:c r="B208" s="32" t="str">
        <x:v>C01</x:v>
      </x:c>
      <x:c r="C208" s="32" t="n">
        <x:v>98</x:v>
      </x:c>
      <x:c r="D208" s="33" t="str">
        <x:v>{"Data":"ter., 6 de out. de 2026","Cliques":"1","Visualizações públicas do YouTube":"2.436","Shorts":"—","Custo":"R$ 10,13"}</x:v>
      </x:c>
    </x:row>
    <x:row r="209" ht="24" customHeight="1">
      <x:c r="A209" s="32" t="str">
        <x:v>F002</x:v>
      </x:c>
      <x:c r="B209" s="32" t="str">
        <x:v>C01</x:v>
      </x:c>
      <x:c r="C209" s="32" t="n">
        <x:v>99</x:v>
      </x:c>
      <x:c r="D209" s="33" t="str">
        <x:v>{"Data":"qua., 7 de out. de 2026","Cliques":"0","Visualizações públicas do YouTube":"2.389","Shorts":"—","Custo":"R$ 10,20"}</x:v>
      </x:c>
    </x:row>
    <x:row r="210" ht="24" customHeight="1">
      <x:c r="A210" s="32" t="str">
        <x:v>F002</x:v>
      </x:c>
      <x:c r="B210" s="32" t="str">
        <x:v>C01</x:v>
      </x:c>
      <x:c r="C210" s="32" t="n">
        <x:v>100</x:v>
      </x:c>
      <x:c r="D210" s="33" t="str">
        <x:v>{"Data":"qui., 8 de out. de 2026","Cliques":"2","Visualizações públicas do YouTube":"2.121","Shorts":"—","Custo":"R$ 10,38"}</x:v>
      </x:c>
    </x:row>
    <x:row r="211" ht="24" customHeight="1">
      <x:c r="A211" s="32" t="str">
        <x:v>F002</x:v>
      </x:c>
      <x:c r="B211" s="32" t="str">
        <x:v>C01</x:v>
      </x:c>
      <x:c r="C211" s="32" t="n">
        <x:v>101</x:v>
      </x:c>
      <x:c r="D211" s="33" t="str">
        <x:v>{"Data":"sex., 9 de out. de 2026","Cliques":"0","Visualizações públicas do YouTube":"2.508","Shorts":"—","Custo":"R$ 10,32"}</x:v>
      </x:c>
    </x:row>
    <x:row r="212" ht="24" customHeight="1">
      <x:c r="A212" s="32" t="str">
        <x:v>F002</x:v>
      </x:c>
      <x:c r="B212" s="32" t="str">
        <x:v>C01</x:v>
      </x:c>
      <x:c r="C212" s="32" t="n">
        <x:v>102</x:v>
      </x:c>
      <x:c r="D212" s="33" t="str">
        <x:v>{"Data":"sáb., 10 de out. de 2026","Cliques":"0","Visualizações públicas do YouTube":"2.398","Shorts":"—","Custo":"R$ 10,10"}</x:v>
      </x:c>
    </x:row>
    <x:row r="213" ht="24" customHeight="1">
      <x:c r="A213" s="32" t="str">
        <x:v>F002</x:v>
      </x:c>
      <x:c r="B213" s="32" t="str">
        <x:v>C01</x:v>
      </x:c>
      <x:c r="C213" s="32" t="n">
        <x:v>103</x:v>
      </x:c>
      <x:c r="D213" s="33" t="str">
        <x:v>{"Data":"dom., 11 de out. de 2026","Cliques":"0","Visualizações públicas do YouTube":"2.205","Shorts":"—","Custo":"R$ 10,12"}</x:v>
      </x:c>
    </x:row>
    <x:row r="214" ht="24" customHeight="1">
      <x:c r="A214" s="32" t="str">
        <x:v>F002</x:v>
      </x:c>
      <x:c r="B214" s="32" t="str">
        <x:v>C01</x:v>
      </x:c>
      <x:c r="C214" s="32" t="n">
        <x:v>104</x:v>
      </x:c>
      <x:c r="D214" s="33" t="str">
        <x:v>{"Data":"seg., 12 de out. de 2026","Cliques":"0","Visualizações públicas do YouTube":"2.457","Shorts":"—","Custo":"R$ 10,10"}</x:v>
      </x:c>
    </x:row>
    <x:row r="215" ht="24" customHeight="1">
      <x:c r="A215" s="32" t="str">
        <x:v>F002</x:v>
      </x:c>
      <x:c r="B215" s="32" t="str">
        <x:v>C01</x:v>
      </x:c>
      <x:c r="C215" s="32" t="n">
        <x:v>105</x:v>
      </x:c>
      <x:c r="D215" s="33" t="str">
        <x:v>{"Data":"ter., 13 de out. de 2026","Cliques":"0","Visualizações públicas do YouTube":"2.372","Shorts":"—","Custo":"R$ 10,06"}</x:v>
      </x:c>
    </x:row>
    <x:row r="216" ht="24" customHeight="1">
      <x:c r="A216" s="32" t="str">
        <x:v>F003</x:v>
      </x:c>
      <x:c r="B216" s="32" t="str">
        <x:v>C01</x:v>
      </x:c>
      <x:c r="C216" s="32" t="n">
        <x:v>1</x:v>
      </x:c>
      <x:c r="D216" s="33" t="str">
        <x:v>{"Data":"qua., 1 de jul. de 2026","Impr.":"0","Visualizações públicas do YouTube":"0","Custo":"R$ 0,00","Cliques":"0"}</x:v>
      </x:c>
    </x:row>
    <x:row r="217" ht="24" customHeight="1">
      <x:c r="A217" s="32" t="str">
        <x:v>F003</x:v>
      </x:c>
      <x:c r="B217" s="32" t="str">
        <x:v>C01</x:v>
      </x:c>
      <x:c r="C217" s="32" t="n">
        <x:v>2</x:v>
      </x:c>
      <x:c r="D217" s="33" t="str">
        <x:v>{"Data":"qui., 2 de jul. de 2026","Impr.":"0","Visualizações públicas do YouTube":"0","Custo":"R$ 0,00","Cliques":"0"}</x:v>
      </x:c>
    </x:row>
    <x:row r="218" ht="24" customHeight="1">
      <x:c r="A218" s="32" t="str">
        <x:v>F003</x:v>
      </x:c>
      <x:c r="B218" s="32" t="str">
        <x:v>C01</x:v>
      </x:c>
      <x:c r="C218" s="32" t="n">
        <x:v>3</x:v>
      </x:c>
      <x:c r="D218" s="33" t="str">
        <x:v>{"Data":"sex., 3 de jul. de 2026","Impr.":"0","Visualizações públicas do YouTube":"0","Custo":"R$ 0,00","Cliques":"0"}</x:v>
      </x:c>
    </x:row>
    <x:row r="219" ht="24" customHeight="1">
      <x:c r="A219" s="32" t="str">
        <x:v>F003</x:v>
      </x:c>
      <x:c r="B219" s="32" t="str">
        <x:v>C01</x:v>
      </x:c>
      <x:c r="C219" s="32" t="n">
        <x:v>4</x:v>
      </x:c>
      <x:c r="D219" s="33" t="str">
        <x:v>{"Data":"sáb., 4 de jul. de 2026","Impr.":"0","Visualizações públicas do YouTube":"0","Custo":"R$ 0,00","Cliques":"0"}</x:v>
      </x:c>
    </x:row>
    <x:row r="220" ht="24" customHeight="1">
      <x:c r="A220" s="32" t="str">
        <x:v>F003</x:v>
      </x:c>
      <x:c r="B220" s="32" t="str">
        <x:v>C01</x:v>
      </x:c>
      <x:c r="C220" s="32" t="n">
        <x:v>5</x:v>
      </x:c>
      <x:c r="D220" s="33" t="str">
        <x:v>{"Data":"dom., 5 de jul. de 2026","Impr.":"0","Visualizações públicas do YouTube":"0","Custo":"R$ 0,00","Cliques":"0"}</x:v>
      </x:c>
    </x:row>
    <x:row r="221" ht="24" customHeight="1">
      <x:c r="A221" s="32" t="str">
        <x:v>F003</x:v>
      </x:c>
      <x:c r="B221" s="32" t="str">
        <x:v>C01</x:v>
      </x:c>
      <x:c r="C221" s="32" t="n">
        <x:v>6</x:v>
      </x:c>
      <x:c r="D221" s="33" t="str">
        <x:v>{"Data":"seg., 6 de jul. de 2026","Impr.":"0","Visualizações públicas do YouTube":"0","Custo":"R$ 0,00","Cliques":"0"}</x:v>
      </x:c>
    </x:row>
    <x:row r="222" ht="24" customHeight="1">
      <x:c r="A222" s="32" t="str">
        <x:v>F003</x:v>
      </x:c>
      <x:c r="B222" s="32" t="str">
        <x:v>C01</x:v>
      </x:c>
      <x:c r="C222" s="32" t="n">
        <x:v>7</x:v>
      </x:c>
      <x:c r="D222" s="33" t="str">
        <x:v>{"Data":"ter., 7 de jul. de 2026","Impr.":"0","Visualizações públicas do YouTube":"0","Custo":"R$ 0,00","Cliques":"0"}</x:v>
      </x:c>
    </x:row>
    <x:row r="223" ht="24" customHeight="1">
      <x:c r="A223" s="32" t="str">
        <x:v>F003</x:v>
      </x:c>
      <x:c r="B223" s="32" t="str">
        <x:v>C01</x:v>
      </x:c>
      <x:c r="C223" s="32" t="n">
        <x:v>8</x:v>
      </x:c>
      <x:c r="D223" s="33" t="str">
        <x:v>{"Data":"qua., 8 de jul. de 2026","Impr.":"0","Visualizações públicas do YouTube":"0","Custo":"R$ 0,00","Cliques":"0"}</x:v>
      </x:c>
    </x:row>
    <x:row r="224" ht="24" customHeight="1">
      <x:c r="A224" s="32" t="str">
        <x:v>F003</x:v>
      </x:c>
      <x:c r="B224" s="32" t="str">
        <x:v>C01</x:v>
      </x:c>
      <x:c r="C224" s="32" t="n">
        <x:v>9</x:v>
      </x:c>
      <x:c r="D224" s="33" t="str">
        <x:v>{"Data":"qui., 9 de jul. de 2026","Impr.":"0","Visualizações públicas do YouTube":"0","Custo":"R$ 0,00","Cliques":"0"}</x:v>
      </x:c>
    </x:row>
    <x:row r="225" ht="24" customHeight="1">
      <x:c r="A225" s="32" t="str">
        <x:v>F003</x:v>
      </x:c>
      <x:c r="B225" s="32" t="str">
        <x:v>C01</x:v>
      </x:c>
      <x:c r="C225" s="32" t="n">
        <x:v>10</x:v>
      </x:c>
      <x:c r="D225" s="33" t="str">
        <x:v>{"Data":"sex., 10 de jul. de 2026","Impr.":"0","Visualizações públicas do YouTube":"0","Custo":"R$ 0,00","Cliques":"0"}</x:v>
      </x:c>
    </x:row>
    <x:row r="226" ht="24" customHeight="1">
      <x:c r="A226" s="32" t="str">
        <x:v>F003</x:v>
      </x:c>
      <x:c r="B226" s="32" t="str">
        <x:v>C01</x:v>
      </x:c>
      <x:c r="C226" s="32" t="n">
        <x:v>11</x:v>
      </x:c>
      <x:c r="D226" s="33" t="str">
        <x:v>{"Data":"sáb., 11 de jul. de 2026","Impr.":"0","Visualizações públicas do YouTube":"0","Custo":"R$ 0,00","Cliques":"0"}</x:v>
      </x:c>
    </x:row>
    <x:row r="227" ht="24" customHeight="1">
      <x:c r="A227" s="32" t="str">
        <x:v>F003</x:v>
      </x:c>
      <x:c r="B227" s="32" t="str">
        <x:v>C01</x:v>
      </x:c>
      <x:c r="C227" s="32" t="n">
        <x:v>12</x:v>
      </x:c>
      <x:c r="D227" s="33" t="str">
        <x:v>{"Data":"dom., 12 de jul. de 2026","Impr.":"0","Visualizações públicas do YouTube":"0","Custo":"R$ 0,00","Cliques":"0"}</x:v>
      </x:c>
    </x:row>
    <x:row r="228" ht="24" customHeight="1">
      <x:c r="A228" s="32" t="str">
        <x:v>F003</x:v>
      </x:c>
      <x:c r="B228" s="32" t="str">
        <x:v>C01</x:v>
      </x:c>
      <x:c r="C228" s="32" t="n">
        <x:v>13</x:v>
      </x:c>
      <x:c r="D228" s="33" t="str">
        <x:v>{"Data":"seg., 13 de jul. de 2026","Impr.":"0","Visualizações públicas do YouTube":"0","Custo":"R$ 0,00","Cliques":"0"}</x:v>
      </x:c>
    </x:row>
    <x:row r="229" ht="24" customHeight="1">
      <x:c r="A229" s="32" t="str">
        <x:v>F003</x:v>
      </x:c>
      <x:c r="B229" s="32" t="str">
        <x:v>C01</x:v>
      </x:c>
      <x:c r="C229" s="32" t="n">
        <x:v>14</x:v>
      </x:c>
      <x:c r="D229" s="33" t="str">
        <x:v>{"Data":"ter., 14 de jul. de 2026","Impr.":"0","Visualizações públicas do YouTube":"0","Custo":"R$ 0,00","Cliques":"0"}</x:v>
      </x:c>
    </x:row>
    <x:row r="230" ht="24" customHeight="1">
      <x:c r="A230" s="32" t="str">
        <x:v>F003</x:v>
      </x:c>
      <x:c r="B230" s="32" t="str">
        <x:v>C01</x:v>
      </x:c>
      <x:c r="C230" s="32" t="n">
        <x:v>15</x:v>
      </x:c>
      <x:c r="D230" s="33" t="str">
        <x:v>{"Data":"qua., 15 de jul. de 2026","Impr.":"0","Visualizações públicas do YouTube":"0","Custo":"R$ 0,00","Cliques":"0"}</x:v>
      </x:c>
    </x:row>
    <x:row r="231" ht="24" customHeight="1">
      <x:c r="A231" s="32" t="str">
        <x:v>F003</x:v>
      </x:c>
      <x:c r="B231" s="32" t="str">
        <x:v>C01</x:v>
      </x:c>
      <x:c r="C231" s="32" t="n">
        <x:v>16</x:v>
      </x:c>
      <x:c r="D231" s="33" t="str">
        <x:v>{"Data":"qui., 16 de jul. de 2026","Impr.":"0","Visualizações públicas do YouTube":"0","Custo":"R$ 0,00","Cliques":"0"}</x:v>
      </x:c>
    </x:row>
    <x:row r="232" ht="24" customHeight="1">
      <x:c r="A232" s="32" t="str">
        <x:v>F003</x:v>
      </x:c>
      <x:c r="B232" s="32" t="str">
        <x:v>C01</x:v>
      </x:c>
      <x:c r="C232" s="32" t="n">
        <x:v>17</x:v>
      </x:c>
      <x:c r="D232" s="33" t="str">
        <x:v>{"Data":"sex., 17 de jul. de 2026","Impr.":"0","Visualizações públicas do YouTube":"0","Custo":"R$ 0,00","Cliques":"0"}</x:v>
      </x:c>
    </x:row>
    <x:row r="233" ht="24" customHeight="1">
      <x:c r="A233" s="32" t="str">
        <x:v>F003</x:v>
      </x:c>
      <x:c r="B233" s="32" t="str">
        <x:v>C01</x:v>
      </x:c>
      <x:c r="C233" s="32" t="n">
        <x:v>18</x:v>
      </x:c>
      <x:c r="D233" s="33" t="str">
        <x:v>{"Data":"sáb., 18 de jul. de 2026","Impr.":"0","Visualizações públicas do YouTube":"0","Custo":"R$ 0,00","Cliques":"0"}</x:v>
      </x:c>
    </x:row>
    <x:row r="234" ht="24" customHeight="1">
      <x:c r="A234" s="32" t="str">
        <x:v>F003</x:v>
      </x:c>
      <x:c r="B234" s="32" t="str">
        <x:v>C01</x:v>
      </x:c>
      <x:c r="C234" s="32" t="n">
        <x:v>19</x:v>
      </x:c>
      <x:c r="D234" s="33" t="str">
        <x:v>{"Data":"dom., 19 de jul. de 2026","Impr.":"0","Visualizações públicas do YouTube":"0","Custo":"R$ 0,00","Cliques":"0"}</x:v>
      </x:c>
    </x:row>
    <x:row r="235" ht="24" customHeight="1">
      <x:c r="A235" s="32" t="str">
        <x:v>F003</x:v>
      </x:c>
      <x:c r="B235" s="32" t="str">
        <x:v>C01</x:v>
      </x:c>
      <x:c r="C235" s="32" t="n">
        <x:v>20</x:v>
      </x:c>
      <x:c r="D235" s="33" t="str">
        <x:v>{"Data":"seg., 20 de jul. de 2026","Impr.":"0","Visualizações públicas do YouTube":"0","Custo":"R$ 0,00","Cliques":"0"}</x:v>
      </x:c>
    </x:row>
    <x:row r="236" ht="24" customHeight="1">
      <x:c r="A236" s="32" t="str">
        <x:v>F003</x:v>
      </x:c>
      <x:c r="B236" s="32" t="str">
        <x:v>C01</x:v>
      </x:c>
      <x:c r="C236" s="32" t="n">
        <x:v>21</x:v>
      </x:c>
      <x:c r="D236" s="33" t="str">
        <x:v>{"Data":"ter., 21 de jul. de 2026","Impr.":"0","Visualizações públicas do YouTube":"0","Custo":"R$ 0,00","Cliques":"0"}</x:v>
      </x:c>
    </x:row>
    <x:row r="237" ht="24" customHeight="1">
      <x:c r="A237" s="32" t="str">
        <x:v>F003</x:v>
      </x:c>
      <x:c r="B237" s="32" t="str">
        <x:v>C01</x:v>
      </x:c>
      <x:c r="C237" s="32" t="n">
        <x:v>22</x:v>
      </x:c>
      <x:c r="D237" s="33" t="str">
        <x:v>{"Data":"qua., 22 de jul. de 2026","Impr.":"0","Visualizações públicas do YouTube":"0","Custo":"R$ 0,00","Cliques":"0"}</x:v>
      </x:c>
    </x:row>
    <x:row r="238" ht="24" customHeight="1">
      <x:c r="A238" s="32" t="str">
        <x:v>F003</x:v>
      </x:c>
      <x:c r="B238" s="32" t="str">
        <x:v>C01</x:v>
      </x:c>
      <x:c r="C238" s="32" t="n">
        <x:v>23</x:v>
      </x:c>
      <x:c r="D238" s="33" t="str">
        <x:v>{"Data":"qui., 23 de jul. de 2026","Impr.":"1.638","Visualizações públicas do YouTube":"1.624","Custo":"R$ 19,98","Cliques":"0"}</x:v>
      </x:c>
    </x:row>
    <x:row r="239" ht="24" customHeight="1">
      <x:c r="A239" s="32" t="str">
        <x:v>F003</x:v>
      </x:c>
      <x:c r="B239" s="32" t="str">
        <x:v>C01</x:v>
      </x:c>
      <x:c r="C239" s="32" t="n">
        <x:v>24</x:v>
      </x:c>
      <x:c r="D239" s="33" t="str">
        <x:v>{"Data":"sex., 24 de jul. de 2026","Impr.":"2.089","Visualizações públicas do YouTube":"2.059","Custo":"R$ 10,83","Cliques":"0"}</x:v>
      </x:c>
    </x:row>
    <x:row r="240" ht="24" customHeight="1">
      <x:c r="A240" s="32" t="str">
        <x:v>F003</x:v>
      </x:c>
      <x:c r="B240" s="32" t="str">
        <x:v>C01</x:v>
      </x:c>
      <x:c r="C240" s="32" t="n">
        <x:v>25</x:v>
      </x:c>
      <x:c r="D240" s="33" t="str">
        <x:v>{"Data":"sáb., 25 de jul. de 2026","Impr.":"2.169","Visualizações públicas do YouTube":"2.142","Custo":"R$ 10,26","Cliques":"0"}</x:v>
      </x:c>
    </x:row>
    <x:row r="241" ht="24" customHeight="1">
      <x:c r="A241" s="32" t="str">
        <x:v>F003</x:v>
      </x:c>
      <x:c r="B241" s="32" t="str">
        <x:v>C01</x:v>
      </x:c>
      <x:c r="C241" s="32" t="n">
        <x:v>26</x:v>
      </x:c>
      <x:c r="D241" s="33" t="str">
        <x:v>{"Data":"dom., 26 de jul. de 2026","Impr.":"2.204","Visualizações públicas do YouTube":"2.176","Custo":"R$ 10,31","Cliques":"0"}</x:v>
      </x:c>
    </x:row>
    <x:row r="242" ht="24" customHeight="1">
      <x:c r="A242" s="32" t="str">
        <x:v>F003</x:v>
      </x:c>
      <x:c r="B242" s="32" t="str">
        <x:v>C01</x:v>
      </x:c>
      <x:c r="C242" s="32" t="n">
        <x:v>27</x:v>
      </x:c>
      <x:c r="D242" s="33" t="str">
        <x:v>{"Data":"seg., 27 de jul. de 2026","Impr.":"2.134","Visualizações públicas do YouTube":"2.099","Custo":"R$ 10,10","Cliques":"0"}</x:v>
      </x:c>
    </x:row>
    <x:row r="243" ht="24" customHeight="1">
      <x:c r="A243" s="32" t="str">
        <x:v>F003</x:v>
      </x:c>
      <x:c r="B243" s="32" t="str">
        <x:v>C01</x:v>
      </x:c>
      <x:c r="C243" s="32" t="n">
        <x:v>28</x:v>
      </x:c>
      <x:c r="D243" s="33" t="str">
        <x:v>{"Data":"ter., 28 de jul. de 2026","Impr.":"2.085","Visualizações públicas do YouTube":"2.056","Custo":"R$ 10,02","Cliques":"1"}</x:v>
      </x:c>
    </x:row>
    <x:row r="244" ht="24" customHeight="1">
      <x:c r="A244" s="32" t="str">
        <x:v>F003</x:v>
      </x:c>
      <x:c r="B244" s="32" t="str">
        <x:v>C01</x:v>
      </x:c>
      <x:c r="C244" s="32" t="n">
        <x:v>29</x:v>
      </x:c>
      <x:c r="D244" s="33" t="str">
        <x:v>{"Data":"qua., 29 de jul. de 2026","Impr.":"1.697","Visualizações públicas do YouTube":"1.669","Custo":"R$ 9,84","Cliques":"0"}</x:v>
      </x:c>
    </x:row>
    <x:row r="245" ht="24" customHeight="1">
      <x:c r="A245" s="32" t="str">
        <x:v>F003</x:v>
      </x:c>
      <x:c r="B245" s="32" t="str">
        <x:v>C01</x:v>
      </x:c>
      <x:c r="C245" s="32" t="n">
        <x:v>30</x:v>
      </x:c>
      <x:c r="D245" s="33" t="str">
        <x:v>{"Data":"qui., 30 de jul. de 2026","Impr.":"1.702","Visualizações públicas do YouTube":"1.673","Custo":"R$ 9,60","Cliques":"0"}</x:v>
      </x:c>
    </x:row>
    <x:row r="246" ht="24" customHeight="1">
      <x:c r="A246" s="32" t="str">
        <x:v>F003</x:v>
      </x:c>
      <x:c r="B246" s="32" t="str">
        <x:v>C01</x:v>
      </x:c>
      <x:c r="C246" s="32" t="n">
        <x:v>31</x:v>
      </x:c>
      <x:c r="D246" s="33" t="str">
        <x:v>{"Data":"sex., 31 de jul. de 2026","Impr.":"1.676","Visualizações públicas do YouTube":"1.662","Custo":"R$ 9,11","Cliques":"0"}</x:v>
      </x:c>
    </x:row>
    <x:row r="247" ht="24" customHeight="1">
      <x:c r="A247" s="32" t="str">
        <x:v>F003</x:v>
      </x:c>
      <x:c r="B247" s="32" t="str">
        <x:v>C01</x:v>
      </x:c>
      <x:c r="C247" s="32" t="n">
        <x:v>32</x:v>
      </x:c>
      <x:c r="D247" s="33" t="str">
        <x:v>{"Data":"sáb., 1 de ago. de 2026","Impr.":"1.903","Visualizações públicas do YouTube":"1.878","Custo":"R$ 9,77","Cliques":"0"}</x:v>
      </x:c>
    </x:row>
    <x:row r="248" ht="24" customHeight="1">
      <x:c r="A248" s="32" t="str">
        <x:v>F003</x:v>
      </x:c>
      <x:c r="B248" s="32" t="str">
        <x:v>C01</x:v>
      </x:c>
      <x:c r="C248" s="32" t="n">
        <x:v>33</x:v>
      </x:c>
      <x:c r="D248" s="33" t="str">
        <x:v>{"Data":"dom., 2 de ago. de 2026","Impr.":"2.017","Visualizações públicas do YouTube":"1.985","Custo":"R$ 10,31","Cliques":"0"}</x:v>
      </x:c>
    </x:row>
    <x:row r="249" ht="24" customHeight="1">
      <x:c r="A249" s="32" t="str">
        <x:v>F003</x:v>
      </x:c>
      <x:c r="B249" s="32" t="str">
        <x:v>C01</x:v>
      </x:c>
      <x:c r="C249" s="32" t="n">
        <x:v>34</x:v>
      </x:c>
      <x:c r="D249" s="33" t="str">
        <x:v>{"Data":"seg., 3 de ago. de 2026","Impr.":"2.355","Visualizações públicas do YouTube":"2.329","Custo":"R$ 10,28","Cliques":"0"}</x:v>
      </x:c>
    </x:row>
    <x:row r="250" ht="24" customHeight="1">
      <x:c r="A250" s="32" t="str">
        <x:v>F003</x:v>
      </x:c>
      <x:c r="B250" s="32" t="str">
        <x:v>C01</x:v>
      </x:c>
      <x:c r="C250" s="32" t="n">
        <x:v>35</x:v>
      </x:c>
      <x:c r="D250" s="33" t="str">
        <x:v>{"Data":"ter., 4 de ago. de 2026","Impr.":"2.037","Visualizações públicas do YouTube":"2.007","Custo":"R$ 10,22","Cliques":"0"}</x:v>
      </x:c>
    </x:row>
    <x:row r="251" ht="24" customHeight="1">
      <x:c r="A251" s="32" t="str">
        <x:v>F003</x:v>
      </x:c>
      <x:c r="B251" s="32" t="str">
        <x:v>C01</x:v>
      </x:c>
      <x:c r="C251" s="32" t="n">
        <x:v>36</x:v>
      </x:c>
      <x:c r="D251" s="33" t="str">
        <x:v>{"Data":"qua., 5 de ago. de 2026","Impr.":"1.874","Visualizações públicas do YouTube":"1.849","Custo":"R$ 10,25","Cliques":"0"}</x:v>
      </x:c>
    </x:row>
    <x:row r="252" ht="24" customHeight="1">
      <x:c r="A252" s="32" t="str">
        <x:v>F003</x:v>
      </x:c>
      <x:c r="B252" s="32" t="str">
        <x:v>C01</x:v>
      </x:c>
      <x:c r="C252" s="32" t="n">
        <x:v>37</x:v>
      </x:c>
      <x:c r="D252" s="33" t="str">
        <x:v>{"Data":"qui., 6 de ago. de 2026","Impr.":"1.831","Visualizações públicas do YouTube":"1.809","Custo":"R$ 10,20","Cliques":"1"}</x:v>
      </x:c>
    </x:row>
    <x:row r="253" ht="24" customHeight="1">
      <x:c r="A253" s="32" t="str">
        <x:v>F003</x:v>
      </x:c>
      <x:c r="B253" s="32" t="str">
        <x:v>C01</x:v>
      </x:c>
      <x:c r="C253" s="32" t="n">
        <x:v>38</x:v>
      </x:c>
      <x:c r="D253" s="33" t="str">
        <x:v>{"Data":"sex., 7 de ago. de 2026","Impr.":"1.824","Visualizações públicas do YouTube":"1.802","Custo":"R$ 10,18","Cliques":"0"}</x:v>
      </x:c>
    </x:row>
    <x:row r="254" ht="24" customHeight="1">
      <x:c r="A254" s="32" t="str">
        <x:v>F003</x:v>
      </x:c>
      <x:c r="B254" s="32" t="str">
        <x:v>C01</x:v>
      </x:c>
      <x:c r="C254" s="32" t="n">
        <x:v>39</x:v>
      </x:c>
      <x:c r="D254" s="33" t="str">
        <x:v>{"Data":"sáb., 8 de ago. de 2026","Impr.":"1.915","Visualizações públicas do YouTube":"1.893","Custo":"R$ 10,21","Cliques":"0"}</x:v>
      </x:c>
    </x:row>
    <x:row r="255" ht="24" customHeight="1">
      <x:c r="A255" s="32" t="str">
        <x:v>F003</x:v>
      </x:c>
      <x:c r="B255" s="32" t="str">
        <x:v>C01</x:v>
      </x:c>
      <x:c r="C255" s="32" t="n">
        <x:v>40</x:v>
      </x:c>
      <x:c r="D255" s="33" t="str">
        <x:v>{"Data":"dom., 9 de ago. de 2026","Impr.":"1.684","Visualizações públicas do YouTube":"1.659","Custo":"R$ 10,20","Cliques":"0"}</x:v>
      </x:c>
    </x:row>
    <x:row r="256" ht="24" customHeight="1">
      <x:c r="A256" s="32" t="str">
        <x:v>F003</x:v>
      </x:c>
      <x:c r="B256" s="32" t="str">
        <x:v>C01</x:v>
      </x:c>
      <x:c r="C256" s="32" t="n">
        <x:v>41</x:v>
      </x:c>
      <x:c r="D256" s="33" t="str">
        <x:v>{"Data":"seg., 10 de ago. de 2026","Impr.":"1.996","Visualizações públicas do YouTube":"1.951","Custo":"R$ 10,08","Cliques":"0"}</x:v>
      </x:c>
    </x:row>
    <x:row r="257" ht="24" customHeight="1">
      <x:c r="A257" s="32" t="str">
        <x:v>F003</x:v>
      </x:c>
      <x:c r="B257" s="32" t="str">
        <x:v>C01</x:v>
      </x:c>
      <x:c r="C257" s="32" t="n">
        <x:v>42</x:v>
      </x:c>
      <x:c r="D257" s="33" t="str">
        <x:v>{"Data":"ter., 11 de ago. de 2026","Impr.":"1.952","Visualizações públicas do YouTube":"1.929","Custo":"R$ 10,11","Cliques":"0"}</x:v>
      </x:c>
    </x:row>
    <x:row r="258" ht="24" customHeight="1">
      <x:c r="A258" s="32" t="str">
        <x:v>F003</x:v>
      </x:c>
      <x:c r="B258" s="32" t="str">
        <x:v>C01</x:v>
      </x:c>
      <x:c r="C258" s="32" t="n">
        <x:v>43</x:v>
      </x:c>
      <x:c r="D258" s="33" t="str">
        <x:v>{"Data":"qua., 12 de ago. de 2026","Impr.":"1.916","Visualizações públicas do YouTube":"1.868","Custo":"R$ 10,13","Cliques":"0"}</x:v>
      </x:c>
    </x:row>
    <x:row r="259" ht="24" customHeight="1">
      <x:c r="A259" s="32" t="str">
        <x:v>F003</x:v>
      </x:c>
      <x:c r="B259" s="32" t="str">
        <x:v>C01</x:v>
      </x:c>
      <x:c r="C259" s="32" t="n">
        <x:v>44</x:v>
      </x:c>
      <x:c r="D259" s="33" t="str">
        <x:v>{"Data":"qui., 13 de ago. de 2026","Impr.":"1.953","Visualizações públicas do YouTube":"1.932","Custo":"R$ 10,06","Cliques":"0"}</x:v>
      </x:c>
    </x:row>
    <x:row r="260" ht="24" customHeight="1">
      <x:c r="A260" s="32" t="str">
        <x:v>F003</x:v>
      </x:c>
      <x:c r="B260" s="32" t="str">
        <x:v>C01</x:v>
      </x:c>
      <x:c r="C260" s="32" t="n">
        <x:v>45</x:v>
      </x:c>
      <x:c r="D260" s="33" t="str">
        <x:v>{"Data":"sex., 14 de ago. de 2026","Impr.":"1.957","Visualizações públicas do YouTube":"1.940","Custo":"R$ 9,99","Cliques":"0"}</x:v>
      </x:c>
    </x:row>
    <x:row r="261" ht="24" customHeight="1">
      <x:c r="A261" s="32" t="str">
        <x:v>F003</x:v>
      </x:c>
      <x:c r="B261" s="32" t="str">
        <x:v>C01</x:v>
      </x:c>
      <x:c r="C261" s="32" t="n">
        <x:v>46</x:v>
      </x:c>
      <x:c r="D261" s="33" t="str">
        <x:v>{"Data":"sáb., 15 de ago. de 2026","Impr.":"2.232","Visualizações públicas do YouTube":"2.207","Custo":"R$ 10,03","Cliques":"0"}</x:v>
      </x:c>
    </x:row>
    <x:row r="262" ht="24" customHeight="1">
      <x:c r="A262" s="32" t="str">
        <x:v>F003</x:v>
      </x:c>
      <x:c r="B262" s="32" t="str">
        <x:v>C01</x:v>
      </x:c>
      <x:c r="C262" s="32" t="n">
        <x:v>47</x:v>
      </x:c>
      <x:c r="D262" s="33" t="str">
        <x:v>{"Data":"dom., 16 de ago. de 2026","Impr.":"2.051","Visualizações públicas do YouTube":"2.019","Custo":"R$ 10,01","Cliques":"0"}</x:v>
      </x:c>
    </x:row>
    <x:row r="263" ht="24" customHeight="1">
      <x:c r="A263" s="32" t="str">
        <x:v>F003</x:v>
      </x:c>
      <x:c r="B263" s="32" t="str">
        <x:v>C01</x:v>
      </x:c>
      <x:c r="C263" s="32" t="n">
        <x:v>48</x:v>
      </x:c>
      <x:c r="D263" s="33" t="str">
        <x:v>{"Data":"seg., 17 de ago. de 2026","Impr.":"1.848","Visualizações públicas do YouTube":"1.816","Custo":"R$ 9,86","Cliques":"2"}</x:v>
      </x:c>
    </x:row>
    <x:row r="264" ht="24" customHeight="1">
      <x:c r="A264" s="32" t="str">
        <x:v>F003</x:v>
      </x:c>
      <x:c r="B264" s="32" t="str">
        <x:v>C01</x:v>
      </x:c>
      <x:c r="C264" s="32" t="n">
        <x:v>49</x:v>
      </x:c>
      <x:c r="D264" s="33" t="str">
        <x:v>{"Data":"ter., 18 de ago. de 2026","Impr.":"1.731","Visualizações públicas do YouTube":"1.695","Custo":"R$ 9,98","Cliques":"0"}</x:v>
      </x:c>
    </x:row>
    <x:row r="265" ht="24" customHeight="1">
      <x:c r="A265" s="32" t="str">
        <x:v>F003</x:v>
      </x:c>
      <x:c r="B265" s="32" t="str">
        <x:v>C01</x:v>
      </x:c>
      <x:c r="C265" s="32" t="n">
        <x:v>50</x:v>
      </x:c>
      <x:c r="D265" s="33" t="str">
        <x:v>{"Data":"qua., 19 de ago. de 2026","Impr.":"1.965","Visualizações públicas do YouTube":"1.932","Custo":"R$ 9,86","Cliques":"2"}</x:v>
      </x:c>
    </x:row>
    <x:row r="266" ht="24" customHeight="1">
      <x:c r="A266" s="32" t="str">
        <x:v>F003</x:v>
      </x:c>
      <x:c r="B266" s="32" t="str">
        <x:v>C01</x:v>
      </x:c>
      <x:c r="C266" s="32" t="n">
        <x:v>51</x:v>
      </x:c>
      <x:c r="D266" s="33" t="str">
        <x:v>{"Data":"qui., 20 de ago. de 2026","Impr.":"1.730","Visualizações públicas do YouTube":"1.697","Custo":"R$ 9,86","Cliques":"0"}</x:v>
      </x:c>
    </x:row>
    <x:row r="267" ht="24" customHeight="1">
      <x:c r="A267" s="32" t="str">
        <x:v>F003</x:v>
      </x:c>
      <x:c r="B267" s="32" t="str">
        <x:v>C01</x:v>
      </x:c>
      <x:c r="C267" s="32" t="n">
        <x:v>52</x:v>
      </x:c>
      <x:c r="D267" s="33" t="str">
        <x:v>{"Data":"sex., 21 de ago. de 2026","Impr.":"1.850","Visualizações públicas do YouTube":"1.813","Custo":"R$ 9,79","Cliques":"0"}</x:v>
      </x:c>
    </x:row>
    <x:row r="268" ht="24" customHeight="1">
      <x:c r="A268" s="32" t="str">
        <x:v>F003</x:v>
      </x:c>
      <x:c r="B268" s="32" t="str">
        <x:v>C01</x:v>
      </x:c>
      <x:c r="C268" s="32" t="n">
        <x:v>53</x:v>
      </x:c>
      <x:c r="D268" s="33" t="str">
        <x:v>{"Data":"sáb., 22 de ago. de 2026","Impr.":"1.762","Visualizações públicas do YouTube":"1.742","Custo":"R$ 9,65","Cliques":"0"}</x:v>
      </x:c>
    </x:row>
    <x:row r="269" ht="24" customHeight="1">
      <x:c r="A269" s="32" t="str">
        <x:v>F003</x:v>
      </x:c>
      <x:c r="B269" s="32" t="str">
        <x:v>C01</x:v>
      </x:c>
      <x:c r="C269" s="32" t="n">
        <x:v>54</x:v>
      </x:c>
      <x:c r="D269" s="33" t="str">
        <x:v>{"Data":"dom., 23 de ago. de 2026","Impr.":"1.811","Visualizações públicas do YouTube":"1.785","Custo":"R$ 9,69","Cliques":"0"}</x:v>
      </x:c>
    </x:row>
    <x:row r="270" ht="24" customHeight="1">
      <x:c r="A270" s="32" t="str">
        <x:v>F003</x:v>
      </x:c>
      <x:c r="B270" s="32" t="str">
        <x:v>C01</x:v>
      </x:c>
      <x:c r="C270" s="32" t="n">
        <x:v>55</x:v>
      </x:c>
      <x:c r="D270" s="33" t="str">
        <x:v>{"Data":"seg., 24 de ago. de 2026","Impr.":"1.953","Visualizações públicas do YouTube":"1.927","Custo":"R$ 9,55","Cliques":"0"}</x:v>
      </x:c>
    </x:row>
    <x:row r="271" ht="24" customHeight="1">
      <x:c r="A271" s="32" t="str">
        <x:v>F003</x:v>
      </x:c>
      <x:c r="B271" s="32" t="str">
        <x:v>C01</x:v>
      </x:c>
      <x:c r="C271" s="32" t="n">
        <x:v>56</x:v>
      </x:c>
      <x:c r="D271" s="33" t="str">
        <x:v>{"Data":"ter., 25 de ago. de 2026","Impr.":"1.699","Visualizações públicas do YouTube":"1.667","Custo":"R$ 9,53","Cliques":"0"}</x:v>
      </x:c>
    </x:row>
    <x:row r="272" ht="24" customHeight="1">
      <x:c r="A272" s="32" t="str">
        <x:v>F003</x:v>
      </x:c>
      <x:c r="B272" s="32" t="str">
        <x:v>C01</x:v>
      </x:c>
      <x:c r="C272" s="32" t="n">
        <x:v>57</x:v>
      </x:c>
      <x:c r="D272" s="33" t="str">
        <x:v>{"Data":"qua., 26 de ago. de 2026","Impr.":"1.247","Visualizações públicas do YouTube":"1.235","Custo":"R$ 6,53","Cliques":"0"}</x:v>
      </x:c>
    </x:row>
    <x:row r="273" ht="24" customHeight="1">
      <x:c r="A273" s="32" t="str">
        <x:v>F003</x:v>
      </x:c>
      <x:c r="B273" s="32" t="str">
        <x:v>C01</x:v>
      </x:c>
      <x:c r="C273" s="32" t="n">
        <x:v>58</x:v>
      </x:c>
      <x:c r="D273" s="33" t="str">
        <x:v>{"Data":"qui., 27 de ago. de 2026","Impr.":"2.024","Visualizações públicas do YouTube":"1.938","Custo":"R$ 12,32","Cliques":"0"}</x:v>
      </x:c>
    </x:row>
    <x:row r="274" ht="24" customHeight="1">
      <x:c r="A274" s="32" t="str">
        <x:v>F003</x:v>
      </x:c>
      <x:c r="B274" s="32" t="str">
        <x:v>C01</x:v>
      </x:c>
      <x:c r="C274" s="32" t="n">
        <x:v>59</x:v>
      </x:c>
      <x:c r="D274" s="33" t="str">
        <x:v>{"Data":"sex., 28 de ago. de 2026","Impr.":"1.582","Visualizações públicas do YouTube":"1.494","Custo":"R$ 9,30","Cliques":"0"}</x:v>
      </x:c>
    </x:row>
    <x:row r="275" ht="24" customHeight="1">
      <x:c r="A275" s="32" t="str">
        <x:v>F003</x:v>
      </x:c>
      <x:c r="B275" s="32" t="str">
        <x:v>C01</x:v>
      </x:c>
      <x:c r="C275" s="32" t="n">
        <x:v>60</x:v>
      </x:c>
      <x:c r="D275" s="33" t="str">
        <x:v>{"Data":"sáb., 29 de ago. de 2026","Impr.":"1.597","Visualizações públicas do YouTube":"1.577","Custo":"R$ 9,22","Cliques":"0"}</x:v>
      </x:c>
    </x:row>
    <x:row r="276" ht="24" customHeight="1">
      <x:c r="A276" s="32" t="str">
        <x:v>F003</x:v>
      </x:c>
      <x:c r="B276" s="32" t="str">
        <x:v>C01</x:v>
      </x:c>
      <x:c r="C276" s="32" t="n">
        <x:v>61</x:v>
      </x:c>
      <x:c r="D276" s="33" t="str">
        <x:v>{"Data":"dom., 30 de ago. de 2026","Impr.":"1.582","Visualizações públicas do YouTube":"1.489","Custo":"R$ 9,01","Cliques":"0"}</x:v>
      </x:c>
    </x:row>
    <x:row r="277" ht="24" customHeight="1">
      <x:c r="A277" s="32" t="str">
        <x:v>F003</x:v>
      </x:c>
      <x:c r="B277" s="32" t="str">
        <x:v>C01</x:v>
      </x:c>
      <x:c r="C277" s="32" t="n">
        <x:v>62</x:v>
      </x:c>
      <x:c r="D277" s="33" t="str">
        <x:v>{"Data":"seg., 31 de ago. de 2026","Impr.":"1.351","Visualizações públicas do YouTube":"1.309","Custo":"R$ 8,20","Cliques":"0"}</x:v>
      </x:c>
    </x:row>
    <x:row r="278" ht="24" customHeight="1">
      <x:c r="A278" s="32" t="str">
        <x:v>F003</x:v>
      </x:c>
      <x:c r="B278" s="32" t="str">
        <x:v>C01</x:v>
      </x:c>
      <x:c r="C278" s="32" t="n">
        <x:v>63</x:v>
      </x:c>
      <x:c r="D278" s="33" t="str">
        <x:v>{"Data":"ter., 1 de set. de 2026","Impr.":"2.145","Visualizações públicas do YouTube":"2.127","Custo":"R$ 10,48","Cliques":"0"}</x:v>
      </x:c>
    </x:row>
    <x:row r="279" ht="24" customHeight="1">
      <x:c r="A279" s="32" t="str">
        <x:v>F003</x:v>
      </x:c>
      <x:c r="B279" s="32" t="str">
        <x:v>C01</x:v>
      </x:c>
      <x:c r="C279" s="32" t="n">
        <x:v>64</x:v>
      </x:c>
      <x:c r="D279" s="33" t="str">
        <x:v>{"Data":"qua., 2 de set. de 2026","Impr.":"1.901","Visualizações públicas do YouTube":"1.729","Custo":"R$ 10,53","Cliques":"1"}</x:v>
      </x:c>
    </x:row>
    <x:row r="280" ht="24" customHeight="1">
      <x:c r="A280" s="32" t="str">
        <x:v>F003</x:v>
      </x:c>
      <x:c r="B280" s="32" t="str">
        <x:v>C01</x:v>
      </x:c>
      <x:c r="C280" s="32" t="n">
        <x:v>65</x:v>
      </x:c>
      <x:c r="D280" s="33" t="str">
        <x:v>{"Data":"qui., 3 de set. de 2026","Impr.":"2.009","Visualizações públicas do YouTube":"1.965","Custo":"R$ 10,58","Cliques":"0"}</x:v>
      </x:c>
    </x:row>
    <x:row r="281" ht="24" customHeight="1">
      <x:c r="A281" s="32" t="str">
        <x:v>F003</x:v>
      </x:c>
      <x:c r="B281" s="32" t="str">
        <x:v>C01</x:v>
      </x:c>
      <x:c r="C281" s="32" t="n">
        <x:v>66</x:v>
      </x:c>
      <x:c r="D281" s="33" t="str">
        <x:v>{"Data":"sex., 4 de set. de 2026","Impr.":"2.197","Visualizações públicas do YouTube":"2.131","Custo":"R$ 10,39","Cliques":"0"}</x:v>
      </x:c>
    </x:row>
    <x:row r="282" ht="24" customHeight="1">
      <x:c r="A282" s="32" t="str">
        <x:v>F003</x:v>
      </x:c>
      <x:c r="B282" s="32" t="str">
        <x:v>C01</x:v>
      </x:c>
      <x:c r="C282" s="32" t="n">
        <x:v>67</x:v>
      </x:c>
      <x:c r="D282" s="33" t="str">
        <x:v>{"Data":"sáb., 5 de set. de 2026","Impr.":"2.157","Visualizações públicas do YouTube":"2.137","Custo":"R$ 10,52","Cliques":"0"}</x:v>
      </x:c>
    </x:row>
    <x:row r="283" ht="24" customHeight="1">
      <x:c r="A283" s="32" t="str">
        <x:v>F003</x:v>
      </x:c>
      <x:c r="B283" s="32" t="str">
        <x:v>C01</x:v>
      </x:c>
      <x:c r="C283" s="32" t="n">
        <x:v>68</x:v>
      </x:c>
      <x:c r="D283" s="33" t="str">
        <x:v>{"Data":"dom., 6 de set. de 2026","Impr.":"2.313","Visualizações públicas do YouTube":"2.201","Custo":"R$ 10,55","Cliques":"1"}</x:v>
      </x:c>
    </x:row>
    <x:row r="284" ht="24" customHeight="1">
      <x:c r="A284" s="32" t="str">
        <x:v>F003</x:v>
      </x:c>
      <x:c r="B284" s="32" t="str">
        <x:v>C01</x:v>
      </x:c>
      <x:c r="C284" s="32" t="n">
        <x:v>69</x:v>
      </x:c>
      <x:c r="D284" s="33" t="str">
        <x:v>{"Data":"seg., 7 de set. de 2026","Impr.":"2.202","Visualizações públicas do YouTube":"2.158","Custo":"R$ 10,59","Cliques":"2"}</x:v>
      </x:c>
    </x:row>
    <x:row r="285" ht="24" customHeight="1">
      <x:c r="A285" s="32" t="str">
        <x:v>F003</x:v>
      </x:c>
      <x:c r="B285" s="32" t="str">
        <x:v>C01</x:v>
      </x:c>
      <x:c r="C285" s="32" t="n">
        <x:v>70</x:v>
      </x:c>
      <x:c r="D285" s="33" t="str">
        <x:v>{"Data":"ter., 8 de set. de 2026","Impr.":"1.999","Visualizações públicas do YouTube":"1.844","Custo":"R$ 10,57","Cliques":"2"}</x:v>
      </x:c>
    </x:row>
    <x:row r="286" ht="24" customHeight="1">
      <x:c r="A286" s="32" t="str">
        <x:v>F003</x:v>
      </x:c>
      <x:c r="B286" s="32" t="str">
        <x:v>C01</x:v>
      </x:c>
      <x:c r="C286" s="32" t="n">
        <x:v>71</x:v>
      </x:c>
      <x:c r="D286" s="33" t="str">
        <x:v>{"Data":"qua., 9 de set. de 2026","Impr.":"2.358","Visualizações públicas do YouTube":"2.237","Custo":"R$ 10,47","Cliques":"0"}</x:v>
      </x:c>
    </x:row>
    <x:row r="287" ht="24" customHeight="1">
      <x:c r="A287" s="32" t="str">
        <x:v>F003</x:v>
      </x:c>
      <x:c r="B287" s="32" t="str">
        <x:v>C01</x:v>
      </x:c>
      <x:c r="C287" s="32" t="n">
        <x:v>72</x:v>
      </x:c>
      <x:c r="D287" s="33" t="str">
        <x:v>{"Data":"qui., 10 de set. de 2026","Impr.":"2.149","Visualizações públicas do YouTube":"1.943","Custo":"R$ 10,54","Cliques":"4"}</x:v>
      </x:c>
    </x:row>
    <x:row r="288" ht="24" customHeight="1">
      <x:c r="A288" s="32" t="str">
        <x:v>F003</x:v>
      </x:c>
      <x:c r="B288" s="32" t="str">
        <x:v>C01</x:v>
      </x:c>
      <x:c r="C288" s="32" t="n">
        <x:v>73</x:v>
      </x:c>
      <x:c r="D288" s="33" t="str">
        <x:v>{"Data":"sex., 11 de set. de 2026","Impr.":"2.113","Visualizações públicas do YouTube":"2.108","Custo":"R$ 10,44","Cliques":"0"}</x:v>
      </x:c>
    </x:row>
    <x:row r="289" ht="24" customHeight="1">
      <x:c r="A289" s="32" t="str">
        <x:v>F003</x:v>
      </x:c>
      <x:c r="B289" s="32" t="str">
        <x:v>C01</x:v>
      </x:c>
      <x:c r="C289" s="32" t="n">
        <x:v>74</x:v>
      </x:c>
      <x:c r="D289" s="33" t="str">
        <x:v>{"Data":"sáb., 12 de set. de 2026","Impr.":"2.126","Visualizações públicas do YouTube":"2.120","Custo":"R$ 10,41","Cliques":"0"}</x:v>
      </x:c>
    </x:row>
    <x:row r="290" ht="24" customHeight="1">
      <x:c r="A290" s="32" t="str">
        <x:v>F003</x:v>
      </x:c>
      <x:c r="B290" s="32" t="str">
        <x:v>C01</x:v>
      </x:c>
      <x:c r="C290" s="32" t="n">
        <x:v>75</x:v>
      </x:c>
      <x:c r="D290" s="33" t="str">
        <x:v>{"Data":"dom., 13 de set. de 2026","Impr.":"2.107","Visualizações públicas do YouTube":"2.097","Custo":"R$ 10,38","Cliques":"0"}</x:v>
      </x:c>
    </x:row>
    <x:row r="291" ht="24" customHeight="1">
      <x:c r="A291" s="32" t="str">
        <x:v>F003</x:v>
      </x:c>
      <x:c r="B291" s="32" t="str">
        <x:v>C01</x:v>
      </x:c>
      <x:c r="C291" s="32" t="n">
        <x:v>76</x:v>
      </x:c>
      <x:c r="D291" s="33" t="str">
        <x:v>{"Data":"seg., 14 de set. de 2026","Impr.":"2.031","Visualizações públicas do YouTube":"2.005","Custo":"R$ 10,36","Cliques":"0"}</x:v>
      </x:c>
    </x:row>
    <x:row r="292" ht="24" customHeight="1">
      <x:c r="A292" s="32" t="str">
        <x:v>F003</x:v>
      </x:c>
      <x:c r="B292" s="32" t="str">
        <x:v>C01</x:v>
      </x:c>
      <x:c r="C292" s="32" t="n">
        <x:v>77</x:v>
      </x:c>
      <x:c r="D292" s="33" t="str">
        <x:v>{"Data":"ter., 15 de set. de 2026","Impr.":"2.158","Visualizações públicas do YouTube":"2.145","Custo":"R$ 10,36","Cliques":"1"}</x:v>
      </x:c>
    </x:row>
    <x:row r="293" ht="24" customHeight="1">
      <x:c r="A293" s="32" t="str">
        <x:v>F003</x:v>
      </x:c>
      <x:c r="B293" s="32" t="str">
        <x:v>C01</x:v>
      </x:c>
      <x:c r="C293" s="32" t="n">
        <x:v>78</x:v>
      </x:c>
      <x:c r="D293" s="33" t="str">
        <x:v>{"Data":"qua., 16 de set. de 2026","Impr.":"2.048","Visualizações públicas do YouTube":"2.034","Custo":"R$ 10,28","Cliques":"0"}</x:v>
      </x:c>
    </x:row>
    <x:row r="294" ht="24" customHeight="1">
      <x:c r="A294" s="32" t="str">
        <x:v>F003</x:v>
      </x:c>
      <x:c r="B294" s="32" t="str">
        <x:v>C01</x:v>
      </x:c>
      <x:c r="C294" s="32" t="n">
        <x:v>79</x:v>
      </x:c>
      <x:c r="D294" s="33" t="str">
        <x:v>{"Data":"qui., 17 de set. de 2026","Impr.":"1.886","Visualizações públicas do YouTube":"1.879","Custo":"R$ 10,23","Cliques":"0"}</x:v>
      </x:c>
    </x:row>
    <x:row r="295" ht="24" customHeight="1">
      <x:c r="A295" s="32" t="str">
        <x:v>F003</x:v>
      </x:c>
      <x:c r="B295" s="32" t="str">
        <x:v>C01</x:v>
      </x:c>
      <x:c r="C295" s="32" t="n">
        <x:v>80</x:v>
      </x:c>
      <x:c r="D295" s="33" t="str">
        <x:v>{"Data":"sex., 18 de set. de 2026","Impr.":"1.788","Visualizações públicas do YouTube":"1.779","Custo":"R$ 10,19","Cliques":"0"}</x:v>
      </x:c>
    </x:row>
    <x:row r="296" ht="24" customHeight="1">
      <x:c r="A296" s="32" t="str">
        <x:v>F003</x:v>
      </x:c>
      <x:c r="B296" s="32" t="str">
        <x:v>C01</x:v>
      </x:c>
      <x:c r="C296" s="32" t="n">
        <x:v>81</x:v>
      </x:c>
      <x:c r="D296" s="33" t="str">
        <x:v>{"Data":"sáb., 19 de set. de 2026","Impr.":"1.944","Visualizações públicas do YouTube":"1.928","Custo":"R$ 10,18","Cliques":"0"}</x:v>
      </x:c>
    </x:row>
    <x:row r="297" ht="24" customHeight="1">
      <x:c r="A297" s="32" t="str">
        <x:v>F003</x:v>
      </x:c>
      <x:c r="B297" s="32" t="str">
        <x:v>C01</x:v>
      </x:c>
      <x:c r="C297" s="32" t="n">
        <x:v>82</x:v>
      </x:c>
      <x:c r="D297" s="33" t="str">
        <x:v>{"Data":"dom., 20 de set. de 2026","Impr.":"1.996","Visualizações públicas do YouTube":"1.987","Custo":"R$ 10,18","Cliques":"0"}</x:v>
      </x:c>
    </x:row>
    <x:row r="298" ht="24" customHeight="1">
      <x:c r="A298" s="32" t="str">
        <x:v>F003</x:v>
      </x:c>
      <x:c r="B298" s="32" t="str">
        <x:v>C01</x:v>
      </x:c>
      <x:c r="C298" s="32" t="n">
        <x:v>83</x:v>
      </x:c>
      <x:c r="D298" s="33" t="str">
        <x:v>{"Data":"seg., 21 de set. de 2026","Impr.":"2.112","Visualizações públicas do YouTube":"2.106","Custo":"R$ 10,06","Cliques":"0"}</x:v>
      </x:c>
    </x:row>
    <x:row r="299" ht="24" customHeight="1">
      <x:c r="A299" s="32" t="str">
        <x:v>F003</x:v>
      </x:c>
      <x:c r="B299" s="32" t="str">
        <x:v>C01</x:v>
      </x:c>
      <x:c r="C299" s="32" t="n">
        <x:v>84</x:v>
      </x:c>
      <x:c r="D299" s="33" t="str">
        <x:v>{"Data":"ter., 22 de set. de 2026","Impr.":"1.932","Visualizações públicas do YouTube":"1.919","Custo":"R$ 10,04","Cliques":"0"}</x:v>
      </x:c>
    </x:row>
    <x:row r="300" ht="24" customHeight="1">
      <x:c r="A300" s="32" t="str">
        <x:v>F003</x:v>
      </x:c>
      <x:c r="B300" s="32" t="str">
        <x:v>C01</x:v>
      </x:c>
      <x:c r="C300" s="32" t="n">
        <x:v>85</x:v>
      </x:c>
      <x:c r="D300" s="33" t="str">
        <x:v>{"Data":"qua., 23 de set. de 2026","Impr.":"2.071","Visualizações públicas do YouTube":"2.069","Custo":"R$ 9,95","Cliques":"1"}</x:v>
      </x:c>
    </x:row>
    <x:row r="301" ht="24" customHeight="1">
      <x:c r="A301" s="32" t="str">
        <x:v>F003</x:v>
      </x:c>
      <x:c r="B301" s="32" t="str">
        <x:v>C01</x:v>
      </x:c>
      <x:c r="C301" s="32" t="n">
        <x:v>86</x:v>
      </x:c>
      <x:c r="D301" s="33" t="str">
        <x:v>{"Data":"qui., 24 de set. de 2026","Impr.":"164","Visualizações públicas do YouTube":"163","Custo":"R$ 0,81","Cliques":"0"}</x:v>
      </x:c>
    </x:row>
    <x:row r="302" ht="24" customHeight="1">
      <x:c r="A302" s="32" t="str">
        <x:v>F003</x:v>
      </x:c>
      <x:c r="B302" s="32" t="str">
        <x:v>C01</x:v>
      </x:c>
      <x:c r="C302" s="32" t="n">
        <x:v>87</x:v>
      </x:c>
      <x:c r="D302" s="33" t="str">
        <x:v>{"Data":"sex., 25 de set. de 2026","Impr.":"6","Visualizações públicas do YouTube":"6","Custo":"R$ 0,03","Cliques":"0"}</x:v>
      </x:c>
    </x:row>
    <x:row r="303" ht="24" customHeight="1">
      <x:c r="A303" s="32" t="str">
        <x:v>F003</x:v>
      </x:c>
      <x:c r="B303" s="32" t="str">
        <x:v>C01</x:v>
      </x:c>
      <x:c r="C303" s="32" t="n">
        <x:v>88</x:v>
      </x:c>
      <x:c r="D303" s="33" t="str">
        <x:v>{"Data":"sáb., 26 de set. de 2026","Impr.":"0","Visualizações públicas do YouTube":"0","Custo":"R$ 0,00","Cliques":"0"}</x:v>
      </x:c>
    </x:row>
    <x:row r="304" ht="24" customHeight="1">
      <x:c r="A304" s="32" t="str">
        <x:v>F003</x:v>
      </x:c>
      <x:c r="B304" s="32" t="str">
        <x:v>C01</x:v>
      </x:c>
      <x:c r="C304" s="32" t="n">
        <x:v>89</x:v>
      </x:c>
      <x:c r="D304" s="33" t="str">
        <x:v>{"Data":"dom., 27 de set. de 2026","Impr.":"1","Visualizações públicas do YouTube":"1","Custo":"R$ 0,00","Cliques":"0"}</x:v>
      </x:c>
    </x:row>
    <x:row r="305" ht="24" customHeight="1">
      <x:c r="A305" s="32" t="str">
        <x:v>F003</x:v>
      </x:c>
      <x:c r="B305" s="32" t="str">
        <x:v>C01</x:v>
      </x:c>
      <x:c r="C305" s="32" t="n">
        <x:v>90</x:v>
      </x:c>
      <x:c r="D305" s="33" t="str">
        <x:v>{"Data":"seg., 28 de set. de 2026","Impr.":"0","Visualizações públicas do YouTube":"0","Custo":"R$ 0,00","Cliques":"0"}</x:v>
      </x:c>
    </x:row>
    <x:row r="306" ht="24" customHeight="1">
      <x:c r="A306" s="32" t="str">
        <x:v>F003</x:v>
      </x:c>
      <x:c r="B306" s="32" t="str">
        <x:v>C01</x:v>
      </x:c>
      <x:c r="C306" s="32" t="n">
        <x:v>91</x:v>
      </x:c>
      <x:c r="D306" s="33" t="str">
        <x:v>{"Data":"ter., 29 de set. de 2026","Impr.":"11","Visualizações públicas do YouTube":"11","Custo":"R$ 0,11","Cliques":"0"}</x:v>
      </x:c>
    </x:row>
    <x:row r="307" ht="24" customHeight="1">
      <x:c r="A307" s="32" t="str">
        <x:v>F003</x:v>
      </x:c>
      <x:c r="B307" s="32" t="str">
        <x:v>C01</x:v>
      </x:c>
      <x:c r="C307" s="32" t="n">
        <x:v>92</x:v>
      </x:c>
      <x:c r="D307" s="33" t="str">
        <x:v>{"Data":"qua., 30 de set. de 2026","Impr.":"0","Visualizações públicas do YouTube":"0","Custo":"R$ 0,00","Cliques":"0"}</x:v>
      </x:c>
    </x:row>
    <x:row r="308" ht="24" customHeight="1">
      <x:c r="A308" s="32" t="str">
        <x:v>F003</x:v>
      </x:c>
      <x:c r="B308" s="32" t="str">
        <x:v>C01</x:v>
      </x:c>
      <x:c r="C308" s="32" t="n">
        <x:v>93</x:v>
      </x:c>
      <x:c r="D308" s="33" t="str">
        <x:v>{"Data":"qui., 1 de out. de 2026","Impr.":"2.249","Visualizações públicas do YouTube":"2.244","Custo":"R$ 9,77","Cliques":"0"}</x:v>
      </x:c>
    </x:row>
    <x:row r="309" ht="24" customHeight="1">
      <x:c r="A309" s="32" t="str">
        <x:v>F003</x:v>
      </x:c>
      <x:c r="B309" s="32" t="str">
        <x:v>C01</x:v>
      </x:c>
      <x:c r="C309" s="32" t="n">
        <x:v>94</x:v>
      </x:c>
      <x:c r="D309" s="33" t="str">
        <x:v>{"Data":"sex., 2 de out. de 2026","Impr.":"2.457","Visualizações públicas do YouTube":"2.441","Custo":"R$ 10,32","Cliques":"2"}</x:v>
      </x:c>
    </x:row>
    <x:row r="310" ht="24" customHeight="1">
      <x:c r="A310" s="32" t="str">
        <x:v>F003</x:v>
      </x:c>
      <x:c r="B310" s="32" t="str">
        <x:v>C01</x:v>
      </x:c>
      <x:c r="C310" s="32" t="n">
        <x:v>95</x:v>
      </x:c>
      <x:c r="D310" s="33" t="str">
        <x:v>{"Data":"sáb., 3 de out. de 2026","Impr.":"2.213","Visualizações públicas do YouTube":"2.202","Custo":"R$ 10,33","Cliques":"0"}</x:v>
      </x:c>
    </x:row>
    <x:row r="311" ht="24" customHeight="1">
      <x:c r="A311" s="32" t="str">
        <x:v>F003</x:v>
      </x:c>
      <x:c r="B311" s="32" t="str">
        <x:v>C01</x:v>
      </x:c>
      <x:c r="C311" s="32" t="n">
        <x:v>96</x:v>
      </x:c>
      <x:c r="D311" s="33" t="str">
        <x:v>{"Data":"dom., 4 de out. de 2026","Impr.":"2.476","Visualizações públicas do YouTube":"2.445","Custo":"R$ 10,25","Cliques":"0"}</x:v>
      </x:c>
    </x:row>
    <x:row r="312" ht="24" customHeight="1">
      <x:c r="A312" s="32" t="str">
        <x:v>F003</x:v>
      </x:c>
      <x:c r="B312" s="32" t="str">
        <x:v>C01</x:v>
      </x:c>
      <x:c r="C312" s="32" t="n">
        <x:v>97</x:v>
      </x:c>
      <x:c r="D312" s="33" t="str">
        <x:v>{"Data":"seg., 5 de out. de 2026","Impr.":"2.647","Visualizações públicas do YouTube":"2.636","Custo":"R$ 10,23","Cliques":"0"}</x:v>
      </x:c>
    </x:row>
    <x:row r="313" ht="24" customHeight="1">
      <x:c r="A313" s="32" t="str">
        <x:v>F003</x:v>
      </x:c>
      <x:c r="B313" s="32" t="str">
        <x:v>C01</x:v>
      </x:c>
      <x:c r="C313" s="32" t="n">
        <x:v>98</x:v>
      </x:c>
      <x:c r="D313" s="33" t="str">
        <x:v>{"Data":"ter., 6 de out. de 2026","Impr.":"2.481","Visualizações públicas do YouTube":"2.436","Custo":"R$ 10,13","Cliques":"1"}</x:v>
      </x:c>
    </x:row>
    <x:row r="314" ht="24" customHeight="1">
      <x:c r="A314" s="32" t="str">
        <x:v>F003</x:v>
      </x:c>
      <x:c r="B314" s="32" t="str">
        <x:v>C01</x:v>
      </x:c>
      <x:c r="C314" s="32" t="n">
        <x:v>99</x:v>
      </x:c>
      <x:c r="D314" s="33" t="str">
        <x:v>{"Data":"qua., 7 de out. de 2026","Impr.":"2.401","Visualizações públicas do YouTube":"2.389","Custo":"R$ 10,20","Cliques":"0"}</x:v>
      </x:c>
    </x:row>
    <x:row r="315" ht="24" customHeight="1">
      <x:c r="A315" s="32" t="str">
        <x:v>F003</x:v>
      </x:c>
      <x:c r="B315" s="32" t="str">
        <x:v>C01</x:v>
      </x:c>
      <x:c r="C315" s="32" t="n">
        <x:v>100</x:v>
      </x:c>
      <x:c r="D315" s="33" t="str">
        <x:v>{"Data":"qui., 8 de out. de 2026","Impr.":"2.133","Visualizações públicas do YouTube":"2.121","Custo":"R$ 10,38","Cliques":"2"}</x:v>
      </x:c>
    </x:row>
    <x:row r="316" ht="24" customHeight="1">
      <x:c r="A316" s="32" t="str">
        <x:v>F003</x:v>
      </x:c>
      <x:c r="B316" s="32" t="str">
        <x:v>C01</x:v>
      </x:c>
      <x:c r="C316" s="32" t="n">
        <x:v>101</x:v>
      </x:c>
      <x:c r="D316" s="33" t="str">
        <x:v>{"Data":"sex., 9 de out. de 2026","Impr.":"2.525","Visualizações públicas do YouTube":"2.508","Custo":"R$ 10,32","Cliques":"0"}</x:v>
      </x:c>
    </x:row>
    <x:row r="317" ht="24" customHeight="1">
      <x:c r="A317" s="32" t="str">
        <x:v>F003</x:v>
      </x:c>
      <x:c r="B317" s="32" t="str">
        <x:v>C01</x:v>
      </x:c>
      <x:c r="C317" s="32" t="n">
        <x:v>102</x:v>
      </x:c>
      <x:c r="D317" s="33" t="str">
        <x:v>{"Data":"sáb., 10 de out. de 2026","Impr.":"2.409","Visualizações públicas do YouTube":"2.398","Custo":"R$ 10,10","Cliques":"0"}</x:v>
      </x:c>
    </x:row>
    <x:row r="318" ht="24" customHeight="1">
      <x:c r="A318" s="32" t="str">
        <x:v>F003</x:v>
      </x:c>
      <x:c r="B318" s="32" t="str">
        <x:v>C01</x:v>
      </x:c>
      <x:c r="C318" s="32" t="n">
        <x:v>103</x:v>
      </x:c>
      <x:c r="D318" s="33" t="str">
        <x:v>{"Data":"dom., 11 de out. de 2026","Impr.":"2.212","Visualizações públicas do YouTube":"2.205","Custo":"R$ 10,12","Cliques":"0"}</x:v>
      </x:c>
    </x:row>
    <x:row r="319" ht="24" customHeight="1">
      <x:c r="A319" s="32" t="str">
        <x:v>F003</x:v>
      </x:c>
      <x:c r="B319" s="32" t="str">
        <x:v>C01</x:v>
      </x:c>
      <x:c r="C319" s="32" t="n">
        <x:v>104</x:v>
      </x:c>
      <x:c r="D319" s="33" t="str">
        <x:v>{"Data":"seg., 12 de out. de 2026","Impr.":"2.474","Visualizações públicas do YouTube":"2.457","Custo":"R$ 10,10","Cliques":"0"}</x:v>
      </x:c>
    </x:row>
    <x:row r="320" ht="24" customHeight="1">
      <x:c r="A320" s="32" t="str">
        <x:v>F003</x:v>
      </x:c>
      <x:c r="B320" s="32" t="str">
        <x:v>C01</x:v>
      </x:c>
      <x:c r="C320" s="32" t="n">
        <x:v>105</x:v>
      </x:c>
      <x:c r="D320" s="33" t="str">
        <x:v>{"Data":"ter., 13 de out. de 2026","Impr.":"2.379","Visualizações públicas do YouTube":"2.372","Custo":"R$ 10,06","Cliques":"0"}</x:v>
      </x:c>
    </x:row>
    <x:row r="321" ht="159" customHeight="1">
      <x:c r="A321" s="32" t="str">
        <x:v>F004</x:v>
      </x:c>
      <x:c r="B321" s="32" t="str">
        <x:v>C01</x:v>
      </x:c>
      <x:c r="C321" s="32" t="n">
        <x:v>1</x:v>
      </x:c>
      <x:c r="D321" s="33" t="str">
        <x:v>{"Status do anúncio":"Ativado","URL final":"https://www.instagram.com/alimentoscacarola/","URLs de beacon":" --","Título":" --","Título longo 1":"Feito por Famílias do Campo","Título longo 2":" --","Título longo 3":" --","Título longo 4":" --","Título longo 5":" --","Título 1":" --","Título 2":" --","Título 3":" --","Título 4":" --","Título 5":" --","Descrição 1":"A origem do amor","Descrição 2":" --","Descrição 3":" --","Descrição 4":" --","Descrição 5":" --","Código do logotipo":"397701685159","Nome da empresa":"Alimentos Caçarola","Texto de call-to-action":" --","Texto de call-to-action 1":" --","Texto de call-to-action 2":" --","Texto de call-to-action 3":" --","Texto de call-to-action 4":" --","Texto de call-to-action 5":" --","Título da call-to-action":" --","ID do vídeo":"397701676795","Banner complementar":" --","Nome do anúncio":"A origem do amor","ad.display_url":" --","Caminho 1":" --","Caminho 2":" --","URL final para dispositivos móveis":"","Modelo de rastreamento":" --","Sufixo do URL final":" --","Parâmetro personalizado":"","Grupo de anúncios":"Vídeo 01","Status":"Qualificado","Motivos do status":"","Tipo de anúncio":"Anúncio responsivo em vídeo","Impr.":"153.603","Visualizações do TrueView":"88.639","Código da moeda":"BRL","CPV médio do TrueView":"0,01","Custo":"775,98","Vídeo":"https://www.youtube.com/watch?v=1OC1sZmtrXk","Taxa de conv.":"0,00%","Conversões":"0,00","Custo / conv.":"0,00"}</x:v>
      </x:c>
    </x:row>
    <x:row r="322" ht="144" customHeight="1">
      <x:c r="A322" s="32" t="str">
        <x:v>F004</x:v>
      </x:c>
      <x:c r="B322" s="32" t="str">
        <x:v>C01</x:v>
      </x:c>
      <x:c r="C322" s="32" t="n">
        <x:v>2</x:v>
      </x:c>
      <x:c r="D322" s="33" t="str">
        <x:v>{"Status do anúncio":"Total: Todos os anúncios, exceto os removidos","URL final":"","URLs de beacon":" --","Título":" --","Título longo 1":" --","Título longo 2":" --","Título longo 3":" --","Título longo 4":" --","Título longo 5":" --","Título 1":" --","Título 2":" --","Título 3":" --","Título 4":" --","Título 5":" --","Descrição 1":" --","Descrição 2":" --","Descrição 3":" --","Descrição 4":" --","Descrição 5":" --","Código do logotipo":" --","Nome da empresa":" --","Texto de call-to-action":" --","Texto de call-to-action 1":" --","Texto de call-to-action 2":" --","Texto de call-to-action 3":" --","Texto de call-to-action 4":" --","Texto de call-to-action 5":" --","Título da call-to-action":" --","ID do vídeo":" --","Banner complementar":" --","Nome do anúncio":" --","ad.display_url":" --","Caminho 1":" --","Caminho 2":" --","URL final para dispositivos móveis":"","Modelo de rastreamento":" --","Sufixo do URL final":" --","Parâmetro personalizado":" --","Grupo de anúncios":" --","Status":" --","Motivos do status":"","Tipo de anúncio":" --","Impr.":"153.603","Visualizações do TrueView":"88.639","Código da moeda":"BRL","CPV médio do TrueView":"0,01","Custo":"775,98","Vídeo":" --","Taxa de conv.":"0,00%","Conversões":"0,00","Custo / conv.":"0,00"}</x:v>
      </x:c>
    </x:row>
    <x:row r="323" ht="129" customHeight="1">
      <x:c r="A323" s="32" t="str">
        <x:v>F004</x:v>
      </x:c>
      <x:c r="B323" s="32" t="str">
        <x:v>C01</x:v>
      </x:c>
      <x:c r="C323" s="32" t="n">
        <x:v>3</x:v>
      </x:c>
      <x:c r="D323" s="33" t="str">
        <x:v>{"Status do anúncio":"Total: Campanha","URL final":"","URLs de beacon":"","Título":"","Título longo 1":"","Título longo 2":"","Título longo 3":"","Título longo 4":"","Título longo 5":"","Título 1":"","Título 2":"","Título 3":"","Título 4":"","Título 5":"","Descrição 1":"","Descrição 2":"","Descrição 3":"","Descrição 4":"","Descrição 5":"","Código do logotipo":"","Nome da empresa":"","Texto de call-to-action":"","Texto de call-to-action 1":"","Texto de call-to-action 2":"","Texto de call-to-action 3":"","Texto de call-to-action 4":"","Texto de call-to-action 5":"","Título da call-to-action":"","ID do vídeo":"","Banner complementar":"","Nome do anúncio":"","ad.display_url":"","Caminho 1":"","Caminho 2":"","URL final para dispositivos móveis":"","Modelo de rastreamento":"","Sufixo do URL final":"","Parâmetro personalizado":"","Grupo de anúncios":"","Status":"","Motivos do status":"","Tipo de anúncio":"","Impr.":"153.603","Visualizações do TrueView":"88.639","Código da moeda":"BRL","CPV médio do TrueView":"0,01","Custo":"775,98","Vídeo":"","Taxa de conv.":"0,00%","Conversões":"0,00","Custo / conv.":"0,00"}</x:v>
      </x:c>
    </x:row>
    <x:row r="324" ht="69" customHeight="1">
      <x:c r="A324" s="32" t="str">
        <x:v>F005</x:v>
      </x:c>
      <x:c r="B324" s="32" t="str">
        <x:v>C01</x:v>
      </x:c>
      <x:c r="C324" s="32" t="n">
        <x:v>1</x:v>
      </x:c>
      <x:c r="D324" s="33" t="str">
        <x:v>{"Status da campanha":"Ativada","Campanha":"YT - Arrozes especiais Bahia 01","Orçamento":"10,00","Nome do orçamento":" --","Tipo de orçamento":"Diário","Código da moeda":"BRL","Status":"Qualificado (limitado)","Motivos do status":"limitado pelo orçamento","Pontuação de otimização":"59,42","Subtipo da campanha":"Exibições de vídeos","Tipo de campanha":"Vídeo","Usuários exclusivos":"","Impr.":"153.603","Visualizações do TrueView":"88.639","CPM médio":"5,05","CPV médio do TrueView":"0,01","Custo":"775,98","Marcações com \"Gostei\"":"0","Comentários":"0","Shares":"0"}</x:v>
      </x:c>
    </x:row>
    <x:row r="325" ht="69" customHeight="1">
      <x:c r="A325" s="32" t="str">
        <x:v>F005</x:v>
      </x:c>
      <x:c r="B325" s="32" t="str">
        <x:v>C01</x:v>
      </x:c>
      <x:c r="C325" s="32" t="n">
        <x:v>2</x:v>
      </x:c>
      <x:c r="D325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exclusivos":"","Impr.":"153.603","Visualizações do TrueView":"88.639","CPM médio":"5,05","CPV médio do TrueView":"0,01","Custo":"775,98","Marcações com \"Gostei\"":"0","Comentários":"0","Shares":"0"}</x:v>
      </x:c>
    </x:row>
    <x:row r="326" ht="54" customHeight="1">
      <x:c r="A326" s="32" t="str">
        <x:v>F005</x:v>
      </x:c>
      <x:c r="B326" s="32" t="str">
        <x:v>C01</x:v>
      </x:c>
      <x:c r="C326" s="32" t="n">
        <x:v>3</x:v>
      </x:c>
      <x:c r="D326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exclusivos":"","Impr.":"153.603","Visualizações do TrueView":"88.639","CPM médio":"5,05","CPV médio do TrueView":"0,01","Custo":"775,98","Marcações com \"Gostei\"":"0","Comentários":"0","Shares":"0"}</x:v>
      </x:c>
    </x:row>
    <x:row r="327" ht="54" customHeight="1">
      <x:c r="A327" s="32" t="str">
        <x:v>F006</x:v>
      </x:c>
      <x:c r="B327" s="32" t="str">
        <x:v>C01</x:v>
      </x:c>
      <x:c r="C327" s="32" t="n">
        <x:v>1</x:v>
      </x:c>
      <x:c r="D327" s="33" t="str">
        <x:v>{"Dispositivo":"Telas de TV","Nível":"Campanha","Campanha":"YT - Arrozes especiais Bahia 01","Grupo de anúncios":" --","Ajuste de lance":" --","Aj. de lance do grupo de anúncios":"Nenhum","Impr.":"134.408","Visualizações do TrueView":"80.148","Taxa de visualização do TrueView":"59,63%","Código da moeda":"BRL","CPV médio do TrueView":"0,01","Custo":"649,37","Taxa de conv.":"0,00%","Conversões":"0,00","Custo / conv.":"0,00"}</x:v>
      </x:c>
    </x:row>
    <x:row r="328" ht="54" customHeight="1">
      <x:c r="A328" s="32" t="str">
        <x:v>F006</x:v>
      </x:c>
      <x:c r="B328" s="32" t="str">
        <x:v>C01</x:v>
      </x:c>
      <x:c r="C328" s="32" t="n">
        <x:v>2</x:v>
      </x:c>
      <x:c r="D328" s="33" t="str">
        <x:v>{"Dispositivo":"Smartphones","Nível":"Campanha","Campanha":"YT - Arrozes especiais Bahia 01","Grupo de anúncios":" --","Ajuste de lance":" --","Aj. de lance do grupo de anúncios":"Nenhum","Impr.":"14.173","Visualizações do TrueView":"5.437","Taxa de visualização do TrueView":"38,36%","Código da moeda":"BRL","CPV médio do TrueView":"0,02","Custo":"91,66","Taxa de conv.":"0,00%","Conversões":"0,00","Custo / conv.":"0,00"}</x:v>
      </x:c>
    </x:row>
    <x:row r="329" ht="54" customHeight="1">
      <x:c r="A329" s="32" t="str">
        <x:v>F006</x:v>
      </x:c>
      <x:c r="B329" s="32" t="str">
        <x:v>C01</x:v>
      </x:c>
      <x:c r="C329" s="32" t="n">
        <x:v>3</x:v>
      </x:c>
      <x:c r="D329" s="33" t="str">
        <x:v>{"Dispositivo":"Tablets","Nível":"Campanha","Campanha":"YT - Arrozes especiais Bahia 01","Grupo de anúncios":" --","Ajuste de lance":" --","Aj. de lance do grupo de anúncios":"Nenhum","Impr.":"1.055","Visualizações do TrueView":"454","Taxa de visualização do TrueView":"43,03%","Código da moeda":"BRL","CPV médio do TrueView":"0,01","Custo":"5,86","Taxa de conv.":"0,00%","Conversões":"0,00","Custo / conv.":"0,00"}</x:v>
      </x:c>
    </x:row>
    <x:row r="330" ht="54" customHeight="1">
      <x:c r="A330" s="32" t="str">
        <x:v>F006</x:v>
      </x:c>
      <x:c r="B330" s="32" t="str">
        <x:v>C01</x:v>
      </x:c>
      <x:c r="C330" s="32" t="n">
        <x:v>4</x:v>
      </x:c>
      <x:c r="D330" s="33" t="str">
        <x:v>{"Dispositivo":"Computadores","Nível":"Campanha","Campanha":"YT - Arrozes especiais Bahia 01","Grupo de anúncios":" --","Ajuste de lance":" --","Aj. de lance do grupo de anúncios":"Nenhum","Impr.":"3.967","Visualizações do TrueView":"2.600","Taxa de visualização do TrueView":"65,54%","Código da moeda":"BRL","CPV médio do TrueView":"0,01","Custo":"29,08","Taxa de conv.":"0,00%","Conversões":"0,00","Custo / conv.":"0,00"}</x:v>
      </x:c>
    </x:row>
    <x:row r="331" ht="54" customHeight="1">
      <x:c r="A331" s="32" t="str">
        <x:v>F006</x:v>
      </x:c>
      <x:c r="B331" s="32" t="str">
        <x:v>C01</x:v>
      </x:c>
      <x:c r="C331" s="32" t="n">
        <x:v>5</x:v>
      </x:c>
      <x:c r="D331" s="33" t="str">
        <x:v>{"Dispositivo":"Total: Campanha","Nível":"","Campanha":"","Grupo de anúncios":"","Ajuste de lance":"","Aj. de lance do grupo de anúncios":"","Impr.":"153.603","Visualizações do TrueView":"88.639","Taxa de visualização do TrueView":"57,71%","Código da moeda":"BRL","CPV médio do TrueView":"0,01","Custo":"775,98","Taxa de conv.":"0,00%","Conversões":"0,00","Custo / conv.":"0,00"}</x:v>
      </x:c>
    </x:row>
    <x:row r="332" ht="39" customHeight="1">
      <x:c r="A332" s="32" t="str">
        <x:v>F007</x:v>
      </x:c>
      <x:c r="B332" s="32" t="str">
        <x:v>C01</x:v>
      </x:c>
      <x:c r="C332" s="32" t="n">
        <x:v>1</x:v>
      </x:c>
      <x:c r="D332" s="33" t="str">
        <x:v>{"Local":"15,0|km|São Félix,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333" ht="39" customHeight="1">
      <x:c r="A333" s="32" t="str">
        <x:v>F007</x:v>
      </x:c>
      <x:c r="B333" s="32" t="str">
        <x:v>C01</x:v>
      </x:c>
      <x:c r="C333" s="32" t="n">
        <x:v>2</x:v>
      </x:c>
      <x:c r="D333" s="33" t="str">
        <x:v>{"Local":"15,0|km|Nazaré, BA","Ajuste de lance":" --","Impr.":"741","Visualizações do TrueView":"436","Taxa de visualização do TrueView":"58,84%","Código da moeda":"BRL","Custo":"4,00","CPM médio":"5,39","Taxa de conv.":"0,00%","Conversões":"0,00","Custo / conv.":"0,00"}</x:v>
      </x:c>
    </x:row>
    <x:row r="334" ht="39" customHeight="1">
      <x:c r="A334" s="32" t="str">
        <x:v>F007</x:v>
      </x:c>
      <x:c r="B334" s="32" t="str">
        <x:v>C01</x:v>
      </x:c>
      <x:c r="C334" s="32" t="n">
        <x:v>3</x:v>
      </x:c>
      <x:c r="D334" s="33" t="str">
        <x:v>{"Local":"15,0|km|Jaguaripe, BA","Ajuste de lance":" --","Impr.":"528","Visualizações do TrueView":"317","Taxa de visualização do TrueView":"60,04%","Código da moeda":"BRL","Custo":"2,69","CPM médio":"5,10","Taxa de conv.":"0,00%","Conversões":"0,00","Custo / conv.":"0,00"}</x:v>
      </x:c>
    </x:row>
    <x:row r="335" ht="39" customHeight="1">
      <x:c r="A335" s="32" t="str">
        <x:v>F007</x:v>
      </x:c>
      <x:c r="B335" s="32" t="str">
        <x:v>C01</x:v>
      </x:c>
      <x:c r="C335" s="32" t="n">
        <x:v>4</x:v>
      </x:c>
      <x:c r="D335" s="33" t="str">
        <x:v>{"Local":"Santo Antônio de Jesus, Bahia, Brasil","Ajuste de lance":" --","Impr.":"7.336","Visualizações do TrueView":"4.362","Taxa de visualização do TrueView":"59,46%","Código da moeda":"BRL","Custo":"37,08","CPM médio":"5,05","Taxa de conv.":"0,00%","Conversões":"0,00","Custo / conv.":"0,00"}</x:v>
      </x:c>
    </x:row>
    <x:row r="336" ht="39" customHeight="1">
      <x:c r="A336" s="32" t="str">
        <x:v>F007</x:v>
      </x:c>
      <x:c r="B336" s="32" t="str">
        <x:v>C01</x:v>
      </x:c>
      <x:c r="C336" s="32" t="n">
        <x:v>5</x:v>
      </x:c>
      <x:c r="D336" s="33" t="str">
        <x:v>{"Local":"Camaçari, Bahia, Brasil","Ajuste de lance":" --","Impr.":"19.558","Visualizações do TrueView":"11.521","Taxa de visualização do TrueView":"58,91%","Código da moeda":"BRL","Custo":"95,34","CPM médio":"4,87","Taxa de conv.":"0,00%","Conversões":"0,00","Custo / conv.":"0,00"}</x:v>
      </x:c>
    </x:row>
    <x:row r="337" ht="39" customHeight="1">
      <x:c r="A337" s="32" t="str">
        <x:v>F007</x:v>
      </x:c>
      <x:c r="B337" s="32" t="str">
        <x:v>C01</x:v>
      </x:c>
      <x:c r="C337" s="32" t="n">
        <x:v>6</x:v>
      </x:c>
      <x:c r="D337" s="33" t="str">
        <x:v>{"Local":"15,0|km|Governador Mangabeira, BA","Ajuste de lance":" --","Impr.":"58","Visualizações do TrueView":"7","Taxa de visualização do TrueView":"12,07%","Código da moeda":"BRL","Custo":"0,28","CPM médio":"4,84","Taxa de conv.":"0,00%","Conversões":"0,00","Custo / conv.":"0,00"}</x:v>
      </x:c>
    </x:row>
    <x:row r="338" ht="39" customHeight="1">
      <x:c r="A338" s="32" t="str">
        <x:v>F007</x:v>
      </x:c>
      <x:c r="B338" s="32" t="str">
        <x:v>C01</x:v>
      </x:c>
      <x:c r="C338" s="32" t="n">
        <x:v>7</x:v>
      </x:c>
      <x:c r="D338" s="33" t="str">
        <x:v>{"Local":"Cruz das Almas, Bahia, Brasil","Ajuste de lance":" --","Impr.":"5.020","Visualizações do TrueView":"2.923","Taxa de visualização do TrueView":"58,23%","Código da moeda":"BRL","Custo":"24,19","CPM médio":"4,82","Taxa de conv.":"0,00%","Conversões":"0,00","Custo / conv.":"0,00"}</x:v>
      </x:c>
    </x:row>
    <x:row r="339" ht="39" customHeight="1">
      <x:c r="A339" s="32" t="str">
        <x:v>F007</x:v>
      </x:c>
      <x:c r="B339" s="32" t="str">
        <x:v>C01</x:v>
      </x:c>
      <x:c r="C339" s="32" t="n">
        <x:v>8</x:v>
      </x:c>
      <x:c r="D339" s="33" t="str">
        <x:v>{"Local":"Madre de Deus, Bahia, Brasil","Ajuste de lance":" --","Impr.":"740","Visualizações do TrueView":"421","Taxa de visualização do TrueView":"56,89%","Código da moeda":"BRL","Custo":"3,73","CPM médio":"5,04","Taxa de conv.":"0,00%","Conversões":"0,00","Custo / conv.":"0,00"}</x:v>
      </x:c>
    </x:row>
    <x:row r="340" ht="39" customHeight="1">
      <x:c r="A340" s="32" t="str">
        <x:v>F007</x:v>
      </x:c>
      <x:c r="B340" s="32" t="str">
        <x:v>C01</x:v>
      </x:c>
      <x:c r="C340" s="32" t="n">
        <x:v>9</x:v>
      </x:c>
      <x:c r="D340" s="33" t="str">
        <x:v>{"Local":"15,0|km|Varzedo, BA","Ajuste de lance":" --","Impr.":"1","Visualizações do TrueView":"1","Taxa de visualização do TrueView":"100,00%","Código da moeda":"BRL","Custo":"0,01","CPM médio":"13,70","Taxa de conv.":"0,00%","Conversões":"0,00","Custo / conv.":"0,00"}</x:v>
      </x:c>
    </x:row>
    <x:row r="341" ht="39" customHeight="1">
      <x:c r="A341" s="32" t="str">
        <x:v>F007</x:v>
      </x:c>
      <x:c r="B341" s="32" t="str">
        <x:v>C01</x:v>
      </x:c>
      <x:c r="C341" s="32" t="n">
        <x:v>10</x:v>
      </x:c>
      <x:c r="D341" s="33" t="str">
        <x:v>{"Local":"15,0|km|Conceição do Almeida,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342" ht="39" customHeight="1">
      <x:c r="A342" s="32" t="str">
        <x:v>F007</x:v>
      </x:c>
      <x:c r="B342" s="32" t="str">
        <x:v>C01</x:v>
      </x:c>
      <x:c r="C342" s="32" t="n">
        <x:v>11</x:v>
      </x:c>
      <x:c r="D342" s="33" t="str">
        <x:v>{"Local":"15,0|km|Cabaceiras do Paraguaçu, BA","Ajuste de lance":" --","Impr.":"2.297","Visualizações do TrueView":"1.340","Taxa de visualização do TrueView":"58,34%","Código da moeda":"BRL","Custo":"11,89","CPM médio":"5,18","Taxa de conv.":"0,00%","Conversões":"0,00","Custo / conv.":"0,00"}</x:v>
      </x:c>
    </x:row>
    <x:row r="343" ht="39" customHeight="1">
      <x:c r="A343" s="32" t="str">
        <x:v>F007</x:v>
      </x:c>
      <x:c r="B343" s="32" t="str">
        <x:v>C01</x:v>
      </x:c>
      <x:c r="C343" s="32" t="n">
        <x:v>12</x:v>
      </x:c>
      <x:c r="D343" s="33" t="str">
        <x:v>{"Local":"15,0|km|Terra Nova, BA","Ajuste de lance":" --","Impr.":"5","Visualizações do TrueView":"5","Taxa de visualização do TrueView":"100,00%","Código da moeda":"BRL","Custo":"0,23","CPM médio":"45,31","Taxa de conv.":"0,00%","Conversões":"0,00","Custo / conv.":"0,00"}</x:v>
      </x:c>
    </x:row>
    <x:row r="344" ht="39" customHeight="1">
      <x:c r="A344" s="32" t="str">
        <x:v>F007</x:v>
      </x:c>
      <x:c r="B344" s="32" t="str">
        <x:v>C01</x:v>
      </x:c>
      <x:c r="C344" s="32" t="n">
        <x:v>13</x:v>
      </x:c>
      <x:c r="D344" s="33" t="str">
        <x:v>{"Local":"Simões Filho, Bahia, Brasil","Ajuste de lance":" --","Impr.":"5.677","Visualizações do TrueView":"3.462","Taxa de visualização do TrueView":"60,98%","Código da moeda":"BRL","Custo":"28,43","CPM médio":"5,01","Taxa de conv.":"0,00%","Conversões":"0,00","Custo / conv.":"0,00"}</x:v>
      </x:c>
    </x:row>
    <x:row r="345" ht="39" customHeight="1">
      <x:c r="A345" s="32" t="str">
        <x:v>F007</x:v>
      </x:c>
      <x:c r="B345" s="32" t="str">
        <x:v>C01</x:v>
      </x:c>
      <x:c r="C345" s="32" t="n">
        <x:v>14</x:v>
      </x:c>
      <x:c r="D345" s="33" t="str">
        <x:v>{"Local":"15,0|km|Sapeaçu, BA","Ajuste de lance":" --","Impr.":"17","Visualizações do TrueView":"0","Taxa de visualização do TrueView":"0,00%","Código da moeda":"BRL","Custo":"0,00","CPM médio":"0,00","Taxa de conv.":"0,00%","Conversões":"0,00","Custo / conv.":"0,00"}</x:v>
      </x:c>
    </x:row>
    <x:row r="346" ht="39" customHeight="1">
      <x:c r="A346" s="32" t="str">
        <x:v>F007</x:v>
      </x:c>
      <x:c r="B346" s="32" t="str">
        <x:v>C01</x:v>
      </x:c>
      <x:c r="C346" s="32" t="n">
        <x:v>15</x:v>
      </x:c>
      <x:c r="D346" s="33" t="str">
        <x:v>{"Local":"15,0|km|Muniz Ferreira, BA","Ajuste de lance":" --","Impr.":"1","Visualizações do TrueView":"0","Taxa de visualização do TrueView":"0,00%","Código da moeda":"BRL","Custo":"0,00","CPM médio":"0,00","Taxa de conv.":"0,00%","Conversões":"0,00","Custo / conv.":"0,00"}</x:v>
      </x:c>
    </x:row>
    <x:row r="347" ht="39" customHeight="1">
      <x:c r="A347" s="32" t="str">
        <x:v>F007</x:v>
      </x:c>
      <x:c r="B347" s="32" t="str">
        <x:v>C01</x:v>
      </x:c>
      <x:c r="C347" s="32" t="n">
        <x:v>16</x:v>
      </x:c>
      <x:c r="D347" s="33" t="str">
        <x:v>{"Local":"São Francisco do Conde, Bahia, Brasil","Ajuste de lance":" --","Impr.":"1.508","Visualizações do TrueView":"884","Taxa de visualização do TrueView":"58,62%","Código da moeda":"BRL","Custo":"7,21","CPM médio":"4,78","Taxa de conv.":"0,00%","Conversões":"0,00","Custo / conv.":"0,00"}</x:v>
      </x:c>
    </x:row>
    <x:row r="348" ht="39" customHeight="1">
      <x:c r="A348" s="32" t="str">
        <x:v>F007</x:v>
      </x:c>
      <x:c r="B348" s="32" t="str">
        <x:v>C01</x:v>
      </x:c>
      <x:c r="C348" s="32" t="n">
        <x:v>17</x:v>
      </x:c>
      <x:c r="D348" s="33" t="str">
        <x:v>{"Local":"15,0|km|Muritiba, BA","Ajuste de lance":" --","Impr.":"5","Visualizações do TrueView":"0","Taxa de visualização do TrueView":"0,00%","Código da moeda":"BRL","Custo":"0,00","CPM médio":"0,00","Taxa de conv.":"0,00%","Conversões":"0,00","Custo / conv.":"0,00"}</x:v>
      </x:c>
    </x:row>
    <x:row r="349" ht="39" customHeight="1">
      <x:c r="A349" s="32" t="str">
        <x:v>F007</x:v>
      </x:c>
      <x:c r="B349" s="32" t="str">
        <x:v>C01</x:v>
      </x:c>
      <x:c r="C349" s="32" t="n">
        <x:v>18</x:v>
      </x:c>
      <x:c r="D349" s="33" t="str">
        <x:v>{"Local":"Candeias, Bahia, Brasil","Ajuste de lance":" --","Impr.":"4.852","Visualizações do TrueView":"2.800","Taxa de visualização do TrueView":"57,71%","Código da moeda":"BRL","Custo":"23,28","CPM médio":"4,80","Taxa de conv.":"0,00%","Conversões":"0,00","Custo / conv.":"0,00"}</x:v>
      </x:c>
    </x:row>
    <x:row r="350" ht="39" customHeight="1">
      <x:c r="A350" s="32" t="str">
        <x:v>F007</x:v>
      </x:c>
      <x:c r="B350" s="32" t="str">
        <x:v>C01</x:v>
      </x:c>
      <x:c r="C350" s="32" t="n">
        <x:v>19</x:v>
      </x:c>
      <x:c r="D350" s="33" t="str">
        <x:v>{"Local":"15,0|km|Amélia Rodrigues, BA","Ajuste de lance":" --","Impr.":"2.341","Visualizações do TrueView":"1.304","Taxa de visualização do TrueView":"55,70%","Código da moeda":"BRL","Custo":"11,52","CPM médio":"4,92","Taxa de conv.":"0,00%","Conversões":"0,00","Custo / conv.":"0,00"}</x:v>
      </x:c>
    </x:row>
    <x:row r="351" ht="39" customHeight="1">
      <x:c r="A351" s="32" t="str">
        <x:v>F007</x:v>
      </x:c>
      <x:c r="B351" s="32" t="str">
        <x:v>C01</x:v>
      </x:c>
      <x:c r="C351" s="32" t="n">
        <x:v>20</x:v>
      </x:c>
      <x:c r="D351" s="33" t="str">
        <x:v>{"Local":"15,0|km|Aratuípe,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352" ht="39" customHeight="1">
      <x:c r="A352" s="32" t="str">
        <x:v>F007</x:v>
      </x:c>
      <x:c r="B352" s="32" t="str">
        <x:v>C01</x:v>
      </x:c>
      <x:c r="C352" s="32" t="n">
        <x:v>21</x:v>
      </x:c>
      <x:c r="D352" s="33" t="str">
        <x:v>{"Local":"15,0|km|Cachoeira, BA","Ajuste de lance":" --","Impr.":"7","Visualizações do TrueView":"3","Taxa de visualização do TrueView":"42,86%","Código da moeda":"BRL","Custo":"0,17","CPM médio":"24,81","Taxa de conv.":"0,00%","Conversões":"0,00","Custo / conv.":"0,00"}</x:v>
      </x:c>
    </x:row>
    <x:row r="353" ht="39" customHeight="1">
      <x:c r="A353" s="32" t="str">
        <x:v>F007</x:v>
      </x:c>
      <x:c r="B353" s="32" t="str">
        <x:v>C01</x:v>
      </x:c>
      <x:c r="C353" s="32" t="n">
        <x:v>22</x:v>
      </x:c>
      <x:c r="D353" s="33" t="str">
        <x:v>{"Local":"15,0|km|São Felipe, BA","Ajuste de lance":" --","Impr.":"44","Visualizações do TrueView":"18","Taxa de visualização do TrueView":"40,91%","Código da moeda":"BRL","Custo":"0,26","CPM médio":"5,90","Taxa de conv.":"0,00%","Conversões":"0,00","Custo / conv.":"0,00"}</x:v>
      </x:c>
    </x:row>
    <x:row r="354" ht="39" customHeight="1">
      <x:c r="A354" s="32" t="str">
        <x:v>F007</x:v>
      </x:c>
      <x:c r="B354" s="32" t="str">
        <x:v>C01</x:v>
      </x:c>
      <x:c r="C354" s="32" t="n">
        <x:v>23</x:v>
      </x:c>
      <x:c r="D354" s="33" t="str">
        <x:v>{"Local":"Catu, Bahia, Brasil","Ajuste de lance":" --","Impr.":"2.536","Visualizações do TrueView":"1.498","Taxa de visualização do TrueView":"59,07%","Código da moeda":"BRL","Custo":"13,11","CPM médio":"5,17","Taxa de conv.":"0,00%","Conversões":"0,00","Custo / conv.":"0,00"}</x:v>
      </x:c>
    </x:row>
    <x:row r="355" ht="39" customHeight="1">
      <x:c r="A355" s="32" t="str">
        <x:v>F007</x:v>
      </x:c>
      <x:c r="B355" s="32" t="str">
        <x:v>C01</x:v>
      </x:c>
      <x:c r="C355" s="32" t="n">
        <x:v>24</x:v>
      </x:c>
      <x:c r="D355" s="33" t="str">
        <x:v>{"Local":"15,0|km|Castro Alves - BA","Ajuste de lance":" --","Impr.":"3","Visualizações do TrueView":"0","Taxa de visualização do TrueView":"0,00%","Código da moeda":"BRL","Custo":"0,00","CPM médio":"0,00","Taxa de conv.":"0,00%","Conversões":"0,00","Custo / conv.":"0,00"}</x:v>
      </x:c>
    </x:row>
    <x:row r="356" ht="39" customHeight="1">
      <x:c r="A356" s="32" t="str">
        <x:v>F007</x:v>
      </x:c>
      <x:c r="B356" s="32" t="str">
        <x:v>C01</x:v>
      </x:c>
      <x:c r="C356" s="32" t="n">
        <x:v>25</x:v>
      </x:c>
      <x:c r="D356" s="33" t="str">
        <x:v>{"Local":"Salvador, Bahia, Brasil","Ajuste de lance":" --","Impr.":"89.442","Visualizações do TrueView":"50.913","Taxa de visualização do TrueView":"56,92%","Código da moeda":"BRL","Custo":"459,06","CPM médio":"5,13","Taxa de conv.":"0,00%","Conversões":"0,00","Custo / conv.":"0,00"}</x:v>
      </x:c>
    </x:row>
    <x:row r="357" ht="39" customHeight="1">
      <x:c r="A357" s="32" t="str">
        <x:v>F007</x:v>
      </x:c>
      <x:c r="B357" s="32" t="str">
        <x:v>C01</x:v>
      </x:c>
      <x:c r="C357" s="32" t="n">
        <x:v>26</x:v>
      </x:c>
      <x:c r="D357" s="33" t="str">
        <x:v>{"Local":"15,0|km|Dom Macedo Costa, BA","Ajuste de lance":" --","Impr.":"29","Visualizações do TrueView":"8","Taxa de visualização do TrueView":"27,59%","Código da moeda":"BRL","Custo":"0,09","CPM médio":"3,18","Taxa de conv.":"0,00%","Conversões":"0,00","Custo / conv.":"0,00"}</x:v>
      </x:c>
    </x:row>
    <x:row r="358" ht="39" customHeight="1">
      <x:c r="A358" s="32" t="str">
        <x:v>F007</x:v>
      </x:c>
      <x:c r="B358" s="32" t="str">
        <x:v>C01</x:v>
      </x:c>
      <x:c r="C358" s="32" t="n">
        <x:v>27</x:v>
      </x:c>
      <x:c r="D358" s="33" t="str">
        <x:v>{"Local":"Mata de São João, Bahia, Brasil","Ajuste de lance":" --","Impr.":"3.112","Visualizações do TrueView":"1.891","Taxa de visualização do TrueView":"60,76%","Código da moeda":"BRL","Custo":"14,64","CPM médio":"4,70","Taxa de conv.":"0,00%","Conversões":"0,00","Custo / conv.":"0,00"}</x:v>
      </x:c>
    </x:row>
    <x:row r="359" ht="39" customHeight="1">
      <x:c r="A359" s="32" t="str">
        <x:v>F007</x:v>
      </x:c>
      <x:c r="B359" s="32" t="str">
        <x:v>C01</x:v>
      </x:c>
      <x:c r="C359" s="32" t="n">
        <x:v>28</x:v>
      </x:c>
      <x:c r="D359" s="33" t="str">
        <x:v>{"Local":"Santo Amaro, Bahia, Brasil","Ajuste de lance":" --","Impr.":"3.033","Visualizações do TrueView":"1.791","Taxa de visualização do TrueView":"59,05%","Código da moeda":"BRL","Custo":"14,45","CPM médio":"4,77","Taxa de conv.":"0,00%","Conversões":"0,00","Custo / conv.":"0,00"}</x:v>
      </x:c>
    </x:row>
    <x:row r="360" ht="39" customHeight="1">
      <x:c r="A360" s="32" t="str">
        <x:v>F007</x:v>
      </x:c>
      <x:c r="B360" s="32" t="str">
        <x:v>C01</x:v>
      </x:c>
      <x:c r="C360" s="32" t="n">
        <x:v>29</x:v>
      </x:c>
      <x:c r="D360" s="33" t="str">
        <x:v>{"Local":"Itaparica, Bahia, Brasil","Ajuste de lance":" --","Impr.":"1.074","Visualizações do TrueView":"607","Taxa de visualização do TrueView":"56,52%","Código da moeda":"BRL","Custo":"4,92","CPM médio":"4,59","Taxa de conv.":"0,00%","Conversões":"0,00","Custo / conv.":"0,00"}</x:v>
      </x:c>
    </x:row>
    <x:row r="361" ht="39" customHeight="1">
      <x:c r="A361" s="32" t="str">
        <x:v>F007</x:v>
      </x:c>
      <x:c r="B361" s="32" t="str">
        <x:v>C01</x:v>
      </x:c>
      <x:c r="C361" s="32" t="n">
        <x:v>30</x:v>
      </x:c>
      <x:c r="D361" s="33" t="str">
        <x:v>{"Local":"Saubara, Bahia, Brasil","Ajuste de lance":" --","Impr.":"442","Visualizações do TrueView":"251","Taxa de visualização do TrueView":"56,79%","Código da moeda":"BRL","Custo":"1,96","CPM médio":"4,44","Taxa de conv.":"0,00%","Conversões":"0,00","Custo / conv.":"0,00"}</x:v>
      </x:c>
    </x:row>
    <x:row r="362" ht="39" customHeight="1">
      <x:c r="A362" s="32" t="str">
        <x:v>F007</x:v>
      </x:c>
      <x:c r="B362" s="32" t="str">
        <x:v>C01</x:v>
      </x:c>
      <x:c r="C362" s="32" t="n">
        <x:v>31</x:v>
      </x:c>
      <x:c r="D362" s="33" t="str">
        <x:v>{"Local":"Pojuca, Bahia, Brasil","Ajuste de lance":" --","Impr.":"1.389","Visualizações do TrueView":"832","Taxa de visualização do TrueView":"59,90%","Código da moeda":"BRL","Custo":"7,35","CPM médio":"5,29","Taxa de conv.":"0,00%","Conversões":"0,00","Custo / conv.":"0,00"}</x:v>
      </x:c>
    </x:row>
    <x:row r="363" ht="39" customHeight="1">
      <x:c r="A363" s="32" t="str">
        <x:v>F007</x:v>
      </x:c>
      <x:c r="B363" s="32" t="str">
        <x:v>C01</x:v>
      </x:c>
      <x:c r="C363" s="32" t="n">
        <x:v>32</x:v>
      </x:c>
      <x:c r="D363" s="33" t="str">
        <x:v>{"Local":"15,0|km|Itanagra, BA","Ajuste de lance":" --","Impr.":"3","Visualizações do TrueView":"1","Taxa de visualização do TrueView":"33,33%","Código da moeda":"BRL","Custo":"0,03","CPM médio":"11,53","Taxa de conv.":"0,00%","Conversões":"0,00","Custo / conv.":"0,00"}</x:v>
      </x:c>
    </x:row>
    <x:row r="364" ht="39" customHeight="1">
      <x:c r="A364" s="32" t="str">
        <x:v>F007</x:v>
      </x:c>
      <x:c r="B364" s="32" t="str">
        <x:v>C01</x:v>
      </x:c>
      <x:c r="C364" s="32" t="n">
        <x:v>33</x:v>
      </x:c>
      <x:c r="D364" s="33" t="str">
        <x:v>{"Local":"Dias d'Ávila, Bahia, Brasil","Ajuste de lance":" --","Impr.":"5","Visualizações do TrueView":"1","Taxa de visualização do TrueView":"20,00%","Código da moeda":"BRL","Custo":"0,02","CPM médio":"4,11","Taxa de conv.":"0,00%","Conversões":"0,00","Custo / conv.":"0,00"}</x:v>
      </x:c>
    </x:row>
    <x:row r="365" ht="39" customHeight="1">
      <x:c r="A365" s="32" t="str">
        <x:v>F007</x:v>
      </x:c>
      <x:c r="B365" s="32" t="str">
        <x:v>C01</x:v>
      </x:c>
      <x:c r="C365" s="32" t="n">
        <x:v>34</x:v>
      </x:c>
      <x:c r="D365" s="33" t="str">
        <x:v>{"Local":"15,0|km|Vera Cruz, BA","Ajuste de lance":" --","Impr.":"1","Visualizações do TrueView":"1","Taxa de visualização do TrueView":"100,00%","Código da moeda":"BRL","Custo":"0,02","CPM médio":"21,29","Taxa de conv.":"0,00%","Conversões":"0,00","Custo / conv.":"0,00"}</x:v>
      </x:c>
    </x:row>
    <x:row r="366" ht="39" customHeight="1">
      <x:c r="A366" s="32" t="str">
        <x:v>F007</x:v>
      </x:c>
      <x:c r="B366" s="32" t="str">
        <x:v>C01</x:v>
      </x:c>
      <x:c r="C366" s="32" t="n">
        <x:v>35</x:v>
      </x:c>
      <x:c r="D366" s="33" t="str">
        <x:v>{"Local":"15,0|km|Salinas da Margarida, BA","Ajuste de lance":" --","Impr.":"30","Visualizações do TrueView":"8","Taxa de visualização do TrueView":"26,67%","Código da moeda":"BRL","Custo":"0,29","CPM médio":"9,76","Taxa de conv.":"0,00%","Conversões":"0,00","Custo / conv.":"0,00"}</x:v>
      </x:c>
    </x:row>
    <x:row r="367" ht="39" customHeight="1">
      <x:c r="A367" s="32" t="str">
        <x:v>F007</x:v>
      </x:c>
      <x:c r="B367" s="32" t="str">
        <x:v>C01</x:v>
      </x:c>
      <x:c r="C367" s="32" t="n">
        <x:v>36</x:v>
      </x:c>
      <x:c r="D367" s="33" t="str">
        <x:v>{"Local":"São Sebastião do Passé, Bahia, Brasil","Ajuste de lance":" --","Impr.":"652","Visualizações do TrueView":"378","Taxa de visualização do TrueView":"57,98%","Código da moeda":"BRL","Custo":"3,29","CPM médio":"5,04","Taxa de conv.":"0,00%","Conversões":"0,00","Custo / conv.":"0,00"}</x:v>
      </x:c>
    </x:row>
    <x:row r="368" ht="39" customHeight="1">
      <x:c r="A368" s="32" t="str">
        <x:v>F007</x:v>
      </x:c>
      <x:c r="B368" s="32" t="str">
        <x:v>C01</x:v>
      </x:c>
      <x:c r="C368" s="32" t="n">
        <x:v>37</x:v>
      </x:c>
      <x:c r="D368" s="33" t="str">
        <x:v>{"Local":"Lauro de Freitas, Bahia, Brasil","Ajuste de lance":" --","Impr.":"1.068","Visualizações do TrueView":"627","Taxa de visualização do TrueView":"58,71%","Código da moeda":"BRL","Custo":"6,12","CPM médio":"5,73","Taxa de conv.":"0,00%","Conversões":"0,00","Custo / conv.":"0,00"}</x:v>
      </x:c>
    </x:row>
    <x:row r="369" ht="39" customHeight="1">
      <x:c r="A369" s="32" t="str">
        <x:v>F007</x:v>
      </x:c>
      <x:c r="B369" s="32" t="str">
        <x:v>C01</x:v>
      </x:c>
      <x:c r="C369" s="32" t="n">
        <x:v>38</x:v>
      </x:c>
      <x:c r="D369" s="33" t="str">
        <x:v>{"Local":"15,0|km|Maragogipe, BA","Ajuste de lance":" --","Impr.":"48","Visualizações do TrueView":"28","Taxa de visualização do TrueView":"58,33%","Código da moeda":"BRL","Custo":"0,28","CPM médio":"5,90","Taxa de conv.":"0,00%","Conversões":"0,00","Custo / conv.":"0,00"}</x:v>
      </x:c>
    </x:row>
    <x:row r="370" ht="39" customHeight="1">
      <x:c r="A370" s="32" t="str">
        <x:v>F007</x:v>
      </x:c>
      <x:c r="B370" s="32" t="str">
        <x:v>C01</x:v>
      </x:c>
      <x:c r="C370" s="32" t="n">
        <x:v>39</x:v>
      </x:c>
      <x:c r="D370" s="33" t="str">
        <x:v>{"Local":"Total: Locais","Ajuste de lance":"","Impr.":"153.603","Visualizações do TrueView":"88.639","Taxa de visualização do TrueView":"57,71%","Código da moeda":"BRL","Custo":"775,98","CPM médio":"5,05","Taxa de conv.":"0,00%","Conversões":"0,00","Custo / conv.":"0,00"}</x:v>
      </x:c>
    </x:row>
    <x:row r="371" ht="39" customHeight="1">
      <x:c r="A371" s="32" t="str">
        <x:v>F007</x:v>
      </x:c>
      <x:c r="B371" s="32" t="str">
        <x:v>C01</x:v>
      </x:c>
      <x:c r="C371" s="32" t="n">
        <x:v>40</x:v>
      </x:c>
      <x:c r="D371" s="33" t="str">
        <x:v>{"Local":"Total: Outros locais","Ajuste de lance":"","Impr.":"0","Visualizações do TrueView":"0","Taxa de visualização do TrueView":" --","Código da moeda":"BRL","Custo":"0,00","CPM médio":"0","Taxa de conv.":"0,00%","Conversões":"0,00","Custo / conv.":"0,00"}</x:v>
      </x:c>
    </x:row>
    <x:row r="372" ht="39" customHeight="1">
      <x:c r="A372" s="32" t="str">
        <x:v>F007</x:v>
      </x:c>
      <x:c r="B372" s="32" t="str">
        <x:v>C01</x:v>
      </x:c>
      <x:c r="C372" s="32" t="n">
        <x:v>41</x:v>
      </x:c>
      <x:c r="D372" s="33" t="str">
        <x:v>{"Local":"Total: Campanha","Ajuste de lance":"","Impr.":"153.603","Visualizações do TrueView":"88.639","Taxa de visualização do TrueView":"57,71%","Código da moeda":"BRL","Custo":"775,98","CPM médio":"5,05","Taxa de conv.":"0,00%","Conversões":"0,00","Custo / conv.":"0,00"}</x:v>
      </x:c>
    </x:row>
    <x:row r="373" ht="69" customHeight="1">
      <x:c r="A373" s="32" t="str">
        <x:v>F008</x:v>
      </x:c>
      <x:c r="B373" s="32" t="str">
        <x:v>C01</x:v>
      </x:c>
      <x:c r="C373" s="32" t="n">
        <x:v>1</x:v>
      </x:c>
      <x:c r="D373" s="33" t="str">
        <x:v>{"Status do grupo de anúncios":"Ativado","Grupo de anúncios":"Vídeo 01","Status":"Qualificado","Motivos do status":"desconhecido","Código da moeda":"BRL","CPV desejado TrueView":"0,02","Visualizações do TrueView":"88.639","CPV médio do TrueView":"0,01","Subtipo da campanha":"Exibições de vídeos","Tipo de grupo de anúncios":"Anúncio responsivo em vídeo","Impr.":"153.603","Custo":"775,98","Inclusões de marca":"[]","Taxa de conv.":"0,00%","Conversões":"0,00","Custo / conv.":"0,00"}</x:v>
      </x:c>
    </x:row>
    <x:row r="374" ht="54" customHeight="1">
      <x:c r="A374" s="32" t="str">
        <x:v>F008</x:v>
      </x:c>
      <x:c r="B374" s="32" t="str">
        <x:v>C01</x:v>
      </x:c>
      <x:c r="C374" s="32" t="n">
        <x:v>2</x:v>
      </x:c>
      <x:c r="D374" s="33" t="str">
        <x:v>{"Status do grupo de anúncios":"Total: Grupos de anúncios","Grupo de anúncios":"","Status":"","Motivos do status":"","Código da moeda":"BRL","CPV desejado TrueView":"","Visualizações do TrueView":"88.639","CPV médio do TrueView":"0,01","Subtipo da campanha":"","Tipo de grupo de anúncios":"","Impr.":"153.603","Custo":"775,98","Inclusões de marca":"","Taxa de conv.":"0,00%","Conversões":"0,00","Custo / conv.":"0,00"}</x:v>
      </x:c>
    </x:row>
    <x:row r="375" ht="54" customHeight="1">
      <x:c r="A375" s="32" t="str">
        <x:v>F008</x:v>
      </x:c>
      <x:c r="B375" s="32" t="str">
        <x:v>C01</x:v>
      </x:c>
      <x:c r="C375" s="32" t="n">
        <x:v>3</x:v>
      </x:c>
      <x:c r="D375" s="33" t="str">
        <x:v>{"Status do grupo de anúncios":"Total: Campanha","Grupo de anúncios":"","Status":"","Motivos do status":"","Código da moeda":"BRL","CPV desejado TrueView":"","Visualizações do TrueView":"88.639","CPV médio do TrueView":"0,01","Subtipo da campanha":"","Tipo de grupo de anúncios":"","Impr.":"153.603","Custo":"775,98","Inclusões de marca":"","Taxa de conv.":"0,00%","Conversões":"0,00","Custo / conv.":"0,00"}</x:v>
      </x:c>
    </x:row>
    <x:row r="376" ht="24" customHeight="1">
      <x:c r="A376" s="32" t="str">
        <x:v>F009</x:v>
      </x:c>
      <x:c r="B376" s="32" t="str">
        <x:v>C02</x:v>
      </x:c>
      <x:c r="C376" s="32" t="n">
        <x:v>1</x:v>
      </x:c>
      <x:c r="D376" s="33" t="str">
        <x:v>{"Data":"qua., 1 de jul. de 2026","Impr.":"0","Cliques":"0","Conversões":"0,00","Custo":"R$ 0,00"}</x:v>
      </x:c>
    </x:row>
    <x:row r="377" ht="24" customHeight="1">
      <x:c r="A377" s="32" t="str">
        <x:v>F009</x:v>
      </x:c>
      <x:c r="B377" s="32" t="str">
        <x:v>C02</x:v>
      </x:c>
      <x:c r="C377" s="32" t="n">
        <x:v>2</x:v>
      </x:c>
      <x:c r="D377" s="33" t="str">
        <x:v>{"Data":"qui., 2 de jul. de 2026","Impr.":"0","Cliques":"0","Conversões":"0,00","Custo":"R$ 0,00"}</x:v>
      </x:c>
    </x:row>
    <x:row r="378" ht="24" customHeight="1">
      <x:c r="A378" s="32" t="str">
        <x:v>F009</x:v>
      </x:c>
      <x:c r="B378" s="32" t="str">
        <x:v>C02</x:v>
      </x:c>
      <x:c r="C378" s="32" t="n">
        <x:v>3</x:v>
      </x:c>
      <x:c r="D378" s="33" t="str">
        <x:v>{"Data":"sex., 3 de jul. de 2026","Impr.":"0","Cliques":"0","Conversões":"0,00","Custo":"R$ 0,00"}</x:v>
      </x:c>
    </x:row>
    <x:row r="379" ht="24" customHeight="1">
      <x:c r="A379" s="32" t="str">
        <x:v>F009</x:v>
      </x:c>
      <x:c r="B379" s="32" t="str">
        <x:v>C02</x:v>
      </x:c>
      <x:c r="C379" s="32" t="n">
        <x:v>4</x:v>
      </x:c>
      <x:c r="D379" s="33" t="str">
        <x:v>{"Data":"sáb., 4 de jul. de 2026","Impr.":"0","Cliques":"0","Conversões":"0,00","Custo":"R$ 0,00"}</x:v>
      </x:c>
    </x:row>
    <x:row r="380" ht="24" customHeight="1">
      <x:c r="A380" s="32" t="str">
        <x:v>F009</x:v>
      </x:c>
      <x:c r="B380" s="32" t="str">
        <x:v>C02</x:v>
      </x:c>
      <x:c r="C380" s="32" t="n">
        <x:v>5</x:v>
      </x:c>
      <x:c r="D380" s="33" t="str">
        <x:v>{"Data":"dom., 5 de jul. de 2026","Impr.":"0","Cliques":"0","Conversões":"0,00","Custo":"R$ 0,00"}</x:v>
      </x:c>
    </x:row>
    <x:row r="381" ht="24" customHeight="1">
      <x:c r="A381" s="32" t="str">
        <x:v>F009</x:v>
      </x:c>
      <x:c r="B381" s="32" t="str">
        <x:v>C02</x:v>
      </x:c>
      <x:c r="C381" s="32" t="n">
        <x:v>6</x:v>
      </x:c>
      <x:c r="D381" s="33" t="str">
        <x:v>{"Data":"seg., 6 de jul. de 2026","Impr.":"0","Cliques":"0","Conversões":"0,00","Custo":"R$ 0,00"}</x:v>
      </x:c>
    </x:row>
    <x:row r="382" ht="24" customHeight="1">
      <x:c r="A382" s="32" t="str">
        <x:v>F009</x:v>
      </x:c>
      <x:c r="B382" s="32" t="str">
        <x:v>C02</x:v>
      </x:c>
      <x:c r="C382" s="32" t="n">
        <x:v>7</x:v>
      </x:c>
      <x:c r="D382" s="33" t="str">
        <x:v>{"Data":"ter., 7 de jul. de 2026","Impr.":"0","Cliques":"0","Conversões":"0,00","Custo":"R$ 0,00"}</x:v>
      </x:c>
    </x:row>
    <x:row r="383" ht="24" customHeight="1">
      <x:c r="A383" s="32" t="str">
        <x:v>F009</x:v>
      </x:c>
      <x:c r="B383" s="32" t="str">
        <x:v>C02</x:v>
      </x:c>
      <x:c r="C383" s="32" t="n">
        <x:v>8</x:v>
      </x:c>
      <x:c r="D383" s="33" t="str">
        <x:v>{"Data":"qua., 8 de jul. de 2026","Impr.":"0","Cliques":"0","Conversões":"0,00","Custo":"R$ 0,00"}</x:v>
      </x:c>
    </x:row>
    <x:row r="384" ht="24" customHeight="1">
      <x:c r="A384" s="32" t="str">
        <x:v>F009</x:v>
      </x:c>
      <x:c r="B384" s="32" t="str">
        <x:v>C02</x:v>
      </x:c>
      <x:c r="C384" s="32" t="n">
        <x:v>9</x:v>
      </x:c>
      <x:c r="D384" s="33" t="str">
        <x:v>{"Data":"qui., 9 de jul. de 2026","Impr.":"0","Cliques":"0","Conversões":"0,00","Custo":"R$ 0,00"}</x:v>
      </x:c>
    </x:row>
    <x:row r="385" ht="24" customHeight="1">
      <x:c r="A385" s="32" t="str">
        <x:v>F009</x:v>
      </x:c>
      <x:c r="B385" s="32" t="str">
        <x:v>C02</x:v>
      </x:c>
      <x:c r="C385" s="32" t="n">
        <x:v>10</x:v>
      </x:c>
      <x:c r="D385" s="33" t="str">
        <x:v>{"Data":"sex., 10 de jul. de 2026","Impr.":"0","Cliques":"0","Conversões":"0,00","Custo":"R$ 0,00"}</x:v>
      </x:c>
    </x:row>
    <x:row r="386" ht="24" customHeight="1">
      <x:c r="A386" s="32" t="str">
        <x:v>F009</x:v>
      </x:c>
      <x:c r="B386" s="32" t="str">
        <x:v>C02</x:v>
      </x:c>
      <x:c r="C386" s="32" t="n">
        <x:v>11</x:v>
      </x:c>
      <x:c r="D386" s="33" t="str">
        <x:v>{"Data":"sáb., 11 de jul. de 2026","Impr.":"0","Cliques":"0","Conversões":"0,00","Custo":"R$ 0,00"}</x:v>
      </x:c>
    </x:row>
    <x:row r="387" ht="24" customHeight="1">
      <x:c r="A387" s="32" t="str">
        <x:v>F009</x:v>
      </x:c>
      <x:c r="B387" s="32" t="str">
        <x:v>C02</x:v>
      </x:c>
      <x:c r="C387" s="32" t="n">
        <x:v>12</x:v>
      </x:c>
      <x:c r="D387" s="33" t="str">
        <x:v>{"Data":"dom., 12 de jul. de 2026","Impr.":"0","Cliques":"0","Conversões":"0,00","Custo":"R$ 0,00"}</x:v>
      </x:c>
    </x:row>
    <x:row r="388" ht="24" customHeight="1">
      <x:c r="A388" s="32" t="str">
        <x:v>F009</x:v>
      </x:c>
      <x:c r="B388" s="32" t="str">
        <x:v>C02</x:v>
      </x:c>
      <x:c r="C388" s="32" t="n">
        <x:v>13</x:v>
      </x:c>
      <x:c r="D388" s="33" t="str">
        <x:v>{"Data":"seg., 13 de jul. de 2026","Impr.":"0","Cliques":"0","Conversões":"0,00","Custo":"R$ 0,00"}</x:v>
      </x:c>
    </x:row>
    <x:row r="389" ht="24" customHeight="1">
      <x:c r="A389" s="32" t="str">
        <x:v>F009</x:v>
      </x:c>
      <x:c r="B389" s="32" t="str">
        <x:v>C02</x:v>
      </x:c>
      <x:c r="C389" s="32" t="n">
        <x:v>14</x:v>
      </x:c>
      <x:c r="D389" s="33" t="str">
        <x:v>{"Data":"ter., 14 de jul. de 2026","Impr.":"0","Cliques":"0","Conversões":"0,00","Custo":"R$ 0,00"}</x:v>
      </x:c>
    </x:row>
    <x:row r="390" ht="24" customHeight="1">
      <x:c r="A390" s="32" t="str">
        <x:v>F009</x:v>
      </x:c>
      <x:c r="B390" s="32" t="str">
        <x:v>C02</x:v>
      </x:c>
      <x:c r="C390" s="32" t="n">
        <x:v>15</x:v>
      </x:c>
      <x:c r="D390" s="33" t="str">
        <x:v>{"Data":"qua., 15 de jul. de 2026","Impr.":"0","Cliques":"0","Conversões":"0,00","Custo":"R$ 0,00"}</x:v>
      </x:c>
    </x:row>
    <x:row r="391" ht="24" customHeight="1">
      <x:c r="A391" s="32" t="str">
        <x:v>F009</x:v>
      </x:c>
      <x:c r="B391" s="32" t="str">
        <x:v>C02</x:v>
      </x:c>
      <x:c r="C391" s="32" t="n">
        <x:v>16</x:v>
      </x:c>
      <x:c r="D391" s="33" t="str">
        <x:v>{"Data":"qui., 16 de jul. de 2026","Impr.":"0","Cliques":"0","Conversões":"0,00","Custo":"R$ 0,00"}</x:v>
      </x:c>
    </x:row>
    <x:row r="392" ht="24" customHeight="1">
      <x:c r="A392" s="32" t="str">
        <x:v>F009</x:v>
      </x:c>
      <x:c r="B392" s="32" t="str">
        <x:v>C02</x:v>
      </x:c>
      <x:c r="C392" s="32" t="n">
        <x:v>17</x:v>
      </x:c>
      <x:c r="D392" s="33" t="str">
        <x:v>{"Data":"sex., 17 de jul. de 2026","Impr.":"0","Cliques":"0","Conversões":"0,00","Custo":"R$ 0,00"}</x:v>
      </x:c>
    </x:row>
    <x:row r="393" ht="24" customHeight="1">
      <x:c r="A393" s="32" t="str">
        <x:v>F009</x:v>
      </x:c>
      <x:c r="B393" s="32" t="str">
        <x:v>C02</x:v>
      </x:c>
      <x:c r="C393" s="32" t="n">
        <x:v>18</x:v>
      </x:c>
      <x:c r="D393" s="33" t="str">
        <x:v>{"Data":"sáb., 18 de jul. de 2026","Impr.":"0","Cliques":"0","Conversões":"0,00","Custo":"R$ 0,00"}</x:v>
      </x:c>
    </x:row>
    <x:row r="394" ht="24" customHeight="1">
      <x:c r="A394" s="32" t="str">
        <x:v>F009</x:v>
      </x:c>
      <x:c r="B394" s="32" t="str">
        <x:v>C02</x:v>
      </x:c>
      <x:c r="C394" s="32" t="n">
        <x:v>19</x:v>
      </x:c>
      <x:c r="D394" s="33" t="str">
        <x:v>{"Data":"dom., 19 de jul. de 2026","Impr.":"0","Cliques":"0","Conversões":"0,00","Custo":"R$ 0,00"}</x:v>
      </x:c>
    </x:row>
    <x:row r="395" ht="24" customHeight="1">
      <x:c r="A395" s="32" t="str">
        <x:v>F009</x:v>
      </x:c>
      <x:c r="B395" s="32" t="str">
        <x:v>C02</x:v>
      </x:c>
      <x:c r="C395" s="32" t="n">
        <x:v>20</x:v>
      </x:c>
      <x:c r="D395" s="33" t="str">
        <x:v>{"Data":"seg., 20 de jul. de 2026","Impr.":"0","Cliques":"0","Conversões":"0,00","Custo":"R$ 0,00"}</x:v>
      </x:c>
    </x:row>
    <x:row r="396" ht="24" customHeight="1">
      <x:c r="A396" s="32" t="str">
        <x:v>F009</x:v>
      </x:c>
      <x:c r="B396" s="32" t="str">
        <x:v>C02</x:v>
      </x:c>
      <x:c r="C396" s="32" t="n">
        <x:v>21</x:v>
      </x:c>
      <x:c r="D396" s="33" t="str">
        <x:v>{"Data":"ter., 21 de jul. de 2026","Impr.":"0","Cliques":"0","Conversões":"0,00","Custo":"R$ 0,00"}</x:v>
      </x:c>
    </x:row>
    <x:row r="397" ht="24" customHeight="1">
      <x:c r="A397" s="32" t="str">
        <x:v>F009</x:v>
      </x:c>
      <x:c r="B397" s="32" t="str">
        <x:v>C02</x:v>
      </x:c>
      <x:c r="C397" s="32" t="n">
        <x:v>22</x:v>
      </x:c>
      <x:c r="D397" s="33" t="str">
        <x:v>{"Data":"qua., 22 de jul. de 2026","Impr.":"0","Cliques":"0","Conversões":"0,00","Custo":"R$ 0,00"}</x:v>
      </x:c>
    </x:row>
    <x:row r="398" ht="24" customHeight="1">
      <x:c r="A398" s="32" t="str">
        <x:v>F009</x:v>
      </x:c>
      <x:c r="B398" s="32" t="str">
        <x:v>C02</x:v>
      </x:c>
      <x:c r="C398" s="32" t="n">
        <x:v>23</x:v>
      </x:c>
      <x:c r="D398" s="33" t="str">
        <x:v>{"Data":"qui., 23 de jul. de 2026","Impr.":"739","Cliques":"0","Conversões":"0,00","Custo":"R$ 10,02"}</x:v>
      </x:c>
    </x:row>
    <x:row r="399" ht="24" customHeight="1">
      <x:c r="A399" s="32" t="str">
        <x:v>F009</x:v>
      </x:c>
      <x:c r="B399" s="32" t="str">
        <x:v>C02</x:v>
      </x:c>
      <x:c r="C399" s="32" t="n">
        <x:v>24</x:v>
      </x:c>
      <x:c r="D399" s="33" t="str">
        <x:v>{"Data":"sex., 24 de jul. de 2026","Impr.":"1.871","Cliques":"0","Conversões":"0,00","Custo":"R$ 10,23"}</x:v>
      </x:c>
    </x:row>
    <x:row r="400" ht="24" customHeight="1">
      <x:c r="A400" s="32" t="str">
        <x:v>F009</x:v>
      </x:c>
      <x:c r="B400" s="32" t="str">
        <x:v>C02</x:v>
      </x:c>
      <x:c r="C400" s="32" t="n">
        <x:v>25</x:v>
      </x:c>
      <x:c r="D400" s="33" t="str">
        <x:v>{"Data":"sáb., 25 de jul. de 2026","Impr.":"2.461","Cliques":"0","Conversões":"0,00","Custo":"R$ 10,55"}</x:v>
      </x:c>
    </x:row>
    <x:row r="401" ht="24" customHeight="1">
      <x:c r="A401" s="32" t="str">
        <x:v>F009</x:v>
      </x:c>
      <x:c r="B401" s="32" t="str">
        <x:v>C02</x:v>
      </x:c>
      <x:c r="C401" s="32" t="n">
        <x:v>26</x:v>
      </x:c>
      <x:c r="D401" s="33" t="str">
        <x:v>{"Data":"dom., 26 de jul. de 2026","Impr.":"2.437","Cliques":"0","Conversões":"0,00","Custo":"R$ 10,29"}</x:v>
      </x:c>
    </x:row>
    <x:row r="402" ht="24" customHeight="1">
      <x:c r="A402" s="32" t="str">
        <x:v>F009</x:v>
      </x:c>
      <x:c r="B402" s="32" t="str">
        <x:v>C02</x:v>
      </x:c>
      <x:c r="C402" s="32" t="n">
        <x:v>27</x:v>
      </x:c>
      <x:c r="D402" s="33" t="str">
        <x:v>{"Data":"seg., 27 de jul. de 2026","Impr.":"2.380","Cliques":"0","Conversões":"0,00","Custo":"R$ 10,17"}</x:v>
      </x:c>
    </x:row>
    <x:row r="403" ht="24" customHeight="1">
      <x:c r="A403" s="32" t="str">
        <x:v>F009</x:v>
      </x:c>
      <x:c r="B403" s="32" t="str">
        <x:v>C02</x:v>
      </x:c>
      <x:c r="C403" s="32" t="n">
        <x:v>28</x:v>
      </x:c>
      <x:c r="D403" s="33" t="str">
        <x:v>{"Data":"ter., 28 de jul. de 2026","Impr.":"2.345","Cliques":"1","Conversões":"0,00","Custo":"R$ 10,07"}</x:v>
      </x:c>
    </x:row>
    <x:row r="404" ht="24" customHeight="1">
      <x:c r="A404" s="32" t="str">
        <x:v>F009</x:v>
      </x:c>
      <x:c r="B404" s="32" t="str">
        <x:v>C02</x:v>
      </x:c>
      <x:c r="C404" s="32" t="n">
        <x:v>29</x:v>
      </x:c>
      <x:c r="D404" s="33" t="str">
        <x:v>{"Data":"qua., 29 de jul. de 2026","Impr.":"2.047","Cliques":"0","Conversões":"0,00","Custo":"R$ 9,86"}</x:v>
      </x:c>
    </x:row>
    <x:row r="405" ht="24" customHeight="1">
      <x:c r="A405" s="32" t="str">
        <x:v>F009</x:v>
      </x:c>
      <x:c r="B405" s="32" t="str">
        <x:v>C02</x:v>
      </x:c>
      <x:c r="C405" s="32" t="n">
        <x:v>30</x:v>
      </x:c>
      <x:c r="D405" s="33" t="str">
        <x:v>{"Data":"qui., 30 de jul. de 2026","Impr.":"1.883","Cliques":"0","Conversões":"0,00","Custo":"R$ 9,67"}</x:v>
      </x:c>
    </x:row>
    <x:row r="406" ht="24" customHeight="1">
      <x:c r="A406" s="32" t="str">
        <x:v>F009</x:v>
      </x:c>
      <x:c r="B406" s="32" t="str">
        <x:v>C02</x:v>
      </x:c>
      <x:c r="C406" s="32" t="n">
        <x:v>31</x:v>
      </x:c>
      <x:c r="D406" s="33" t="str">
        <x:v>{"Data":"sex., 31 de jul. de 2026","Impr.":"1.677","Cliques":"0","Conversões":"0,00","Custo":"R$ 9,16"}</x:v>
      </x:c>
    </x:row>
    <x:row r="407" ht="24" customHeight="1">
      <x:c r="A407" s="32" t="str">
        <x:v>F009</x:v>
      </x:c>
      <x:c r="B407" s="32" t="str">
        <x:v>C02</x:v>
      </x:c>
      <x:c r="C407" s="32" t="n">
        <x:v>32</x:v>
      </x:c>
      <x:c r="D407" s="33" t="str">
        <x:v>{"Data":"sáb., 1 de ago. de 2026","Impr.":"2.147","Cliques":"0","Conversões":"0,00","Custo":"R$ 9,84"}</x:v>
      </x:c>
    </x:row>
    <x:row r="408" ht="24" customHeight="1">
      <x:c r="A408" s="32" t="str">
        <x:v>F009</x:v>
      </x:c>
      <x:c r="B408" s="32" t="str">
        <x:v>C02</x:v>
      </x:c>
      <x:c r="C408" s="32" t="n">
        <x:v>33</x:v>
      </x:c>
      <x:c r="D408" s="33" t="str">
        <x:v>{"Data":"dom., 2 de ago. de 2026","Impr.":"2.514","Cliques":"0","Conversões":"0,00","Custo":"R$ 10,28"}</x:v>
      </x:c>
    </x:row>
    <x:row r="409" ht="24" customHeight="1">
      <x:c r="A409" s="32" t="str">
        <x:v>F009</x:v>
      </x:c>
      <x:c r="B409" s="32" t="str">
        <x:v>C02</x:v>
      </x:c>
      <x:c r="C409" s="32" t="n">
        <x:v>34</x:v>
      </x:c>
      <x:c r="D409" s="33" t="str">
        <x:v>{"Data":"seg., 3 de ago. de 2026","Impr.":"2.520","Cliques":"0","Conversões":"0,00","Custo":"R$ 10,24"}</x:v>
      </x:c>
    </x:row>
    <x:row r="410" ht="24" customHeight="1">
      <x:c r="A410" s="32" t="str">
        <x:v>F009</x:v>
      </x:c>
      <x:c r="B410" s="32" t="str">
        <x:v>C02</x:v>
      </x:c>
      <x:c r="C410" s="32" t="n">
        <x:v>35</x:v>
      </x:c>
      <x:c r="D410" s="33" t="str">
        <x:v>{"Data":"ter., 4 de ago. de 2026","Impr.":"2.407","Cliques":"0","Conversões":"0,00","Custo":"R$ 10,25"}</x:v>
      </x:c>
    </x:row>
    <x:row r="411" ht="24" customHeight="1">
      <x:c r="A411" s="32" t="str">
        <x:v>F009</x:v>
      </x:c>
      <x:c r="B411" s="32" t="str">
        <x:v>C02</x:v>
      </x:c>
      <x:c r="C411" s="32" t="n">
        <x:v>36</x:v>
      </x:c>
      <x:c r="D411" s="33" t="str">
        <x:v>{"Data":"qua., 5 de ago. de 2026","Impr.":"2.221","Cliques":"0","Conversões":"0,00","Custo":"R$ 10,24"}</x:v>
      </x:c>
    </x:row>
    <x:row r="412" ht="24" customHeight="1">
      <x:c r="A412" s="32" t="str">
        <x:v>F009</x:v>
      </x:c>
      <x:c r="B412" s="32" t="str">
        <x:v>C02</x:v>
      </x:c>
      <x:c r="C412" s="32" t="n">
        <x:v>37</x:v>
      </x:c>
      <x:c r="D412" s="33" t="str">
        <x:v>{"Data":"qui., 6 de ago. de 2026","Impr.":"1.841","Cliques":"0","Conversões":"0,00","Custo":"R$ 10,21"}</x:v>
      </x:c>
    </x:row>
    <x:row r="413" ht="24" customHeight="1">
      <x:c r="A413" s="32" t="str">
        <x:v>F009</x:v>
      </x:c>
      <x:c r="B413" s="32" t="str">
        <x:v>C02</x:v>
      </x:c>
      <x:c r="C413" s="32" t="n">
        <x:v>38</x:v>
      </x:c>
      <x:c r="D413" s="33" t="str">
        <x:v>{"Data":"sex., 7 de ago. de 2026","Impr.":"2.161","Cliques":"0","Conversões":"0,00","Custo":"R$ 10,22"}</x:v>
      </x:c>
    </x:row>
    <x:row r="414" ht="24" customHeight="1">
      <x:c r="A414" s="32" t="str">
        <x:v>F009</x:v>
      </x:c>
      <x:c r="B414" s="32" t="str">
        <x:v>C02</x:v>
      </x:c>
      <x:c r="C414" s="32" t="n">
        <x:v>39</x:v>
      </x:c>
      <x:c r="D414" s="33" t="str">
        <x:v>{"Data":"sáb., 8 de ago. de 2026","Impr.":"2.313","Cliques":"0","Conversões":"0,00","Custo":"R$ 10,14"}</x:v>
      </x:c>
    </x:row>
    <x:row r="415" ht="24" customHeight="1">
      <x:c r="A415" s="32" t="str">
        <x:v>F009</x:v>
      </x:c>
      <x:c r="B415" s="32" t="str">
        <x:v>C02</x:v>
      </x:c>
      <x:c r="C415" s="32" t="n">
        <x:v>40</x:v>
      </x:c>
      <x:c r="D415" s="33" t="str">
        <x:v>{"Data":"dom., 9 de ago. de 2026","Impr.":"2.274","Cliques":"0","Conversões":"0,00","Custo":"R$ 10,14"}</x:v>
      </x:c>
    </x:row>
    <x:row r="416" ht="24" customHeight="1">
      <x:c r="A416" s="32" t="str">
        <x:v>F009</x:v>
      </x:c>
      <x:c r="B416" s="32" t="str">
        <x:v>C02</x:v>
      </x:c>
      <x:c r="C416" s="32" t="n">
        <x:v>41</x:v>
      </x:c>
      <x:c r="D416" s="33" t="str">
        <x:v>{"Data":"seg., 10 de ago. de 2026","Impr.":"2.280","Cliques":"0","Conversões":"0,00","Custo":"R$ 10,11"}</x:v>
      </x:c>
    </x:row>
    <x:row r="417" ht="24" customHeight="1">
      <x:c r="A417" s="32" t="str">
        <x:v>F009</x:v>
      </x:c>
      <x:c r="B417" s="32" t="str">
        <x:v>C02</x:v>
      </x:c>
      <x:c r="C417" s="32" t="n">
        <x:v>42</x:v>
      </x:c>
      <x:c r="D417" s="33" t="str">
        <x:v>{"Data":"ter., 11 de ago. de 2026","Impr.":"2.472","Cliques":"0","Conversões":"0,00","Custo":"R$ 10,12"}</x:v>
      </x:c>
    </x:row>
    <x:row r="418" ht="24" customHeight="1">
      <x:c r="A418" s="32" t="str">
        <x:v>F009</x:v>
      </x:c>
      <x:c r="B418" s="32" t="str">
        <x:v>C02</x:v>
      </x:c>
      <x:c r="C418" s="32" t="n">
        <x:v>43</x:v>
      </x:c>
      <x:c r="D418" s="33" t="str">
        <x:v>{"Data":"qua., 12 de ago. de 2026","Impr.":"2.428","Cliques":"2","Conversões":"0,00","Custo":"R$ 10,09"}</x:v>
      </x:c>
    </x:row>
    <x:row r="419" ht="24" customHeight="1">
      <x:c r="A419" s="32" t="str">
        <x:v>F009</x:v>
      </x:c>
      <x:c r="B419" s="32" t="str">
        <x:v>C02</x:v>
      </x:c>
      <x:c r="C419" s="32" t="n">
        <x:v>44</x:v>
      </x:c>
      <x:c r="D419" s="33" t="str">
        <x:v>{"Data":"qui., 13 de ago. de 2026","Impr.":"2.208","Cliques":"0","Conversões":"0,00","Custo":"R$ 10,07"}</x:v>
      </x:c>
    </x:row>
    <x:row r="420" ht="24" customHeight="1">
      <x:c r="A420" s="32" t="str">
        <x:v>F009</x:v>
      </x:c>
      <x:c r="B420" s="32" t="str">
        <x:v>C02</x:v>
      </x:c>
      <x:c r="C420" s="32" t="n">
        <x:v>45</x:v>
      </x:c>
      <x:c r="D420" s="33" t="str">
        <x:v>{"Data":"sex., 14 de ago. de 2026","Impr.":"2.132","Cliques":"0","Conversões":"0,00","Custo":"R$ 9,94"}</x:v>
      </x:c>
    </x:row>
    <x:row r="421" ht="24" customHeight="1">
      <x:c r="A421" s="32" t="str">
        <x:v>F009</x:v>
      </x:c>
      <x:c r="B421" s="32" t="str">
        <x:v>C02</x:v>
      </x:c>
      <x:c r="C421" s="32" t="n">
        <x:v>46</x:v>
      </x:c>
      <x:c r="D421" s="33" t="str">
        <x:v>{"Data":"sáb., 15 de ago. de 2026","Impr.":"2.218","Cliques":"1","Conversões":"0,00","Custo":"R$ 9,84"}</x:v>
      </x:c>
    </x:row>
    <x:row r="422" ht="24" customHeight="1">
      <x:c r="A422" s="32" t="str">
        <x:v>F009</x:v>
      </x:c>
      <x:c r="B422" s="32" t="str">
        <x:v>C02</x:v>
      </x:c>
      <x:c r="C422" s="32" t="n">
        <x:v>47</x:v>
      </x:c>
      <x:c r="D422" s="33" t="str">
        <x:v>{"Data":"dom., 16 de ago. de 2026","Impr.":"2.050","Cliques":"0","Conversões":"0,00","Custo":"R$ 10,00"}</x:v>
      </x:c>
    </x:row>
    <x:row r="423" ht="24" customHeight="1">
      <x:c r="A423" s="32" t="str">
        <x:v>F009</x:v>
      </x:c>
      <x:c r="B423" s="32" t="str">
        <x:v>C02</x:v>
      </x:c>
      <x:c r="C423" s="32" t="n">
        <x:v>48</x:v>
      </x:c>
      <x:c r="D423" s="33" t="str">
        <x:v>{"Data":"seg., 17 de ago. de 2026","Impr.":"2.042","Cliques":"0","Conversões":"0,00","Custo":"R$ 9,90"}</x:v>
      </x:c>
    </x:row>
    <x:row r="424" ht="24" customHeight="1">
      <x:c r="A424" s="32" t="str">
        <x:v>F009</x:v>
      </x:c>
      <x:c r="B424" s="32" t="str">
        <x:v>C02</x:v>
      </x:c>
      <x:c r="C424" s="32" t="n">
        <x:v>49</x:v>
      </x:c>
      <x:c r="D424" s="33" t="str">
        <x:v>{"Data":"ter., 18 de ago. de 2026","Impr.":"2.164","Cliques":"0","Conversões":"0,00","Custo":"R$ 9,92"}</x:v>
      </x:c>
    </x:row>
    <x:row r="425" ht="24" customHeight="1">
      <x:c r="A425" s="32" t="str">
        <x:v>F009</x:v>
      </x:c>
      <x:c r="B425" s="32" t="str">
        <x:v>C02</x:v>
      </x:c>
      <x:c r="C425" s="32" t="n">
        <x:v>50</x:v>
      </x:c>
      <x:c r="D425" s="33" t="str">
        <x:v>{"Data":"qua., 19 de ago. de 2026","Impr.":"2.240","Cliques":"1","Conversões":"0,00","Custo":"R$ 9,86"}</x:v>
      </x:c>
    </x:row>
    <x:row r="426" ht="24" customHeight="1">
      <x:c r="A426" s="32" t="str">
        <x:v>F009</x:v>
      </x:c>
      <x:c r="B426" s="32" t="str">
        <x:v>C02</x:v>
      </x:c>
      <x:c r="C426" s="32" t="n">
        <x:v>51</x:v>
      </x:c>
      <x:c r="D426" s="33" t="str">
        <x:v>{"Data":"qui., 20 de ago. de 2026","Impr.":"1.756","Cliques":"0","Conversões":"0,00","Custo":"R$ 9,92"}</x:v>
      </x:c>
    </x:row>
    <x:row r="427" ht="24" customHeight="1">
      <x:c r="A427" s="32" t="str">
        <x:v>F009</x:v>
      </x:c>
      <x:c r="B427" s="32" t="str">
        <x:v>C02</x:v>
      </x:c>
      <x:c r="C427" s="32" t="n">
        <x:v>52</x:v>
      </x:c>
      <x:c r="D427" s="33" t="str">
        <x:v>{"Data":"sex., 21 de ago. de 2026","Impr.":"1.733","Cliques":"0","Conversões":"0,00","Custo":"R$ 9,75"}</x:v>
      </x:c>
    </x:row>
    <x:row r="428" ht="24" customHeight="1">
      <x:c r="A428" s="32" t="str">
        <x:v>F009</x:v>
      </x:c>
      <x:c r="B428" s="32" t="str">
        <x:v>C02</x:v>
      </x:c>
      <x:c r="C428" s="32" t="n">
        <x:v>53</x:v>
      </x:c>
      <x:c r="D428" s="33" t="str">
        <x:v>{"Data":"sáb., 22 de ago. de 2026","Impr.":"2.106","Cliques":"1","Conversões":"0,00","Custo":"R$ 9,88"}</x:v>
      </x:c>
    </x:row>
    <x:row r="429" ht="24" customHeight="1">
      <x:c r="A429" s="32" t="str">
        <x:v>F009</x:v>
      </x:c>
      <x:c r="B429" s="32" t="str">
        <x:v>C02</x:v>
      </x:c>
      <x:c r="C429" s="32" t="n">
        <x:v>54</x:v>
      </x:c>
      <x:c r="D429" s="33" t="str">
        <x:v>{"Data":"dom., 23 de ago. de 2026","Impr.":"2.200","Cliques":"0","Conversões":"0,00","Custo":"R$ 9,63"}</x:v>
      </x:c>
    </x:row>
    <x:row r="430" ht="24" customHeight="1">
      <x:c r="A430" s="32" t="str">
        <x:v>F009</x:v>
      </x:c>
      <x:c r="B430" s="32" t="str">
        <x:v>C02</x:v>
      </x:c>
      <x:c r="C430" s="32" t="n">
        <x:v>55</x:v>
      </x:c>
      <x:c r="D430" s="33" t="str">
        <x:v>{"Data":"seg., 24 de ago. de 2026","Impr.":"2.129","Cliques":"0","Conversões":"0,00","Custo":"R$ 9,59"}</x:v>
      </x:c>
    </x:row>
    <x:row r="431" ht="24" customHeight="1">
      <x:c r="A431" s="32" t="str">
        <x:v>F009</x:v>
      </x:c>
      <x:c r="B431" s="32" t="str">
        <x:v>C02</x:v>
      </x:c>
      <x:c r="C431" s="32" t="n">
        <x:v>56</x:v>
      </x:c>
      <x:c r="D431" s="33" t="str">
        <x:v>{"Data":"ter., 25 de ago. de 2026","Impr.":"1.906","Cliques":"0","Conversões":"0,00","Custo":"R$ 9,59"}</x:v>
      </x:c>
    </x:row>
    <x:row r="432" ht="24" customHeight="1">
      <x:c r="A432" s="32" t="str">
        <x:v>F009</x:v>
      </x:c>
      <x:c r="B432" s="32" t="str">
        <x:v>C02</x:v>
      </x:c>
      <x:c r="C432" s="32" t="n">
        <x:v>57</x:v>
      </x:c>
      <x:c r="D432" s="33" t="str">
        <x:v>{"Data":"qua., 26 de ago. de 2026","Impr.":"1.344","Cliques":"0","Conversões":"0,00","Custo":"R$ 6,30"}</x:v>
      </x:c>
    </x:row>
    <x:row r="433" ht="24" customHeight="1">
      <x:c r="A433" s="32" t="str">
        <x:v>F009</x:v>
      </x:c>
      <x:c r="B433" s="32" t="str">
        <x:v>C02</x:v>
      </x:c>
      <x:c r="C433" s="32" t="n">
        <x:v>58</x:v>
      </x:c>
      <x:c r="D433" s="33" t="str">
        <x:v>{"Data":"qui., 27 de ago. de 2026","Impr.":"2.386","Cliques":"0","Conversões":"0,00","Custo":"R$ 12,65"}</x:v>
      </x:c>
    </x:row>
    <x:row r="434" ht="24" customHeight="1">
      <x:c r="A434" s="32" t="str">
        <x:v>F009</x:v>
      </x:c>
      <x:c r="B434" s="32" t="str">
        <x:v>C02</x:v>
      </x:c>
      <x:c r="C434" s="32" t="n">
        <x:v>59</x:v>
      </x:c>
      <x:c r="D434" s="33" t="str">
        <x:v>{"Data":"sex., 28 de ago. de 2026","Impr.":"1.713","Cliques":"0","Conversões":"0,00","Custo":"R$ 9,41"}</x:v>
      </x:c>
    </x:row>
    <x:row r="435" ht="24" customHeight="1">
      <x:c r="A435" s="32" t="str">
        <x:v>F009</x:v>
      </x:c>
      <x:c r="B435" s="32" t="str">
        <x:v>C02</x:v>
      </x:c>
      <x:c r="C435" s="32" t="n">
        <x:v>60</x:v>
      </x:c>
      <x:c r="D435" s="33" t="str">
        <x:v>{"Data":"sáb., 29 de ago. de 2026","Impr.":"1.528","Cliques":"2","Conversões":"0,00","Custo":"R$ 9,18"}</x:v>
      </x:c>
    </x:row>
    <x:row r="436" ht="24" customHeight="1">
      <x:c r="A436" s="32" t="str">
        <x:v>F009</x:v>
      </x:c>
      <x:c r="B436" s="32" t="str">
        <x:v>C02</x:v>
      </x:c>
      <x:c r="C436" s="32" t="n">
        <x:v>61</x:v>
      </x:c>
      <x:c r="D436" s="33" t="str">
        <x:v>{"Data":"dom., 30 de ago. de 2026","Impr.":"1.608","Cliques":"1","Conversões":"0,00","Custo":"R$ 8,91"}</x:v>
      </x:c>
    </x:row>
    <x:row r="437" ht="24" customHeight="1">
      <x:c r="A437" s="32" t="str">
        <x:v>F009</x:v>
      </x:c>
      <x:c r="B437" s="32" t="str">
        <x:v>C02</x:v>
      </x:c>
      <x:c r="C437" s="32" t="n">
        <x:v>62</x:v>
      </x:c>
      <x:c r="D437" s="33" t="str">
        <x:v>{"Data":"seg., 31 de ago. de 2026","Impr.":"1.593","Cliques":"0","Conversões":"0,00","Custo":"R$ 8,15"}</x:v>
      </x:c>
    </x:row>
    <x:row r="438" ht="24" customHeight="1">
      <x:c r="A438" s="32" t="str">
        <x:v>F009</x:v>
      </x:c>
      <x:c r="B438" s="32" t="str">
        <x:v>C02</x:v>
      </x:c>
      <x:c r="C438" s="32" t="n">
        <x:v>63</x:v>
      </x:c>
      <x:c r="D438" s="33" t="str">
        <x:v>{"Data":"ter., 1 de set. de 2026","Impr.":"2.140","Cliques":"0","Conversões":"0,00","Custo":"R$ 10,58"}</x:v>
      </x:c>
    </x:row>
    <x:row r="439" ht="24" customHeight="1">
      <x:c r="A439" s="32" t="str">
        <x:v>F009</x:v>
      </x:c>
      <x:c r="B439" s="32" t="str">
        <x:v>C02</x:v>
      </x:c>
      <x:c r="C439" s="32" t="n">
        <x:v>64</x:v>
      </x:c>
      <x:c r="D439" s="33" t="str">
        <x:v>{"Data":"qua., 2 de set. de 2026","Impr.":"1.876","Cliques":"2","Conversões":"0,00","Custo":"R$ 10,58"}</x:v>
      </x:c>
    </x:row>
    <x:row r="440" ht="24" customHeight="1">
      <x:c r="A440" s="32" t="str">
        <x:v>F009</x:v>
      </x:c>
      <x:c r="B440" s="32" t="str">
        <x:v>C02</x:v>
      </x:c>
      <x:c r="C440" s="32" t="n">
        <x:v>65</x:v>
      </x:c>
      <x:c r="D440" s="33" t="str">
        <x:v>{"Data":"qui., 3 de set. de 2026","Impr.":"2.390","Cliques":"0","Conversões":"0,00","Custo":"R$ 10,60"}</x:v>
      </x:c>
    </x:row>
    <x:row r="441" ht="24" customHeight="1">
      <x:c r="A441" s="32" t="str">
        <x:v>F009</x:v>
      </x:c>
      <x:c r="B441" s="32" t="str">
        <x:v>C02</x:v>
      </x:c>
      <x:c r="C441" s="32" t="n">
        <x:v>66</x:v>
      </x:c>
      <x:c r="D441" s="33" t="str">
        <x:v>{"Data":"sex., 4 de set. de 2026","Impr.":"2.049","Cliques":"1","Conversões":"0,00","Custo":"R$ 10,18"}</x:v>
      </x:c>
    </x:row>
    <x:row r="442" ht="24" customHeight="1">
      <x:c r="A442" s="32" t="str">
        <x:v>F009</x:v>
      </x:c>
      <x:c r="B442" s="32" t="str">
        <x:v>C02</x:v>
      </x:c>
      <x:c r="C442" s="32" t="n">
        <x:v>67</x:v>
      </x:c>
      <x:c r="D442" s="33" t="str">
        <x:v>{"Data":"sáb., 5 de set. de 2026","Impr.":"2.250","Cliques":"2","Conversões":"0,00","Custo":"R$ 10,62"}</x:v>
      </x:c>
    </x:row>
    <x:row r="443" ht="24" customHeight="1">
      <x:c r="A443" s="32" t="str">
        <x:v>F009</x:v>
      </x:c>
      <x:c r="B443" s="32" t="str">
        <x:v>C02</x:v>
      </x:c>
      <x:c r="C443" s="32" t="n">
        <x:v>68</x:v>
      </x:c>
      <x:c r="D443" s="33" t="str">
        <x:v>{"Data":"dom., 6 de set. de 2026","Impr.":"2.345","Cliques":"3","Conversões":"0,00","Custo":"R$ 10,53"}</x:v>
      </x:c>
    </x:row>
    <x:row r="444" ht="24" customHeight="1">
      <x:c r="A444" s="32" t="str">
        <x:v>F009</x:v>
      </x:c>
      <x:c r="B444" s="32" t="str">
        <x:v>C02</x:v>
      </x:c>
      <x:c r="C444" s="32" t="n">
        <x:v>69</x:v>
      </x:c>
      <x:c r="D444" s="33" t="str">
        <x:v>{"Data":"seg., 7 de set. de 2026","Impr.":"2.460","Cliques":"0","Conversões":"0,00","Custo":"R$ 10,58"}</x:v>
      </x:c>
    </x:row>
    <x:row r="445" ht="24" customHeight="1">
      <x:c r="A445" s="32" t="str">
        <x:v>F009</x:v>
      </x:c>
      <x:c r="B445" s="32" t="str">
        <x:v>C02</x:v>
      </x:c>
      <x:c r="C445" s="32" t="n">
        <x:v>70</x:v>
      </x:c>
      <x:c r="D445" s="33" t="str">
        <x:v>{"Data":"ter., 8 de set. de 2026","Impr.":"2.705","Cliques":"0","Conversões":"0,00","Custo":"R$ 10,56"}</x:v>
      </x:c>
    </x:row>
    <x:row r="446" ht="24" customHeight="1">
      <x:c r="A446" s="32" t="str">
        <x:v>F009</x:v>
      </x:c>
      <x:c r="B446" s="32" t="str">
        <x:v>C02</x:v>
      </x:c>
      <x:c r="C446" s="32" t="n">
        <x:v>71</x:v>
      </x:c>
      <x:c r="D446" s="33" t="str">
        <x:v>{"Data":"qua., 9 de set. de 2026","Impr.":"2.484","Cliques":"0","Conversões":"0,00","Custo":"R$ 10,53"}</x:v>
      </x:c>
    </x:row>
    <x:row r="447" ht="24" customHeight="1">
      <x:c r="A447" s="32" t="str">
        <x:v>F009</x:v>
      </x:c>
      <x:c r="B447" s="32" t="str">
        <x:v>C02</x:v>
      </x:c>
      <x:c r="C447" s="32" t="n">
        <x:v>72</x:v>
      </x:c>
      <x:c r="D447" s="33" t="str">
        <x:v>{"Data":"qui., 10 de set. de 2026","Impr.":"2.273","Cliques":"0","Conversões":"0,00","Custo":"R$ 10,45"}</x:v>
      </x:c>
    </x:row>
    <x:row r="448" ht="24" customHeight="1">
      <x:c r="A448" s="32" t="str">
        <x:v>F009</x:v>
      </x:c>
      <x:c r="B448" s="32" t="str">
        <x:v>C02</x:v>
      </x:c>
      <x:c r="C448" s="32" t="n">
        <x:v>73</x:v>
      </x:c>
      <x:c r="D448" s="33" t="str">
        <x:v>{"Data":"sex., 11 de set. de 2026","Impr.":"2.435","Cliques":"0","Conversões":"0,00","Custo":"R$ 10,50"}</x:v>
      </x:c>
    </x:row>
    <x:row r="449" ht="24" customHeight="1">
      <x:c r="A449" s="32" t="str">
        <x:v>F009</x:v>
      </x:c>
      <x:c r="B449" s="32" t="str">
        <x:v>C02</x:v>
      </x:c>
      <x:c r="C449" s="32" t="n">
        <x:v>74</x:v>
      </x:c>
      <x:c r="D449" s="33" t="str">
        <x:v>{"Data":"sáb., 12 de set. de 2026","Impr.":"2.433","Cliques":"0","Conversões":"0,00","Custo":"R$ 10,40"}</x:v>
      </x:c>
    </x:row>
    <x:row r="450" ht="24" customHeight="1">
      <x:c r="A450" s="32" t="str">
        <x:v>F009</x:v>
      </x:c>
      <x:c r="B450" s="32" t="str">
        <x:v>C02</x:v>
      </x:c>
      <x:c r="C450" s="32" t="n">
        <x:v>75</x:v>
      </x:c>
      <x:c r="D450" s="33" t="str">
        <x:v>{"Data":"dom., 13 de set. de 2026","Impr.":"2.468","Cliques":"0","Conversões":"0,00","Custo":"R$ 10,39"}</x:v>
      </x:c>
    </x:row>
    <x:row r="451" ht="24" customHeight="1">
      <x:c r="A451" s="32" t="str">
        <x:v>F009</x:v>
      </x:c>
      <x:c r="B451" s="32" t="str">
        <x:v>C02</x:v>
      </x:c>
      <x:c r="C451" s="32" t="n">
        <x:v>76</x:v>
      </x:c>
      <x:c r="D451" s="33" t="str">
        <x:v>{"Data":"seg., 14 de set. de 2026","Impr.":"2.430","Cliques":"0","Conversões":"0,00","Custo":"R$ 10,35"}</x:v>
      </x:c>
    </x:row>
    <x:row r="452" ht="24" customHeight="1">
      <x:c r="A452" s="32" t="str">
        <x:v>F009</x:v>
      </x:c>
      <x:c r="B452" s="32" t="str">
        <x:v>C02</x:v>
      </x:c>
      <x:c r="C452" s="32" t="n">
        <x:v>77</x:v>
      </x:c>
      <x:c r="D452" s="33" t="str">
        <x:v>{"Data":"ter., 15 de set. de 2026","Impr.":"2.464","Cliques":"1","Conversões":"0,00","Custo":"R$ 10,30"}</x:v>
      </x:c>
    </x:row>
    <x:row r="453" ht="24" customHeight="1">
      <x:c r="A453" s="32" t="str">
        <x:v>F009</x:v>
      </x:c>
      <x:c r="B453" s="32" t="str">
        <x:v>C02</x:v>
      </x:c>
      <x:c r="C453" s="32" t="n">
        <x:v>78</x:v>
      </x:c>
      <x:c r="D453" s="33" t="str">
        <x:v>{"Data":"qua., 16 de set. de 2026","Impr.":"2.440","Cliques":"1","Conversões":"0,00","Custo":"R$ 10,28"}</x:v>
      </x:c>
    </x:row>
    <x:row r="454" ht="24" customHeight="1">
      <x:c r="A454" s="32" t="str">
        <x:v>F009</x:v>
      </x:c>
      <x:c r="B454" s="32" t="str">
        <x:v>C02</x:v>
      </x:c>
      <x:c r="C454" s="32" t="n">
        <x:v>79</x:v>
      </x:c>
      <x:c r="D454" s="33" t="str">
        <x:v>{"Data":"qui., 17 de set. de 2026","Impr.":"2.462","Cliques":"0","Conversões":"0,00","Custo":"R$ 10,23"}</x:v>
      </x:c>
    </x:row>
    <x:row r="455" ht="24" customHeight="1">
      <x:c r="A455" s="32" t="str">
        <x:v>F009</x:v>
      </x:c>
      <x:c r="B455" s="32" t="str">
        <x:v>C02</x:v>
      </x:c>
      <x:c r="C455" s="32" t="n">
        <x:v>80</x:v>
      </x:c>
      <x:c r="D455" s="33" t="str">
        <x:v>{"Data":"sex., 18 de set. de 2026","Impr.":"2.332","Cliques":"0","Conversões":"0,00","Custo":"R$ 10,21"}</x:v>
      </x:c>
    </x:row>
    <x:row r="456" ht="24" customHeight="1">
      <x:c r="A456" s="32" t="str">
        <x:v>F009</x:v>
      </x:c>
      <x:c r="B456" s="32" t="str">
        <x:v>C02</x:v>
      </x:c>
      <x:c r="C456" s="32" t="n">
        <x:v>81</x:v>
      </x:c>
      <x:c r="D456" s="33" t="str">
        <x:v>{"Data":"sáb., 19 de set. de 2026","Impr.":"2.243","Cliques":"0","Conversões":"0,00","Custo":"R$ 10,18"}</x:v>
      </x:c>
    </x:row>
    <x:row r="457" ht="24" customHeight="1">
      <x:c r="A457" s="32" t="str">
        <x:v>F009</x:v>
      </x:c>
      <x:c r="B457" s="32" t="str">
        <x:v>C02</x:v>
      </x:c>
      <x:c r="C457" s="32" t="n">
        <x:v>82</x:v>
      </x:c>
      <x:c r="D457" s="33" t="str">
        <x:v>{"Data":"dom., 20 de set. de 2026","Impr.":"2.122","Cliques":"2","Conversões":"0,00","Custo":"R$ 10,25"}</x:v>
      </x:c>
    </x:row>
    <x:row r="458" ht="24" customHeight="1">
      <x:c r="A458" s="32" t="str">
        <x:v>F009</x:v>
      </x:c>
      <x:c r="B458" s="32" t="str">
        <x:v>C02</x:v>
      </x:c>
      <x:c r="C458" s="32" t="n">
        <x:v>83</x:v>
      </x:c>
      <x:c r="D458" s="33" t="str">
        <x:v>{"Data":"seg., 21 de set. de 2026","Impr.":"2.226","Cliques":"1","Conversões":"0,00","Custo":"R$ 9,98"}</x:v>
      </x:c>
    </x:row>
    <x:row r="459" ht="24" customHeight="1">
      <x:c r="A459" s="32" t="str">
        <x:v>F009</x:v>
      </x:c>
      <x:c r="B459" s="32" t="str">
        <x:v>C02</x:v>
      </x:c>
      <x:c r="C459" s="32" t="n">
        <x:v>84</x:v>
      </x:c>
      <x:c r="D459" s="33" t="str">
        <x:v>{"Data":"ter., 22 de set. de 2026","Impr.":"2.412","Cliques":"0","Conversões":"0,00","Custo":"R$ 10,03"}</x:v>
      </x:c>
    </x:row>
    <x:row r="460" ht="24" customHeight="1">
      <x:c r="A460" s="32" t="str">
        <x:v>F009</x:v>
      </x:c>
      <x:c r="B460" s="32" t="str">
        <x:v>C02</x:v>
      </x:c>
      <x:c r="C460" s="32" t="n">
        <x:v>85</x:v>
      </x:c>
      <x:c r="D460" s="33" t="str">
        <x:v>{"Data":"qua., 23 de set. de 2026","Impr.":"2.256","Cliques":"0","Conversões":"0,00","Custo":"R$ 9,93"}</x:v>
      </x:c>
    </x:row>
    <x:row r="461" ht="24" customHeight="1">
      <x:c r="A461" s="32" t="str">
        <x:v>F009</x:v>
      </x:c>
      <x:c r="B461" s="32" t="str">
        <x:v>C02</x:v>
      </x:c>
      <x:c r="C461" s="32" t="n">
        <x:v>86</x:v>
      </x:c>
      <x:c r="D461" s="33" t="str">
        <x:v>{"Data":"qui., 24 de set. de 2026","Impr.":"182","Cliques":"0","Conversões":"0,00","Custo":"R$ 0,79"}</x:v>
      </x:c>
    </x:row>
    <x:row r="462" ht="24" customHeight="1">
      <x:c r="A462" s="32" t="str">
        <x:v>F009</x:v>
      </x:c>
      <x:c r="B462" s="32" t="str">
        <x:v>C02</x:v>
      </x:c>
      <x:c r="C462" s="32" t="n">
        <x:v>87</x:v>
      </x:c>
      <x:c r="D462" s="33" t="str">
        <x:v>{"Data":"sex., 25 de set. de 2026","Impr.":"10","Cliques":"0","Conversões":"0,00","Custo":"R$ 0,03"}</x:v>
      </x:c>
    </x:row>
    <x:row r="463" ht="24" customHeight="1">
      <x:c r="A463" s="32" t="str">
        <x:v>F009</x:v>
      </x:c>
      <x:c r="B463" s="32" t="str">
        <x:v>C02</x:v>
      </x:c>
      <x:c r="C463" s="32" t="n">
        <x:v>88</x:v>
      </x:c>
      <x:c r="D463" s="33" t="str">
        <x:v>{"Data":"sáb., 26 de set. de 2026","Impr.":"0","Cliques":"0","Conversões":"0,00","Custo":"R$ 0,00"}</x:v>
      </x:c>
    </x:row>
    <x:row r="464" ht="24" customHeight="1">
      <x:c r="A464" s="32" t="str">
        <x:v>F009</x:v>
      </x:c>
      <x:c r="B464" s="32" t="str">
        <x:v>C02</x:v>
      </x:c>
      <x:c r="C464" s="32" t="n">
        <x:v>89</x:v>
      </x:c>
      <x:c r="D464" s="33" t="str">
        <x:v>{"Data":"dom., 27 de set. de 2026","Impr.":"1","Cliques":"0","Conversões":"0,00","Custo":"R$ 0,00"}</x:v>
      </x:c>
    </x:row>
    <x:row r="465" ht="24" customHeight="1">
      <x:c r="A465" s="32" t="str">
        <x:v>F009</x:v>
      </x:c>
      <x:c r="B465" s="32" t="str">
        <x:v>C02</x:v>
      </x:c>
      <x:c r="C465" s="32" t="n">
        <x:v>90</x:v>
      </x:c>
      <x:c r="D465" s="33" t="str">
        <x:v>{"Data":"seg., 28 de set. de 2026","Impr.":"0","Cliques":"0","Conversões":"0,00","Custo":"R$ 0,00"}</x:v>
      </x:c>
    </x:row>
    <x:row r="466" ht="24" customHeight="1">
      <x:c r="A466" s="32" t="str">
        <x:v>F009</x:v>
      </x:c>
      <x:c r="B466" s="32" t="str">
        <x:v>C02</x:v>
      </x:c>
      <x:c r="C466" s="32" t="n">
        <x:v>91</x:v>
      </x:c>
      <x:c r="D466" s="33" t="str">
        <x:v>{"Data":"ter., 29 de set. de 2026","Impr.":"2","Cliques":"0","Conversões":"0,00","Custo":"R$ 0,00"}</x:v>
      </x:c>
    </x:row>
    <x:row r="467" ht="24" customHeight="1">
      <x:c r="A467" s="32" t="str">
        <x:v>F009</x:v>
      </x:c>
      <x:c r="B467" s="32" t="str">
        <x:v>C02</x:v>
      </x:c>
      <x:c r="C467" s="32" t="n">
        <x:v>92</x:v>
      </x:c>
      <x:c r="D467" s="33" t="str">
        <x:v>{"Data":"qua., 30 de set. de 2026","Impr.":"0","Cliques":"0","Conversões":"0,00","Custo":"R$ 0,00"}</x:v>
      </x:c>
    </x:row>
    <x:row r="468" ht="24" customHeight="1">
      <x:c r="A468" s="32" t="str">
        <x:v>F009</x:v>
      </x:c>
      <x:c r="B468" s="32" t="str">
        <x:v>C02</x:v>
      </x:c>
      <x:c r="C468" s="32" t="n">
        <x:v>93</x:v>
      </x:c>
      <x:c r="D468" s="33" t="str">
        <x:v>{"Data":"qui., 1 de out. de 2026","Impr.":"2.290","Cliques":"0","Conversões":"0,00","Custo":"R$ 9,79"}</x:v>
      </x:c>
    </x:row>
    <x:row r="469" ht="24" customHeight="1">
      <x:c r="A469" s="32" t="str">
        <x:v>F009</x:v>
      </x:c>
      <x:c r="B469" s="32" t="str">
        <x:v>C02</x:v>
      </x:c>
      <x:c r="C469" s="32" t="n">
        <x:v>94</x:v>
      </x:c>
      <x:c r="D469" s="33" t="str">
        <x:v>{"Data":"sex., 2 de out. de 2026","Impr.":"3.082","Cliques":"1","Conversões":"0,00","Custo":"R$ 10,29"}</x:v>
      </x:c>
    </x:row>
    <x:row r="470" ht="24" customHeight="1">
      <x:c r="A470" s="32" t="str">
        <x:v>F009</x:v>
      </x:c>
      <x:c r="B470" s="32" t="str">
        <x:v>C02</x:v>
      </x:c>
      <x:c r="C470" s="32" t="n">
        <x:v>95</x:v>
      </x:c>
      <x:c r="D470" s="33" t="str">
        <x:v>{"Data":"sáb., 3 de out. de 2026","Impr.":"2.729","Cliques":"0","Conversões":"0,00","Custo":"R$ 10,28"}</x:v>
      </x:c>
    </x:row>
    <x:row r="471" ht="24" customHeight="1">
      <x:c r="A471" s="32" t="str">
        <x:v>F009</x:v>
      </x:c>
      <x:c r="B471" s="32" t="str">
        <x:v>C02</x:v>
      </x:c>
      <x:c r="C471" s="32" t="n">
        <x:v>96</x:v>
      </x:c>
      <x:c r="D471" s="33" t="str">
        <x:v>{"Data":"dom., 4 de out. de 2026","Impr.":"2.771","Cliques":"0","Conversões":"0,00","Custo":"R$ 10,31"}</x:v>
      </x:c>
    </x:row>
    <x:row r="472" ht="24" customHeight="1">
      <x:c r="A472" s="32" t="str">
        <x:v>F009</x:v>
      </x:c>
      <x:c r="B472" s="32" t="str">
        <x:v>C02</x:v>
      </x:c>
      <x:c r="C472" s="32" t="n">
        <x:v>97</x:v>
      </x:c>
      <x:c r="D472" s="33" t="str">
        <x:v>{"Data":"seg., 5 de out. de 2026","Impr.":"2.899","Cliques":"0","Conversões":"0,00","Custo":"R$ 10,22"}</x:v>
      </x:c>
    </x:row>
    <x:row r="473" ht="24" customHeight="1">
      <x:c r="A473" s="32" t="str">
        <x:v>F009</x:v>
      </x:c>
      <x:c r="B473" s="32" t="str">
        <x:v>C02</x:v>
      </x:c>
      <x:c r="C473" s="32" t="n">
        <x:v>98</x:v>
      </x:c>
      <x:c r="D473" s="33" t="str">
        <x:v>{"Data":"ter., 6 de out. de 2026","Impr.":"3.044","Cliques":"0","Conversões":"0,00","Custo":"R$ 10,21"}</x:v>
      </x:c>
    </x:row>
    <x:row r="474" ht="24" customHeight="1">
      <x:c r="A474" s="32" t="str">
        <x:v>F009</x:v>
      </x:c>
      <x:c r="B474" s="32" t="str">
        <x:v>C02</x:v>
      </x:c>
      <x:c r="C474" s="32" t="n">
        <x:v>99</x:v>
      </x:c>
      <x:c r="D474" s="33" t="str">
        <x:v>{"Data":"qua., 7 de out. de 2026","Impr.":"3.050","Cliques":"0","Conversões":"0,00","Custo":"R$ 10,20"}</x:v>
      </x:c>
    </x:row>
    <x:row r="475" ht="24" customHeight="1">
      <x:c r="A475" s="32" t="str">
        <x:v>F009</x:v>
      </x:c>
      <x:c r="B475" s="32" t="str">
        <x:v>C02</x:v>
      </x:c>
      <x:c r="C475" s="32" t="n">
        <x:v>100</x:v>
      </x:c>
      <x:c r="D475" s="33" t="str">
        <x:v>{"Data":"qui., 8 de out. de 2026","Impr.":"2.851","Cliques":"0","Conversões":"0,00","Custo":"R$ 10,34"}</x:v>
      </x:c>
    </x:row>
    <x:row r="476" ht="24" customHeight="1">
      <x:c r="A476" s="32" t="str">
        <x:v>F009</x:v>
      </x:c>
      <x:c r="B476" s="32" t="str">
        <x:v>C02</x:v>
      </x:c>
      <x:c r="C476" s="32" t="n">
        <x:v>101</x:v>
      </x:c>
      <x:c r="D476" s="33" t="str">
        <x:v>{"Data":"sex., 9 de out. de 2026","Impr.":"2.782","Cliques":"1","Conversões":"0,00","Custo":"R$ 10,27"}</x:v>
      </x:c>
    </x:row>
    <x:row r="477" ht="24" customHeight="1">
      <x:c r="A477" s="32" t="str">
        <x:v>F009</x:v>
      </x:c>
      <x:c r="B477" s="32" t="str">
        <x:v>C02</x:v>
      </x:c>
      <x:c r="C477" s="32" t="n">
        <x:v>102</x:v>
      </x:c>
      <x:c r="D477" s="33" t="str">
        <x:v>{"Data":"sáb., 10 de out. de 2026","Impr.":"2.880","Cliques":"0","Conversões":"0,00","Custo":"R$ 10,19"}</x:v>
      </x:c>
    </x:row>
    <x:row r="478" ht="24" customHeight="1">
      <x:c r="A478" s="32" t="str">
        <x:v>F009</x:v>
      </x:c>
      <x:c r="B478" s="32" t="str">
        <x:v>C02</x:v>
      </x:c>
      <x:c r="C478" s="32" t="n">
        <x:v>103</x:v>
      </x:c>
      <x:c r="D478" s="33" t="str">
        <x:v>{"Data":"dom., 11 de out. de 2026","Impr.":"2.688","Cliques":"0","Conversões":"0,00","Custo":"R$ 10,08"}</x:v>
      </x:c>
    </x:row>
    <x:row r="479" ht="24" customHeight="1">
      <x:c r="A479" s="32" t="str">
        <x:v>F009</x:v>
      </x:c>
      <x:c r="B479" s="32" t="str">
        <x:v>C02</x:v>
      </x:c>
      <x:c r="C479" s="32" t="n">
        <x:v>104</x:v>
      </x:c>
      <x:c r="D479" s="33" t="str">
        <x:v>{"Data":"seg., 12 de out. de 2026","Impr.":"2.628","Cliques":"0","Conversões":"0,00","Custo":"R$ 10,10"}</x:v>
      </x:c>
    </x:row>
    <x:row r="480" ht="24" customHeight="1">
      <x:c r="A480" s="32" t="str">
        <x:v>F009</x:v>
      </x:c>
      <x:c r="B480" s="32" t="str">
        <x:v>C02</x:v>
      </x:c>
      <x:c r="C480" s="32" t="n">
        <x:v>105</x:v>
      </x:c>
      <x:c r="D480" s="33" t="str">
        <x:v>{"Data":"ter., 13 de out. de 2026","Impr.":"2.534","Cliques":"0","Conversões":"0,00","Custo":"R$ 10,04"}</x:v>
      </x:c>
    </x:row>
    <x:row r="481" ht="24" customHeight="1">
      <x:c r="A481" s="32" t="str">
        <x:v>F010</x:v>
      </x:c>
      <x:c r="B481" s="32" t="str">
        <x:v>C02</x:v>
      </x:c>
      <x:c r="C481" s="32" t="n">
        <x:v>1</x:v>
      </x:c>
      <x:c r="D481" s="33" t="str">
        <x:v>{"Data":"qua., 1 de jul. de 2026","Cliques":"0","Visualizações públicas do YouTube":"0","Shorts":"—","Custo":"R$ 0,00"}</x:v>
      </x:c>
    </x:row>
    <x:row r="482" ht="24" customHeight="1">
      <x:c r="A482" s="32" t="str">
        <x:v>F010</x:v>
      </x:c>
      <x:c r="B482" s="32" t="str">
        <x:v>C02</x:v>
      </x:c>
      <x:c r="C482" s="32" t="n">
        <x:v>2</x:v>
      </x:c>
      <x:c r="D482" s="33" t="str">
        <x:v>{"Data":"qui., 2 de jul. de 2026","Cliques":"0","Visualizações públicas do YouTube":"0","Shorts":"—","Custo":"R$ 0,00"}</x:v>
      </x:c>
    </x:row>
    <x:row r="483" ht="24" customHeight="1">
      <x:c r="A483" s="32" t="str">
        <x:v>F010</x:v>
      </x:c>
      <x:c r="B483" s="32" t="str">
        <x:v>C02</x:v>
      </x:c>
      <x:c r="C483" s="32" t="n">
        <x:v>3</x:v>
      </x:c>
      <x:c r="D483" s="33" t="str">
        <x:v>{"Data":"sex., 3 de jul. de 2026","Cliques":"0","Visualizações públicas do YouTube":"0","Shorts":"—","Custo":"R$ 0,00"}</x:v>
      </x:c>
    </x:row>
    <x:row r="484" ht="24" customHeight="1">
      <x:c r="A484" s="32" t="str">
        <x:v>F010</x:v>
      </x:c>
      <x:c r="B484" s="32" t="str">
        <x:v>C02</x:v>
      </x:c>
      <x:c r="C484" s="32" t="n">
        <x:v>4</x:v>
      </x:c>
      <x:c r="D484" s="33" t="str">
        <x:v>{"Data":"sáb., 4 de jul. de 2026","Cliques":"0","Visualizações públicas do YouTube":"0","Shorts":"—","Custo":"R$ 0,00"}</x:v>
      </x:c>
    </x:row>
    <x:row r="485" ht="24" customHeight="1">
      <x:c r="A485" s="32" t="str">
        <x:v>F010</x:v>
      </x:c>
      <x:c r="B485" s="32" t="str">
        <x:v>C02</x:v>
      </x:c>
      <x:c r="C485" s="32" t="n">
        <x:v>5</x:v>
      </x:c>
      <x:c r="D485" s="33" t="str">
        <x:v>{"Data":"dom., 5 de jul. de 2026","Cliques":"0","Visualizações públicas do YouTube":"0","Shorts":"—","Custo":"R$ 0,00"}</x:v>
      </x:c>
    </x:row>
    <x:row r="486" ht="24" customHeight="1">
      <x:c r="A486" s="32" t="str">
        <x:v>F010</x:v>
      </x:c>
      <x:c r="B486" s="32" t="str">
        <x:v>C02</x:v>
      </x:c>
      <x:c r="C486" s="32" t="n">
        <x:v>6</x:v>
      </x:c>
      <x:c r="D486" s="33" t="str">
        <x:v>{"Data":"seg., 6 de jul. de 2026","Cliques":"0","Visualizações públicas do YouTube":"0","Shorts":"—","Custo":"R$ 0,00"}</x:v>
      </x:c>
    </x:row>
    <x:row r="487" ht="24" customHeight="1">
      <x:c r="A487" s="32" t="str">
        <x:v>F010</x:v>
      </x:c>
      <x:c r="B487" s="32" t="str">
        <x:v>C02</x:v>
      </x:c>
      <x:c r="C487" s="32" t="n">
        <x:v>7</x:v>
      </x:c>
      <x:c r="D487" s="33" t="str">
        <x:v>{"Data":"ter., 7 de jul. de 2026","Cliques":"0","Visualizações públicas do YouTube":"0","Shorts":"—","Custo":"R$ 0,00"}</x:v>
      </x:c>
    </x:row>
    <x:row r="488" ht="24" customHeight="1">
      <x:c r="A488" s="32" t="str">
        <x:v>F010</x:v>
      </x:c>
      <x:c r="B488" s="32" t="str">
        <x:v>C02</x:v>
      </x:c>
      <x:c r="C488" s="32" t="n">
        <x:v>8</x:v>
      </x:c>
      <x:c r="D488" s="33" t="str">
        <x:v>{"Data":"qua., 8 de jul. de 2026","Cliques":"0","Visualizações públicas do YouTube":"0","Shorts":"—","Custo":"R$ 0,00"}</x:v>
      </x:c>
    </x:row>
    <x:row r="489" ht="24" customHeight="1">
      <x:c r="A489" s="32" t="str">
        <x:v>F010</x:v>
      </x:c>
      <x:c r="B489" s="32" t="str">
        <x:v>C02</x:v>
      </x:c>
      <x:c r="C489" s="32" t="n">
        <x:v>9</x:v>
      </x:c>
      <x:c r="D489" s="33" t="str">
        <x:v>{"Data":"qui., 9 de jul. de 2026","Cliques":"0","Visualizações públicas do YouTube":"0","Shorts":"—","Custo":"R$ 0,00"}</x:v>
      </x:c>
    </x:row>
    <x:row r="490" ht="24" customHeight="1">
      <x:c r="A490" s="32" t="str">
        <x:v>F010</x:v>
      </x:c>
      <x:c r="B490" s="32" t="str">
        <x:v>C02</x:v>
      </x:c>
      <x:c r="C490" s="32" t="n">
        <x:v>10</x:v>
      </x:c>
      <x:c r="D490" s="33" t="str">
        <x:v>{"Data":"sex., 10 de jul. de 2026","Cliques":"0","Visualizações públicas do YouTube":"0","Shorts":"—","Custo":"R$ 0,00"}</x:v>
      </x:c>
    </x:row>
    <x:row r="491" ht="24" customHeight="1">
      <x:c r="A491" s="32" t="str">
        <x:v>F010</x:v>
      </x:c>
      <x:c r="B491" s="32" t="str">
        <x:v>C02</x:v>
      </x:c>
      <x:c r="C491" s="32" t="n">
        <x:v>11</x:v>
      </x:c>
      <x:c r="D491" s="33" t="str">
        <x:v>{"Data":"sáb., 11 de jul. de 2026","Cliques":"0","Visualizações públicas do YouTube":"0","Shorts":"—","Custo":"R$ 0,00"}</x:v>
      </x:c>
    </x:row>
    <x:row r="492" ht="24" customHeight="1">
      <x:c r="A492" s="32" t="str">
        <x:v>F010</x:v>
      </x:c>
      <x:c r="B492" s="32" t="str">
        <x:v>C02</x:v>
      </x:c>
      <x:c r="C492" s="32" t="n">
        <x:v>12</x:v>
      </x:c>
      <x:c r="D492" s="33" t="str">
        <x:v>{"Data":"dom., 12 de jul. de 2026","Cliques":"0","Visualizações públicas do YouTube":"0","Shorts":"—","Custo":"R$ 0,00"}</x:v>
      </x:c>
    </x:row>
    <x:row r="493" ht="24" customHeight="1">
      <x:c r="A493" s="32" t="str">
        <x:v>F010</x:v>
      </x:c>
      <x:c r="B493" s="32" t="str">
        <x:v>C02</x:v>
      </x:c>
      <x:c r="C493" s="32" t="n">
        <x:v>13</x:v>
      </x:c>
      <x:c r="D493" s="33" t="str">
        <x:v>{"Data":"seg., 13 de jul. de 2026","Cliques":"0","Visualizações públicas do YouTube":"0","Shorts":"—","Custo":"R$ 0,00"}</x:v>
      </x:c>
    </x:row>
    <x:row r="494" ht="24" customHeight="1">
      <x:c r="A494" s="32" t="str">
        <x:v>F010</x:v>
      </x:c>
      <x:c r="B494" s="32" t="str">
        <x:v>C02</x:v>
      </x:c>
      <x:c r="C494" s="32" t="n">
        <x:v>14</x:v>
      </x:c>
      <x:c r="D494" s="33" t="str">
        <x:v>{"Data":"ter., 14 de jul. de 2026","Cliques":"0","Visualizações públicas do YouTube":"0","Shorts":"—","Custo":"R$ 0,00"}</x:v>
      </x:c>
    </x:row>
    <x:row r="495" ht="24" customHeight="1">
      <x:c r="A495" s="32" t="str">
        <x:v>F010</x:v>
      </x:c>
      <x:c r="B495" s="32" t="str">
        <x:v>C02</x:v>
      </x:c>
      <x:c r="C495" s="32" t="n">
        <x:v>15</x:v>
      </x:c>
      <x:c r="D495" s="33" t="str">
        <x:v>{"Data":"qua., 15 de jul. de 2026","Cliques":"0","Visualizações públicas do YouTube":"0","Shorts":"—","Custo":"R$ 0,00"}</x:v>
      </x:c>
    </x:row>
    <x:row r="496" ht="24" customHeight="1">
      <x:c r="A496" s="32" t="str">
        <x:v>F010</x:v>
      </x:c>
      <x:c r="B496" s="32" t="str">
        <x:v>C02</x:v>
      </x:c>
      <x:c r="C496" s="32" t="n">
        <x:v>16</x:v>
      </x:c>
      <x:c r="D496" s="33" t="str">
        <x:v>{"Data":"qui., 16 de jul. de 2026","Cliques":"0","Visualizações públicas do YouTube":"0","Shorts":"—","Custo":"R$ 0,00"}</x:v>
      </x:c>
    </x:row>
    <x:row r="497" ht="24" customHeight="1">
      <x:c r="A497" s="32" t="str">
        <x:v>F010</x:v>
      </x:c>
      <x:c r="B497" s="32" t="str">
        <x:v>C02</x:v>
      </x:c>
      <x:c r="C497" s="32" t="n">
        <x:v>17</x:v>
      </x:c>
      <x:c r="D497" s="33" t="str">
        <x:v>{"Data":"sex., 17 de jul. de 2026","Cliques":"0","Visualizações públicas do YouTube":"0","Shorts":"—","Custo":"R$ 0,00"}</x:v>
      </x:c>
    </x:row>
    <x:row r="498" ht="24" customHeight="1">
      <x:c r="A498" s="32" t="str">
        <x:v>F010</x:v>
      </x:c>
      <x:c r="B498" s="32" t="str">
        <x:v>C02</x:v>
      </x:c>
      <x:c r="C498" s="32" t="n">
        <x:v>18</x:v>
      </x:c>
      <x:c r="D498" s="33" t="str">
        <x:v>{"Data":"sáb., 18 de jul. de 2026","Cliques":"0","Visualizações públicas do YouTube":"0","Shorts":"—","Custo":"R$ 0,00"}</x:v>
      </x:c>
    </x:row>
    <x:row r="499" ht="24" customHeight="1">
      <x:c r="A499" s="32" t="str">
        <x:v>F010</x:v>
      </x:c>
      <x:c r="B499" s="32" t="str">
        <x:v>C02</x:v>
      </x:c>
      <x:c r="C499" s="32" t="n">
        <x:v>19</x:v>
      </x:c>
      <x:c r="D499" s="33" t="str">
        <x:v>{"Data":"dom., 19 de jul. de 2026","Cliques":"0","Visualizações públicas do YouTube":"0","Shorts":"—","Custo":"R$ 0,00"}</x:v>
      </x:c>
    </x:row>
    <x:row r="500" ht="24" customHeight="1">
      <x:c r="A500" s="32" t="str">
        <x:v>F010</x:v>
      </x:c>
      <x:c r="B500" s="32" t="str">
        <x:v>C02</x:v>
      </x:c>
      <x:c r="C500" s="32" t="n">
        <x:v>20</x:v>
      </x:c>
      <x:c r="D500" s="33" t="str">
        <x:v>{"Data":"seg., 20 de jul. de 2026","Cliques":"0","Visualizações públicas do YouTube":"0","Shorts":"—","Custo":"R$ 0,00"}</x:v>
      </x:c>
    </x:row>
    <x:row r="501" ht="24" customHeight="1">
      <x:c r="A501" s="32" t="str">
        <x:v>F010</x:v>
      </x:c>
      <x:c r="B501" s="32" t="str">
        <x:v>C02</x:v>
      </x:c>
      <x:c r="C501" s="32" t="n">
        <x:v>21</x:v>
      </x:c>
      <x:c r="D501" s="33" t="str">
        <x:v>{"Data":"ter., 21 de jul. de 2026","Cliques":"0","Visualizações públicas do YouTube":"0","Shorts":"—","Custo":"R$ 0,00"}</x:v>
      </x:c>
    </x:row>
    <x:row r="502" ht="24" customHeight="1">
      <x:c r="A502" s="32" t="str">
        <x:v>F010</x:v>
      </x:c>
      <x:c r="B502" s="32" t="str">
        <x:v>C02</x:v>
      </x:c>
      <x:c r="C502" s="32" t="n">
        <x:v>22</x:v>
      </x:c>
      <x:c r="D502" s="33" t="str">
        <x:v>{"Data":"qua., 22 de jul. de 2026","Cliques":"0","Visualizações públicas do YouTube":"0","Shorts":"—","Custo":"R$ 0,00"}</x:v>
      </x:c>
    </x:row>
    <x:row r="503" ht="24" customHeight="1">
      <x:c r="A503" s="32" t="str">
        <x:v>F010</x:v>
      </x:c>
      <x:c r="B503" s="32" t="str">
        <x:v>C02</x:v>
      </x:c>
      <x:c r="C503" s="32" t="n">
        <x:v>23</x:v>
      </x:c>
      <x:c r="D503" s="33" t="str">
        <x:v>{"Data":"qui., 23 de jul. de 2026","Cliques":"0","Visualizações públicas do YouTube":"732","Shorts":"—","Custo":"R$ 10,02"}</x:v>
      </x:c>
    </x:row>
    <x:row r="504" ht="24" customHeight="1">
      <x:c r="A504" s="32" t="str">
        <x:v>F010</x:v>
      </x:c>
      <x:c r="B504" s="32" t="str">
        <x:v>C02</x:v>
      </x:c>
      <x:c r="C504" s="32" t="n">
        <x:v>24</x:v>
      </x:c>
      <x:c r="D504" s="33" t="str">
        <x:v>{"Data":"sex., 24 de jul. de 2026","Cliques":"0","Visualizações públicas do YouTube":"1.857","Shorts":"—","Custo":"R$ 10,23"}</x:v>
      </x:c>
    </x:row>
    <x:row r="505" ht="24" customHeight="1">
      <x:c r="A505" s="32" t="str">
        <x:v>F010</x:v>
      </x:c>
      <x:c r="B505" s="32" t="str">
        <x:v>C02</x:v>
      </x:c>
      <x:c r="C505" s="32" t="n">
        <x:v>25</x:v>
      </x:c>
      <x:c r="D505" s="33" t="str">
        <x:v>{"Data":"sáb., 25 de jul. de 2026","Cliques":"0","Visualizações públicas do YouTube":"2.433","Shorts":"—","Custo":"R$ 10,55"}</x:v>
      </x:c>
    </x:row>
    <x:row r="506" ht="24" customHeight="1">
      <x:c r="A506" s="32" t="str">
        <x:v>F010</x:v>
      </x:c>
      <x:c r="B506" s="32" t="str">
        <x:v>C02</x:v>
      </x:c>
      <x:c r="C506" s="32" t="n">
        <x:v>26</x:v>
      </x:c>
      <x:c r="D506" s="33" t="str">
        <x:v>{"Data":"dom., 26 de jul. de 2026","Cliques":"0","Visualizações públicas do YouTube":"2.403","Shorts":"—","Custo":"R$ 10,29"}</x:v>
      </x:c>
    </x:row>
    <x:row r="507" ht="24" customHeight="1">
      <x:c r="A507" s="32" t="str">
        <x:v>F010</x:v>
      </x:c>
      <x:c r="B507" s="32" t="str">
        <x:v>C02</x:v>
      </x:c>
      <x:c r="C507" s="32" t="n">
        <x:v>27</x:v>
      </x:c>
      <x:c r="D507" s="33" t="str">
        <x:v>{"Data":"seg., 27 de jul. de 2026","Cliques":"0","Visualizações públicas do YouTube":"2.353","Shorts":"—","Custo":"R$ 10,17"}</x:v>
      </x:c>
    </x:row>
    <x:row r="508" ht="24" customHeight="1">
      <x:c r="A508" s="32" t="str">
        <x:v>F010</x:v>
      </x:c>
      <x:c r="B508" s="32" t="str">
        <x:v>C02</x:v>
      </x:c>
      <x:c r="C508" s="32" t="n">
        <x:v>28</x:v>
      </x:c>
      <x:c r="D508" s="33" t="str">
        <x:v>{"Data":"ter., 28 de jul. de 2026","Cliques":"1","Visualizações públicas do YouTube":"2.327","Shorts":"—","Custo":"R$ 10,07"}</x:v>
      </x:c>
    </x:row>
    <x:row r="509" ht="24" customHeight="1">
      <x:c r="A509" s="32" t="str">
        <x:v>F010</x:v>
      </x:c>
      <x:c r="B509" s="32" t="str">
        <x:v>C02</x:v>
      </x:c>
      <x:c r="C509" s="32" t="n">
        <x:v>29</x:v>
      </x:c>
      <x:c r="D509" s="33" t="str">
        <x:v>{"Data":"qua., 29 de jul. de 2026","Cliques":"0","Visualizações públicas do YouTube":"2.023","Shorts":"—","Custo":"R$ 9,86"}</x:v>
      </x:c>
    </x:row>
    <x:row r="510" ht="24" customHeight="1">
      <x:c r="A510" s="32" t="str">
        <x:v>F010</x:v>
      </x:c>
      <x:c r="B510" s="32" t="str">
        <x:v>C02</x:v>
      </x:c>
      <x:c r="C510" s="32" t="n">
        <x:v>30</x:v>
      </x:c>
      <x:c r="D510" s="33" t="str">
        <x:v>{"Data":"qui., 30 de jul. de 2026","Cliques":"0","Visualizações públicas do YouTube":"1.870","Shorts":"—","Custo":"R$ 9,67"}</x:v>
      </x:c>
    </x:row>
    <x:row r="511" ht="24" customHeight="1">
      <x:c r="A511" s="32" t="str">
        <x:v>F010</x:v>
      </x:c>
      <x:c r="B511" s="32" t="str">
        <x:v>C02</x:v>
      </x:c>
      <x:c r="C511" s="32" t="n">
        <x:v>31</x:v>
      </x:c>
      <x:c r="D511" s="33" t="str">
        <x:v>{"Data":"sex., 31 de jul. de 2026","Cliques":"0","Visualizações públicas do YouTube":"1.650","Shorts":"—","Custo":"R$ 9,16"}</x:v>
      </x:c>
    </x:row>
    <x:row r="512" ht="24" customHeight="1">
      <x:c r="A512" s="32" t="str">
        <x:v>F010</x:v>
      </x:c>
      <x:c r="B512" s="32" t="str">
        <x:v>C02</x:v>
      </x:c>
      <x:c r="C512" s="32" t="n">
        <x:v>32</x:v>
      </x:c>
      <x:c r="D512" s="33" t="str">
        <x:v>{"Data":"sáb., 1 de ago. de 2026","Cliques":"0","Visualizações públicas do YouTube":"2.119","Shorts":"—","Custo":"R$ 9,84"}</x:v>
      </x:c>
    </x:row>
    <x:row r="513" ht="24" customHeight="1">
      <x:c r="A513" s="32" t="str">
        <x:v>F010</x:v>
      </x:c>
      <x:c r="B513" s="32" t="str">
        <x:v>C02</x:v>
      </x:c>
      <x:c r="C513" s="32" t="n">
        <x:v>33</x:v>
      </x:c>
      <x:c r="D513" s="33" t="str">
        <x:v>{"Data":"dom., 2 de ago. de 2026","Cliques":"0","Visualizações públicas do YouTube":"2.490","Shorts":"—","Custo":"R$ 10,28"}</x:v>
      </x:c>
    </x:row>
    <x:row r="514" ht="24" customHeight="1">
      <x:c r="A514" s="32" t="str">
        <x:v>F010</x:v>
      </x:c>
      <x:c r="B514" s="32" t="str">
        <x:v>C02</x:v>
      </x:c>
      <x:c r="C514" s="32" t="n">
        <x:v>34</x:v>
      </x:c>
      <x:c r="D514" s="33" t="str">
        <x:v>{"Data":"seg., 3 de ago. de 2026","Cliques":"0","Visualizações públicas do YouTube":"2.489","Shorts":"—","Custo":"R$ 10,24"}</x:v>
      </x:c>
    </x:row>
    <x:row r="515" ht="24" customHeight="1">
      <x:c r="A515" s="32" t="str">
        <x:v>F010</x:v>
      </x:c>
      <x:c r="B515" s="32" t="str">
        <x:v>C02</x:v>
      </x:c>
      <x:c r="C515" s="32" t="n">
        <x:v>35</x:v>
      </x:c>
      <x:c r="D515" s="33" t="str">
        <x:v>{"Data":"ter., 4 de ago. de 2026","Cliques":"0","Visualizações públicas do YouTube":"2.384","Shorts":"—","Custo":"R$ 10,25"}</x:v>
      </x:c>
    </x:row>
    <x:row r="516" ht="24" customHeight="1">
      <x:c r="A516" s="32" t="str">
        <x:v>F010</x:v>
      </x:c>
      <x:c r="B516" s="32" t="str">
        <x:v>C02</x:v>
      </x:c>
      <x:c r="C516" s="32" t="n">
        <x:v>36</x:v>
      </x:c>
      <x:c r="D516" s="33" t="str">
        <x:v>{"Data":"qua., 5 de ago. de 2026","Cliques":"0","Visualizações públicas do YouTube":"2.201","Shorts":"—","Custo":"R$ 10,24"}</x:v>
      </x:c>
    </x:row>
    <x:row r="517" ht="24" customHeight="1">
      <x:c r="A517" s="32" t="str">
        <x:v>F010</x:v>
      </x:c>
      <x:c r="B517" s="32" t="str">
        <x:v>C02</x:v>
      </x:c>
      <x:c r="C517" s="32" t="n">
        <x:v>37</x:v>
      </x:c>
      <x:c r="D517" s="33" t="str">
        <x:v>{"Data":"qui., 6 de ago. de 2026","Cliques":"0","Visualizações públicas do YouTube":"1.814","Shorts":"—","Custo":"R$ 10,21"}</x:v>
      </x:c>
    </x:row>
    <x:row r="518" ht="24" customHeight="1">
      <x:c r="A518" s="32" t="str">
        <x:v>F010</x:v>
      </x:c>
      <x:c r="B518" s="32" t="str">
        <x:v>C02</x:v>
      </x:c>
      <x:c r="C518" s="32" t="n">
        <x:v>38</x:v>
      </x:c>
      <x:c r="D518" s="33" t="str">
        <x:v>{"Data":"sex., 7 de ago. de 2026","Cliques":"0","Visualizações públicas do YouTube":"2.132","Shorts":"—","Custo":"R$ 10,22"}</x:v>
      </x:c>
    </x:row>
    <x:row r="519" ht="24" customHeight="1">
      <x:c r="A519" s="32" t="str">
        <x:v>F010</x:v>
      </x:c>
      <x:c r="B519" s="32" t="str">
        <x:v>C02</x:v>
      </x:c>
      <x:c r="C519" s="32" t="n">
        <x:v>39</x:v>
      </x:c>
      <x:c r="D519" s="33" t="str">
        <x:v>{"Data":"sáb., 8 de ago. de 2026","Cliques":"0","Visualizações públicas do YouTube":"2.285","Shorts":"—","Custo":"R$ 10,14"}</x:v>
      </x:c>
    </x:row>
    <x:row r="520" ht="24" customHeight="1">
      <x:c r="A520" s="32" t="str">
        <x:v>F010</x:v>
      </x:c>
      <x:c r="B520" s="32" t="str">
        <x:v>C02</x:v>
      </x:c>
      <x:c r="C520" s="32" t="n">
        <x:v>40</x:v>
      </x:c>
      <x:c r="D520" s="33" t="str">
        <x:v>{"Data":"dom., 9 de ago. de 2026","Cliques":"0","Visualizações públicas do YouTube":"2.248","Shorts":"—","Custo":"R$ 10,14"}</x:v>
      </x:c>
    </x:row>
    <x:row r="521" ht="24" customHeight="1">
      <x:c r="A521" s="32" t="str">
        <x:v>F010</x:v>
      </x:c>
      <x:c r="B521" s="32" t="str">
        <x:v>C02</x:v>
      </x:c>
      <x:c r="C521" s="32" t="n">
        <x:v>41</x:v>
      </x:c>
      <x:c r="D521" s="33" t="str">
        <x:v>{"Data":"seg., 10 de ago. de 2026","Cliques":"0","Visualizações públicas do YouTube":"2.255","Shorts":"—","Custo":"R$ 10,11"}</x:v>
      </x:c>
    </x:row>
    <x:row r="522" ht="24" customHeight="1">
      <x:c r="A522" s="32" t="str">
        <x:v>F010</x:v>
      </x:c>
      <x:c r="B522" s="32" t="str">
        <x:v>C02</x:v>
      </x:c>
      <x:c r="C522" s="32" t="n">
        <x:v>42</x:v>
      </x:c>
      <x:c r="D522" s="33" t="str">
        <x:v>{"Data":"ter., 11 de ago. de 2026","Cliques":"0","Visualizações públicas do YouTube":"2.437","Shorts":"—","Custo":"R$ 10,12"}</x:v>
      </x:c>
    </x:row>
    <x:row r="523" ht="24" customHeight="1">
      <x:c r="A523" s="32" t="str">
        <x:v>F010</x:v>
      </x:c>
      <x:c r="B523" s="32" t="str">
        <x:v>C02</x:v>
      </x:c>
      <x:c r="C523" s="32" t="n">
        <x:v>43</x:v>
      </x:c>
      <x:c r="D523" s="33" t="str">
        <x:v>{"Data":"qua., 12 de ago. de 2026","Cliques":"2","Visualizações públicas do YouTube":"2.382","Shorts":"—","Custo":"R$ 10,09"}</x:v>
      </x:c>
    </x:row>
    <x:row r="524" ht="24" customHeight="1">
      <x:c r="A524" s="32" t="str">
        <x:v>F010</x:v>
      </x:c>
      <x:c r="B524" s="32" t="str">
        <x:v>C02</x:v>
      </x:c>
      <x:c r="C524" s="32" t="n">
        <x:v>44</x:v>
      </x:c>
      <x:c r="D524" s="33" t="str">
        <x:v>{"Data":"qui., 13 de ago. de 2026","Cliques":"0","Visualizações públicas do YouTube":"2.165","Shorts":"—","Custo":"R$ 10,07"}</x:v>
      </x:c>
    </x:row>
    <x:row r="525" ht="24" customHeight="1">
      <x:c r="A525" s="32" t="str">
        <x:v>F010</x:v>
      </x:c>
      <x:c r="B525" s="32" t="str">
        <x:v>C02</x:v>
      </x:c>
      <x:c r="C525" s="32" t="n">
        <x:v>45</x:v>
      </x:c>
      <x:c r="D525" s="33" t="str">
        <x:v>{"Data":"sex., 14 de ago. de 2026","Cliques":"0","Visualizações públicas do YouTube":"2.101","Shorts":"—","Custo":"R$ 9,94"}</x:v>
      </x:c>
    </x:row>
    <x:row r="526" ht="24" customHeight="1">
      <x:c r="A526" s="32" t="str">
        <x:v>F010</x:v>
      </x:c>
      <x:c r="B526" s="32" t="str">
        <x:v>C02</x:v>
      </x:c>
      <x:c r="C526" s="32" t="n">
        <x:v>46</x:v>
      </x:c>
      <x:c r="D526" s="33" t="str">
        <x:v>{"Data":"sáb., 15 de ago. de 2026","Cliques":"1","Visualizações públicas do YouTube":"2.186","Shorts":"—","Custo":"R$ 9,84"}</x:v>
      </x:c>
    </x:row>
    <x:row r="527" ht="24" customHeight="1">
      <x:c r="A527" s="32" t="str">
        <x:v>F010</x:v>
      </x:c>
      <x:c r="B527" s="32" t="str">
        <x:v>C02</x:v>
      </x:c>
      <x:c r="C527" s="32" t="n">
        <x:v>47</x:v>
      </x:c>
      <x:c r="D527" s="33" t="str">
        <x:v>{"Data":"dom., 16 de ago. de 2026","Cliques":"0","Visualizações públicas do YouTube":"2.013","Shorts":"—","Custo":"R$ 10,00"}</x:v>
      </x:c>
    </x:row>
    <x:row r="528" ht="24" customHeight="1">
      <x:c r="A528" s="32" t="str">
        <x:v>F010</x:v>
      </x:c>
      <x:c r="B528" s="32" t="str">
        <x:v>C02</x:v>
      </x:c>
      <x:c r="C528" s="32" t="n">
        <x:v>48</x:v>
      </x:c>
      <x:c r="D528" s="33" t="str">
        <x:v>{"Data":"seg., 17 de ago. de 2026","Cliques":"0","Visualizações públicas do YouTube":"2.004","Shorts":"—","Custo":"R$ 9,90"}</x:v>
      </x:c>
    </x:row>
    <x:row r="529" ht="24" customHeight="1">
      <x:c r="A529" s="32" t="str">
        <x:v>F010</x:v>
      </x:c>
      <x:c r="B529" s="32" t="str">
        <x:v>C02</x:v>
      </x:c>
      <x:c r="C529" s="32" t="n">
        <x:v>49</x:v>
      </x:c>
      <x:c r="D529" s="33" t="str">
        <x:v>{"Data":"ter., 18 de ago. de 2026","Cliques":"0","Visualizações públicas do YouTube":"2.122","Shorts":"—","Custo":"R$ 9,92"}</x:v>
      </x:c>
    </x:row>
    <x:row r="530" ht="24" customHeight="1">
      <x:c r="A530" s="32" t="str">
        <x:v>F010</x:v>
      </x:c>
      <x:c r="B530" s="32" t="str">
        <x:v>C02</x:v>
      </x:c>
      <x:c r="C530" s="32" t="n">
        <x:v>50</x:v>
      </x:c>
      <x:c r="D530" s="33" t="str">
        <x:v>{"Data":"qua., 19 de ago. de 2026","Cliques":"1","Visualizações públicas do YouTube":"2.211","Shorts":"—","Custo":"R$ 9,86"}</x:v>
      </x:c>
    </x:row>
    <x:row r="531" ht="24" customHeight="1">
      <x:c r="A531" s="32" t="str">
        <x:v>F010</x:v>
      </x:c>
      <x:c r="B531" s="32" t="str">
        <x:v>C02</x:v>
      </x:c>
      <x:c r="C531" s="32" t="n">
        <x:v>51</x:v>
      </x:c>
      <x:c r="D531" s="33" t="str">
        <x:v>{"Data":"qui., 20 de ago. de 2026","Cliques":"0","Visualizações públicas do YouTube":"1.738","Shorts":"—","Custo":"R$ 9,92"}</x:v>
      </x:c>
    </x:row>
    <x:row r="532" ht="24" customHeight="1">
      <x:c r="A532" s="32" t="str">
        <x:v>F010</x:v>
      </x:c>
      <x:c r="B532" s="32" t="str">
        <x:v>C02</x:v>
      </x:c>
      <x:c r="C532" s="32" t="n">
        <x:v>52</x:v>
      </x:c>
      <x:c r="D532" s="33" t="str">
        <x:v>{"Data":"sex., 21 de ago. de 2026","Cliques":"0","Visualizações públicas do YouTube":"1.697","Shorts":"—","Custo":"R$ 9,75"}</x:v>
      </x:c>
    </x:row>
    <x:row r="533" ht="24" customHeight="1">
      <x:c r="A533" s="32" t="str">
        <x:v>F010</x:v>
      </x:c>
      <x:c r="B533" s="32" t="str">
        <x:v>C02</x:v>
      </x:c>
      <x:c r="C533" s="32" t="n">
        <x:v>53</x:v>
      </x:c>
      <x:c r="D533" s="33" t="str">
        <x:v>{"Data":"sáb., 22 de ago. de 2026","Cliques":"1","Visualizações públicas do YouTube":"2.081","Shorts":"—","Custo":"R$ 9,88"}</x:v>
      </x:c>
    </x:row>
    <x:row r="534" ht="24" customHeight="1">
      <x:c r="A534" s="32" t="str">
        <x:v>F010</x:v>
      </x:c>
      <x:c r="B534" s="32" t="str">
        <x:v>C02</x:v>
      </x:c>
      <x:c r="C534" s="32" t="n">
        <x:v>54</x:v>
      </x:c>
      <x:c r="D534" s="33" t="str">
        <x:v>{"Data":"dom., 23 de ago. de 2026","Cliques":"0","Visualizações públicas do YouTube":"2.171","Shorts":"—","Custo":"R$ 9,63"}</x:v>
      </x:c>
    </x:row>
    <x:row r="535" ht="24" customHeight="1">
      <x:c r="A535" s="32" t="str">
        <x:v>F010</x:v>
      </x:c>
      <x:c r="B535" s="32" t="str">
        <x:v>C02</x:v>
      </x:c>
      <x:c r="C535" s="32" t="n">
        <x:v>55</x:v>
      </x:c>
      <x:c r="D535" s="33" t="str">
        <x:v>{"Data":"seg., 24 de ago. de 2026","Cliques":"0","Visualizações públicas do YouTube":"2.113","Shorts":"—","Custo":"R$ 9,59"}</x:v>
      </x:c>
    </x:row>
    <x:row r="536" ht="24" customHeight="1">
      <x:c r="A536" s="32" t="str">
        <x:v>F010</x:v>
      </x:c>
      <x:c r="B536" s="32" t="str">
        <x:v>C02</x:v>
      </x:c>
      <x:c r="C536" s="32" t="n">
        <x:v>56</x:v>
      </x:c>
      <x:c r="D536" s="33" t="str">
        <x:v>{"Data":"ter., 25 de ago. de 2026","Cliques":"0","Visualizações públicas do YouTube":"1.870","Shorts":"—","Custo":"R$ 9,59"}</x:v>
      </x:c>
    </x:row>
    <x:row r="537" ht="24" customHeight="1">
      <x:c r="A537" s="32" t="str">
        <x:v>F010</x:v>
      </x:c>
      <x:c r="B537" s="32" t="str">
        <x:v>C02</x:v>
      </x:c>
      <x:c r="C537" s="32" t="n">
        <x:v>57</x:v>
      </x:c>
      <x:c r="D537" s="33" t="str">
        <x:v>{"Data":"qua., 26 de ago. de 2026","Cliques":"0","Visualizações públicas do YouTube":"1.327","Shorts":"—","Custo":"R$ 6,30"}</x:v>
      </x:c>
    </x:row>
    <x:row r="538" ht="24" customHeight="1">
      <x:c r="A538" s="32" t="str">
        <x:v>F010</x:v>
      </x:c>
      <x:c r="B538" s="32" t="str">
        <x:v>C02</x:v>
      </x:c>
      <x:c r="C538" s="32" t="n">
        <x:v>58</x:v>
      </x:c>
      <x:c r="D538" s="33" t="str">
        <x:v>{"Data":"qui., 27 de ago. de 2026","Cliques":"0","Visualizações públicas do YouTube":"2.220","Shorts":"—","Custo":"R$ 12,65"}</x:v>
      </x:c>
    </x:row>
    <x:row r="539" ht="24" customHeight="1">
      <x:c r="A539" s="32" t="str">
        <x:v>F010</x:v>
      </x:c>
      <x:c r="B539" s="32" t="str">
        <x:v>C02</x:v>
      </x:c>
      <x:c r="C539" s="32" t="n">
        <x:v>59</x:v>
      </x:c>
      <x:c r="D539" s="33" t="str">
        <x:v>{"Data":"sex., 28 de ago. de 2026","Cliques":"0","Visualizações públicas do YouTube":"1.592","Shorts":"—","Custo":"R$ 9,41"}</x:v>
      </x:c>
    </x:row>
    <x:row r="540" ht="24" customHeight="1">
      <x:c r="A540" s="32" t="str">
        <x:v>F010</x:v>
      </x:c>
      <x:c r="B540" s="32" t="str">
        <x:v>C02</x:v>
      </x:c>
      <x:c r="C540" s="32" t="n">
        <x:v>60</x:v>
      </x:c>
      <x:c r="D540" s="33" t="str">
        <x:v>{"Data":"sáb., 29 de ago. de 2026","Cliques":"2","Visualizações públicas do YouTube":"1.443","Shorts":"—","Custo":"R$ 9,18"}</x:v>
      </x:c>
    </x:row>
    <x:row r="541" ht="24" customHeight="1">
      <x:c r="A541" s="32" t="str">
        <x:v>F010</x:v>
      </x:c>
      <x:c r="B541" s="32" t="str">
        <x:v>C02</x:v>
      </x:c>
      <x:c r="C541" s="32" t="n">
        <x:v>61</x:v>
      </x:c>
      <x:c r="D541" s="33" t="str">
        <x:v>{"Data":"dom., 30 de ago. de 2026","Cliques":"1","Visualizações públicas do YouTube":"1.388","Shorts":"—","Custo":"R$ 8,91"}</x:v>
      </x:c>
    </x:row>
    <x:row r="542" ht="24" customHeight="1">
      <x:c r="A542" s="32" t="str">
        <x:v>F010</x:v>
      </x:c>
      <x:c r="B542" s="32" t="str">
        <x:v>C02</x:v>
      </x:c>
      <x:c r="C542" s="32" t="n">
        <x:v>62</x:v>
      </x:c>
      <x:c r="D542" s="33" t="str">
        <x:v>{"Data":"seg., 31 de ago. de 2026","Cliques":"0","Visualizações públicas do YouTube":"1.567","Shorts":"—","Custo":"R$ 8,15"}</x:v>
      </x:c>
    </x:row>
    <x:row r="543" ht="24" customHeight="1">
      <x:c r="A543" s="32" t="str">
        <x:v>F010</x:v>
      </x:c>
      <x:c r="B543" s="32" t="str">
        <x:v>C02</x:v>
      </x:c>
      <x:c r="C543" s="32" t="n">
        <x:v>63</x:v>
      </x:c>
      <x:c r="D543" s="33" t="str">
        <x:v>{"Data":"ter., 1 de set. de 2026","Cliques":"0","Visualizações públicas do YouTube":"2.078","Shorts":"—","Custo":"R$ 10,58"}</x:v>
      </x:c>
    </x:row>
    <x:row r="544" ht="24" customHeight="1">
      <x:c r="A544" s="32" t="str">
        <x:v>F010</x:v>
      </x:c>
      <x:c r="B544" s="32" t="str">
        <x:v>C02</x:v>
      </x:c>
      <x:c r="C544" s="32" t="n">
        <x:v>64</x:v>
      </x:c>
      <x:c r="D544" s="33" t="str">
        <x:v>{"Data":"qua., 2 de set. de 2026","Cliques":"2","Visualizações públicas do YouTube":"1.674","Shorts":"—","Custo":"R$ 10,58"}</x:v>
      </x:c>
    </x:row>
    <x:row r="545" ht="24" customHeight="1">
      <x:c r="A545" s="32" t="str">
        <x:v>F010</x:v>
      </x:c>
      <x:c r="B545" s="32" t="str">
        <x:v>C02</x:v>
      </x:c>
      <x:c r="C545" s="32" t="n">
        <x:v>65</x:v>
      </x:c>
      <x:c r="D545" s="33" t="str">
        <x:v>{"Data":"qui., 3 de set. de 2026","Cliques":"0","Visualizações públicas do YouTube":"2.347","Shorts":"—","Custo":"R$ 10,60"}</x:v>
      </x:c>
    </x:row>
    <x:row r="546" ht="24" customHeight="1">
      <x:c r="A546" s="32" t="str">
        <x:v>F010</x:v>
      </x:c>
      <x:c r="B546" s="32" t="str">
        <x:v>C02</x:v>
      </x:c>
      <x:c r="C546" s="32" t="n">
        <x:v>66</x:v>
      </x:c>
      <x:c r="D546" s="33" t="str">
        <x:v>{"Data":"sex., 4 de set. de 2026","Cliques":"1","Visualizações públicas do YouTube":"1.981","Shorts":"—","Custo":"R$ 10,18"}</x:v>
      </x:c>
    </x:row>
    <x:row r="547" ht="24" customHeight="1">
      <x:c r="A547" s="32" t="str">
        <x:v>F010</x:v>
      </x:c>
      <x:c r="B547" s="32" t="str">
        <x:v>C02</x:v>
      </x:c>
      <x:c r="C547" s="32" t="n">
        <x:v>67</x:v>
      </x:c>
      <x:c r="D547" s="33" t="str">
        <x:v>{"Data":"sáb., 5 de set. de 2026","Cliques":"2","Visualizações públicas do YouTube":"2.096","Shorts":"—","Custo":"R$ 10,62"}</x:v>
      </x:c>
    </x:row>
    <x:row r="548" ht="24" customHeight="1">
      <x:c r="A548" s="32" t="str">
        <x:v>F010</x:v>
      </x:c>
      <x:c r="B548" s="32" t="str">
        <x:v>C02</x:v>
      </x:c>
      <x:c r="C548" s="32" t="n">
        <x:v>68</x:v>
      </x:c>
      <x:c r="D548" s="33" t="str">
        <x:v>{"Data":"dom., 6 de set. de 2026","Cliques":"3","Visualizações públicas do YouTube":"2.264","Shorts":"—","Custo":"R$ 10,53"}</x:v>
      </x:c>
    </x:row>
    <x:row r="549" ht="24" customHeight="1">
      <x:c r="A549" s="32" t="str">
        <x:v>F010</x:v>
      </x:c>
      <x:c r="B549" s="32" t="str">
        <x:v>C02</x:v>
      </x:c>
      <x:c r="C549" s="32" t="n">
        <x:v>69</x:v>
      </x:c>
      <x:c r="D549" s="33" t="str">
        <x:v>{"Data":"seg., 7 de set. de 2026","Cliques":"0","Visualizações públicas do YouTube":"2.307","Shorts":"—","Custo":"R$ 10,58"}</x:v>
      </x:c>
    </x:row>
    <x:row r="550" ht="24" customHeight="1">
      <x:c r="A550" s="32" t="str">
        <x:v>F010</x:v>
      </x:c>
      <x:c r="B550" s="32" t="str">
        <x:v>C02</x:v>
      </x:c>
      <x:c r="C550" s="32" t="n">
        <x:v>70</x:v>
      </x:c>
      <x:c r="D550" s="33" t="str">
        <x:v>{"Data":"ter., 8 de set. de 2026","Cliques":"0","Visualizações públicas do YouTube":"2.623","Shorts":"—","Custo":"R$ 10,56"}</x:v>
      </x:c>
    </x:row>
    <x:row r="551" ht="24" customHeight="1">
      <x:c r="A551" s="32" t="str">
        <x:v>F010</x:v>
      </x:c>
      <x:c r="B551" s="32" t="str">
        <x:v>C02</x:v>
      </x:c>
      <x:c r="C551" s="32" t="n">
        <x:v>71</x:v>
      </x:c>
      <x:c r="D551" s="33" t="str">
        <x:v>{"Data":"qua., 9 de set. de 2026","Cliques":"0","Visualizações públicas do YouTube":"2.377","Shorts":"—","Custo":"R$ 10,53"}</x:v>
      </x:c>
    </x:row>
    <x:row r="552" ht="24" customHeight="1">
      <x:c r="A552" s="32" t="str">
        <x:v>F010</x:v>
      </x:c>
      <x:c r="B552" s="32" t="str">
        <x:v>C02</x:v>
      </x:c>
      <x:c r="C552" s="32" t="n">
        <x:v>72</x:v>
      </x:c>
      <x:c r="D552" s="33" t="str">
        <x:v>{"Data":"qui., 10 de set. de 2026","Cliques":"0","Visualizações públicas do YouTube":"2.209","Shorts":"—","Custo":"R$ 10,45"}</x:v>
      </x:c>
    </x:row>
    <x:row r="553" ht="24" customHeight="1">
      <x:c r="A553" s="32" t="str">
        <x:v>F010</x:v>
      </x:c>
      <x:c r="B553" s="32" t="str">
        <x:v>C02</x:v>
      </x:c>
      <x:c r="C553" s="32" t="n">
        <x:v>73</x:v>
      </x:c>
      <x:c r="D553" s="33" t="str">
        <x:v>{"Data":"sex., 11 de set. de 2026","Cliques":"0","Visualizações públicas do YouTube":"2.421","Shorts":"—","Custo":"R$ 10,50"}</x:v>
      </x:c>
    </x:row>
    <x:row r="554" ht="24" customHeight="1">
      <x:c r="A554" s="32" t="str">
        <x:v>F010</x:v>
      </x:c>
      <x:c r="B554" s="32" t="str">
        <x:v>C02</x:v>
      </x:c>
      <x:c r="C554" s="32" t="n">
        <x:v>74</x:v>
      </x:c>
      <x:c r="D554" s="33" t="str">
        <x:v>{"Data":"sáb., 12 de set. de 2026","Cliques":"0","Visualizações públicas do YouTube":"2.423","Shorts":"—","Custo":"R$ 10,40"}</x:v>
      </x:c>
    </x:row>
    <x:row r="555" ht="24" customHeight="1">
      <x:c r="A555" s="32" t="str">
        <x:v>F010</x:v>
      </x:c>
      <x:c r="B555" s="32" t="str">
        <x:v>C02</x:v>
      </x:c>
      <x:c r="C555" s="32" t="n">
        <x:v>75</x:v>
      </x:c>
      <x:c r="D555" s="33" t="str">
        <x:v>{"Data":"dom., 13 de set. de 2026","Cliques":"0","Visualizações públicas do YouTube":"2.451","Shorts":"—","Custo":"R$ 10,39"}</x:v>
      </x:c>
    </x:row>
    <x:row r="556" ht="24" customHeight="1">
      <x:c r="A556" s="32" t="str">
        <x:v>F010</x:v>
      </x:c>
      <x:c r="B556" s="32" t="str">
        <x:v>C02</x:v>
      </x:c>
      <x:c r="C556" s="32" t="n">
        <x:v>76</x:v>
      </x:c>
      <x:c r="D556" s="33" t="str">
        <x:v>{"Data":"seg., 14 de set. de 2026","Cliques":"0","Visualizações públicas do YouTube":"2.423","Shorts":"—","Custo":"R$ 10,35"}</x:v>
      </x:c>
    </x:row>
    <x:row r="557" ht="24" customHeight="1">
      <x:c r="A557" s="32" t="str">
        <x:v>F010</x:v>
      </x:c>
      <x:c r="B557" s="32" t="str">
        <x:v>C02</x:v>
      </x:c>
      <x:c r="C557" s="32" t="n">
        <x:v>77</x:v>
      </x:c>
      <x:c r="D557" s="33" t="str">
        <x:v>{"Data":"ter., 15 de set. de 2026","Cliques":"1","Visualizações públicas do YouTube":"2.458","Shorts":"—","Custo":"R$ 10,30"}</x:v>
      </x:c>
    </x:row>
    <x:row r="558" ht="24" customHeight="1">
      <x:c r="A558" s="32" t="str">
        <x:v>F010</x:v>
      </x:c>
      <x:c r="B558" s="32" t="str">
        <x:v>C02</x:v>
      </x:c>
      <x:c r="C558" s="32" t="n">
        <x:v>78</x:v>
      </x:c>
      <x:c r="D558" s="33" t="str">
        <x:v>{"Data":"qua., 16 de set. de 2026","Cliques":"1","Visualizações públicas do YouTube":"2.430","Shorts":"—","Custo":"R$ 10,28"}</x:v>
      </x:c>
    </x:row>
    <x:row r="559" ht="24" customHeight="1">
      <x:c r="A559" s="32" t="str">
        <x:v>F010</x:v>
      </x:c>
      <x:c r="B559" s="32" t="str">
        <x:v>C02</x:v>
      </x:c>
      <x:c r="C559" s="32" t="n">
        <x:v>79</x:v>
      </x:c>
      <x:c r="D559" s="33" t="str">
        <x:v>{"Data":"qui., 17 de set. de 2026","Cliques":"0","Visualizações públicas do YouTube":"2.455","Shorts":"—","Custo":"R$ 10,23"}</x:v>
      </x:c>
    </x:row>
    <x:row r="560" ht="24" customHeight="1">
      <x:c r="A560" s="32" t="str">
        <x:v>F010</x:v>
      </x:c>
      <x:c r="B560" s="32" t="str">
        <x:v>C02</x:v>
      </x:c>
      <x:c r="C560" s="32" t="n">
        <x:v>80</x:v>
      </x:c>
      <x:c r="D560" s="33" t="str">
        <x:v>{"Data":"sex., 18 de set. de 2026","Cliques":"0","Visualizações públicas do YouTube":"2.331","Shorts":"—","Custo":"R$ 10,21"}</x:v>
      </x:c>
    </x:row>
    <x:row r="561" ht="24" customHeight="1">
      <x:c r="A561" s="32" t="str">
        <x:v>F010</x:v>
      </x:c>
      <x:c r="B561" s="32" t="str">
        <x:v>C02</x:v>
      </x:c>
      <x:c r="C561" s="32" t="n">
        <x:v>81</x:v>
      </x:c>
      <x:c r="D561" s="33" t="str">
        <x:v>{"Data":"sáb., 19 de set. de 2026","Cliques":"0","Visualizações públicas do YouTube":"2.231","Shorts":"—","Custo":"R$ 10,18"}</x:v>
      </x:c>
    </x:row>
    <x:row r="562" ht="24" customHeight="1">
      <x:c r="A562" s="32" t="str">
        <x:v>F010</x:v>
      </x:c>
      <x:c r="B562" s="32" t="str">
        <x:v>C02</x:v>
      </x:c>
      <x:c r="C562" s="32" t="n">
        <x:v>82</x:v>
      </x:c>
      <x:c r="D562" s="33" t="str">
        <x:v>{"Data":"dom., 20 de set. de 2026","Cliques":"2","Visualizações públicas do YouTube":"2.112","Shorts":"—","Custo":"R$ 10,25"}</x:v>
      </x:c>
    </x:row>
    <x:row r="563" ht="24" customHeight="1">
      <x:c r="A563" s="32" t="str">
        <x:v>F010</x:v>
      </x:c>
      <x:c r="B563" s="32" t="str">
        <x:v>C02</x:v>
      </x:c>
      <x:c r="C563" s="32" t="n">
        <x:v>83</x:v>
      </x:c>
      <x:c r="D563" s="33" t="str">
        <x:v>{"Data":"seg., 21 de set. de 2026","Cliques":"1","Visualizações públicas do YouTube":"2.214","Shorts":"—","Custo":"R$ 9,98"}</x:v>
      </x:c>
    </x:row>
    <x:row r="564" ht="24" customHeight="1">
      <x:c r="A564" s="32" t="str">
        <x:v>F010</x:v>
      </x:c>
      <x:c r="B564" s="32" t="str">
        <x:v>C02</x:v>
      </x:c>
      <x:c r="C564" s="32" t="n">
        <x:v>84</x:v>
      </x:c>
      <x:c r="D564" s="33" t="str">
        <x:v>{"Data":"ter., 22 de set. de 2026","Cliques":"0","Visualizações públicas do YouTube":"2.405","Shorts":"—","Custo":"R$ 10,03"}</x:v>
      </x:c>
    </x:row>
    <x:row r="565" ht="24" customHeight="1">
      <x:c r="A565" s="32" t="str">
        <x:v>F010</x:v>
      </x:c>
      <x:c r="B565" s="32" t="str">
        <x:v>C02</x:v>
      </x:c>
      <x:c r="C565" s="32" t="n">
        <x:v>85</x:v>
      </x:c>
      <x:c r="D565" s="33" t="str">
        <x:v>{"Data":"qua., 23 de set. de 2026","Cliques":"0","Visualizações públicas do YouTube":"2.251","Shorts":"—","Custo":"R$ 9,93"}</x:v>
      </x:c>
    </x:row>
    <x:row r="566" ht="24" customHeight="1">
      <x:c r="A566" s="32" t="str">
        <x:v>F010</x:v>
      </x:c>
      <x:c r="B566" s="32" t="str">
        <x:v>C02</x:v>
      </x:c>
      <x:c r="C566" s="32" t="n">
        <x:v>86</x:v>
      </x:c>
      <x:c r="D566" s="33" t="str">
        <x:v>{"Data":"qui., 24 de set. de 2026","Cliques":"0","Visualizações públicas do YouTube":"182","Shorts":"—","Custo":"R$ 0,79"}</x:v>
      </x:c>
    </x:row>
    <x:row r="567" ht="24" customHeight="1">
      <x:c r="A567" s="32" t="str">
        <x:v>F010</x:v>
      </x:c>
      <x:c r="B567" s="32" t="str">
        <x:v>C02</x:v>
      </x:c>
      <x:c r="C567" s="32" t="n">
        <x:v>87</x:v>
      </x:c>
      <x:c r="D567" s="33" t="str">
        <x:v>{"Data":"sex., 25 de set. de 2026","Cliques":"0","Visualizações públicas do YouTube":"9","Shorts":"—","Custo":"R$ 0,03"}</x:v>
      </x:c>
    </x:row>
    <x:row r="568" ht="24" customHeight="1">
      <x:c r="A568" s="32" t="str">
        <x:v>F010</x:v>
      </x:c>
      <x:c r="B568" s="32" t="str">
        <x:v>C02</x:v>
      </x:c>
      <x:c r="C568" s="32" t="n">
        <x:v>88</x:v>
      </x:c>
      <x:c r="D568" s="33" t="str">
        <x:v>{"Data":"sáb., 26 de set. de 2026","Cliques":"0","Visualizações públicas do YouTube":"0","Shorts":"—","Custo":"R$ 0,00"}</x:v>
      </x:c>
    </x:row>
    <x:row r="569" ht="24" customHeight="1">
      <x:c r="A569" s="32" t="str">
        <x:v>F010</x:v>
      </x:c>
      <x:c r="B569" s="32" t="str">
        <x:v>C02</x:v>
      </x:c>
      <x:c r="C569" s="32" t="n">
        <x:v>89</x:v>
      </x:c>
      <x:c r="D569" s="33" t="str">
        <x:v>{"Data":"dom., 27 de set. de 2026","Cliques":"0","Visualizações públicas do YouTube":"1","Shorts":"—","Custo":"R$ 0,00"}</x:v>
      </x:c>
    </x:row>
    <x:row r="570" ht="24" customHeight="1">
      <x:c r="A570" s="32" t="str">
        <x:v>F010</x:v>
      </x:c>
      <x:c r="B570" s="32" t="str">
        <x:v>C02</x:v>
      </x:c>
      <x:c r="C570" s="32" t="n">
        <x:v>90</x:v>
      </x:c>
      <x:c r="D570" s="33" t="str">
        <x:v>{"Data":"seg., 28 de set. de 2026","Cliques":"0","Visualizações públicas do YouTube":"0","Shorts":"—","Custo":"R$ 0,00"}</x:v>
      </x:c>
    </x:row>
    <x:row r="571" ht="24" customHeight="1">
      <x:c r="A571" s="32" t="str">
        <x:v>F010</x:v>
      </x:c>
      <x:c r="B571" s="32" t="str">
        <x:v>C02</x:v>
      </x:c>
      <x:c r="C571" s="32" t="n">
        <x:v>91</x:v>
      </x:c>
      <x:c r="D571" s="33" t="str">
        <x:v>{"Data":"ter., 29 de set. de 2026","Cliques":"0","Visualizações públicas do YouTube":"2","Shorts":"—","Custo":"R$ 0,00"}</x:v>
      </x:c>
    </x:row>
    <x:row r="572" ht="24" customHeight="1">
      <x:c r="A572" s="32" t="str">
        <x:v>F010</x:v>
      </x:c>
      <x:c r="B572" s="32" t="str">
        <x:v>C02</x:v>
      </x:c>
      <x:c r="C572" s="32" t="n">
        <x:v>92</x:v>
      </x:c>
      <x:c r="D572" s="33" t="str">
        <x:v>{"Data":"qua., 30 de set. de 2026","Cliques":"0","Visualizações públicas do YouTube":"0","Shorts":"—","Custo":"R$ 0,00"}</x:v>
      </x:c>
    </x:row>
    <x:row r="573" ht="24" customHeight="1">
      <x:c r="A573" s="32" t="str">
        <x:v>F010</x:v>
      </x:c>
      <x:c r="B573" s="32" t="str">
        <x:v>C02</x:v>
      </x:c>
      <x:c r="C573" s="32" t="n">
        <x:v>93</x:v>
      </x:c>
      <x:c r="D573" s="33" t="str">
        <x:v>{"Data":"qui., 1 de out. de 2026","Cliques":"0","Visualizações públicas do YouTube":"2.281","Shorts":"—","Custo":"R$ 9,79"}</x:v>
      </x:c>
    </x:row>
    <x:row r="574" ht="24" customHeight="1">
      <x:c r="A574" s="32" t="str">
        <x:v>F010</x:v>
      </x:c>
      <x:c r="B574" s="32" t="str">
        <x:v>C02</x:v>
      </x:c>
      <x:c r="C574" s="32" t="n">
        <x:v>94</x:v>
      </x:c>
      <x:c r="D574" s="33" t="str">
        <x:v>{"Data":"sex., 2 de out. de 2026","Cliques":"1","Visualizações públicas do YouTube":"3.073","Shorts":"—","Custo":"R$ 10,29"}</x:v>
      </x:c>
    </x:row>
    <x:row r="575" ht="24" customHeight="1">
      <x:c r="A575" s="32" t="str">
        <x:v>F010</x:v>
      </x:c>
      <x:c r="B575" s="32" t="str">
        <x:v>C02</x:v>
      </x:c>
      <x:c r="C575" s="32" t="n">
        <x:v>95</x:v>
      </x:c>
      <x:c r="D575" s="33" t="str">
        <x:v>{"Data":"sáb., 3 de out. de 2026","Cliques":"0","Visualizações públicas do YouTube":"2.694","Shorts":"—","Custo":"R$ 10,28"}</x:v>
      </x:c>
    </x:row>
    <x:row r="576" ht="24" customHeight="1">
      <x:c r="A576" s="32" t="str">
        <x:v>F010</x:v>
      </x:c>
      <x:c r="B576" s="32" t="str">
        <x:v>C02</x:v>
      </x:c>
      <x:c r="C576" s="32" t="n">
        <x:v>96</x:v>
      </x:c>
      <x:c r="D576" s="33" t="str">
        <x:v>{"Data":"dom., 4 de out. de 2026","Cliques":"0","Visualizações públicas do YouTube":"2.754","Shorts":"—","Custo":"R$ 10,31"}</x:v>
      </x:c>
    </x:row>
    <x:row r="577" ht="24" customHeight="1">
      <x:c r="A577" s="32" t="str">
        <x:v>F010</x:v>
      </x:c>
      <x:c r="B577" s="32" t="str">
        <x:v>C02</x:v>
      </x:c>
      <x:c r="C577" s="32" t="n">
        <x:v>97</x:v>
      </x:c>
      <x:c r="D577" s="33" t="str">
        <x:v>{"Data":"seg., 5 de out. de 2026","Cliques":"0","Visualizações públicas do YouTube":"2.890","Shorts":"—","Custo":"R$ 10,22"}</x:v>
      </x:c>
    </x:row>
    <x:row r="578" ht="24" customHeight="1">
      <x:c r="A578" s="32" t="str">
        <x:v>F010</x:v>
      </x:c>
      <x:c r="B578" s="32" t="str">
        <x:v>C02</x:v>
      </x:c>
      <x:c r="C578" s="32" t="n">
        <x:v>98</x:v>
      </x:c>
      <x:c r="D578" s="33" t="str">
        <x:v>{"Data":"ter., 6 de out. de 2026","Cliques":"0","Visualizações públicas do YouTube":"3.024","Shorts":"—","Custo":"R$ 10,21"}</x:v>
      </x:c>
    </x:row>
    <x:row r="579" ht="24" customHeight="1">
      <x:c r="A579" s="32" t="str">
        <x:v>F010</x:v>
      </x:c>
      <x:c r="B579" s="32" t="str">
        <x:v>C02</x:v>
      </x:c>
      <x:c r="C579" s="32" t="n">
        <x:v>99</x:v>
      </x:c>
      <x:c r="D579" s="33" t="str">
        <x:v>{"Data":"qua., 7 de out. de 2026","Cliques":"0","Visualizações públicas do YouTube":"3.034","Shorts":"—","Custo":"R$ 10,20"}</x:v>
      </x:c>
    </x:row>
    <x:row r="580" ht="24" customHeight="1">
      <x:c r="A580" s="32" t="str">
        <x:v>F010</x:v>
      </x:c>
      <x:c r="B580" s="32" t="str">
        <x:v>C02</x:v>
      </x:c>
      <x:c r="C580" s="32" t="n">
        <x:v>100</x:v>
      </x:c>
      <x:c r="D580" s="33" t="str">
        <x:v>{"Data":"qui., 8 de out. de 2026","Cliques":"0","Visualizações públicas do YouTube":"2.828","Shorts":"—","Custo":"R$ 10,34"}</x:v>
      </x:c>
    </x:row>
    <x:row r="581" ht="24" customHeight="1">
      <x:c r="A581" s="32" t="str">
        <x:v>F010</x:v>
      </x:c>
      <x:c r="B581" s="32" t="str">
        <x:v>C02</x:v>
      </x:c>
      <x:c r="C581" s="32" t="n">
        <x:v>101</x:v>
      </x:c>
      <x:c r="D581" s="33" t="str">
        <x:v>{"Data":"sex., 9 de out. de 2026","Cliques":"1","Visualizações públicas do YouTube":"2.775","Shorts":"—","Custo":"R$ 10,27"}</x:v>
      </x:c>
    </x:row>
    <x:row r="582" ht="24" customHeight="1">
      <x:c r="A582" s="32" t="str">
        <x:v>F010</x:v>
      </x:c>
      <x:c r="B582" s="32" t="str">
        <x:v>C02</x:v>
      </x:c>
      <x:c r="C582" s="32" t="n">
        <x:v>102</x:v>
      </x:c>
      <x:c r="D582" s="33" t="str">
        <x:v>{"Data":"sáb., 10 de out. de 2026","Cliques":"0","Visualizações públicas do YouTube":"2.873","Shorts":"—","Custo":"R$ 10,19"}</x:v>
      </x:c>
    </x:row>
    <x:row r="583" ht="24" customHeight="1">
      <x:c r="A583" s="32" t="str">
        <x:v>F010</x:v>
      </x:c>
      <x:c r="B583" s="32" t="str">
        <x:v>C02</x:v>
      </x:c>
      <x:c r="C583" s="32" t="n">
        <x:v>103</x:v>
      </x:c>
      <x:c r="D583" s="33" t="str">
        <x:v>{"Data":"dom., 11 de out. de 2026","Cliques":"0","Visualizações públicas do YouTube":"2.679","Shorts":"—","Custo":"R$ 10,08"}</x:v>
      </x:c>
    </x:row>
    <x:row r="584" ht="24" customHeight="1">
      <x:c r="A584" s="32" t="str">
        <x:v>F010</x:v>
      </x:c>
      <x:c r="B584" s="32" t="str">
        <x:v>C02</x:v>
      </x:c>
      <x:c r="C584" s="32" t="n">
        <x:v>104</x:v>
      </x:c>
      <x:c r="D584" s="33" t="str">
        <x:v>{"Data":"seg., 12 de out. de 2026","Cliques":"0","Visualizações públicas do YouTube":"2.619","Shorts":"—","Custo":"R$ 10,10"}</x:v>
      </x:c>
    </x:row>
    <x:row r="585" ht="24" customHeight="1">
      <x:c r="A585" s="32" t="str">
        <x:v>F010</x:v>
      </x:c>
      <x:c r="B585" s="32" t="str">
        <x:v>C02</x:v>
      </x:c>
      <x:c r="C585" s="32" t="n">
        <x:v>105</x:v>
      </x:c>
      <x:c r="D585" s="33" t="str">
        <x:v>{"Data":"ter., 13 de out. de 2026","Cliques":"0","Visualizações públicas do YouTube":"2.521","Shorts":"—","Custo":"R$ 10,04"}</x:v>
      </x:c>
    </x:row>
    <x:row r="586" ht="24" customHeight="1">
      <x:c r="A586" s="32" t="str">
        <x:v>F011</x:v>
      </x:c>
      <x:c r="B586" s="32" t="str">
        <x:v>C02</x:v>
      </x:c>
      <x:c r="C586" s="32" t="n">
        <x:v>1</x:v>
      </x:c>
      <x:c r="D586" s="33" t="str">
        <x:v>{"Data":"qua., 1 de jul. de 2026","Impr.":"0","Visualizações públicas do YouTube":"0","Custo":"R$ 0,00","Cliques":"0"}</x:v>
      </x:c>
    </x:row>
    <x:row r="587" ht="24" customHeight="1">
      <x:c r="A587" s="32" t="str">
        <x:v>F011</x:v>
      </x:c>
      <x:c r="B587" s="32" t="str">
        <x:v>C02</x:v>
      </x:c>
      <x:c r="C587" s="32" t="n">
        <x:v>2</x:v>
      </x:c>
      <x:c r="D587" s="33" t="str">
        <x:v>{"Data":"qui., 2 de jul. de 2026","Impr.":"0","Visualizações públicas do YouTube":"0","Custo":"R$ 0,00","Cliques":"0"}</x:v>
      </x:c>
    </x:row>
    <x:row r="588" ht="24" customHeight="1">
      <x:c r="A588" s="32" t="str">
        <x:v>F011</x:v>
      </x:c>
      <x:c r="B588" s="32" t="str">
        <x:v>C02</x:v>
      </x:c>
      <x:c r="C588" s="32" t="n">
        <x:v>3</x:v>
      </x:c>
      <x:c r="D588" s="33" t="str">
        <x:v>{"Data":"sex., 3 de jul. de 2026","Impr.":"0","Visualizações públicas do YouTube":"0","Custo":"R$ 0,00","Cliques":"0"}</x:v>
      </x:c>
    </x:row>
    <x:row r="589" ht="24" customHeight="1">
      <x:c r="A589" s="32" t="str">
        <x:v>F011</x:v>
      </x:c>
      <x:c r="B589" s="32" t="str">
        <x:v>C02</x:v>
      </x:c>
      <x:c r="C589" s="32" t="n">
        <x:v>4</x:v>
      </x:c>
      <x:c r="D589" s="33" t="str">
        <x:v>{"Data":"sáb., 4 de jul. de 2026","Impr.":"0","Visualizações públicas do YouTube":"0","Custo":"R$ 0,00","Cliques":"0"}</x:v>
      </x:c>
    </x:row>
    <x:row r="590" ht="24" customHeight="1">
      <x:c r="A590" s="32" t="str">
        <x:v>F011</x:v>
      </x:c>
      <x:c r="B590" s="32" t="str">
        <x:v>C02</x:v>
      </x:c>
      <x:c r="C590" s="32" t="n">
        <x:v>5</x:v>
      </x:c>
      <x:c r="D590" s="33" t="str">
        <x:v>{"Data":"dom., 5 de jul. de 2026","Impr.":"0","Visualizações públicas do YouTube":"0","Custo":"R$ 0,00","Cliques":"0"}</x:v>
      </x:c>
    </x:row>
    <x:row r="591" ht="24" customHeight="1">
      <x:c r="A591" s="32" t="str">
        <x:v>F011</x:v>
      </x:c>
      <x:c r="B591" s="32" t="str">
        <x:v>C02</x:v>
      </x:c>
      <x:c r="C591" s="32" t="n">
        <x:v>6</x:v>
      </x:c>
      <x:c r="D591" s="33" t="str">
        <x:v>{"Data":"seg., 6 de jul. de 2026","Impr.":"0","Visualizações públicas do YouTube":"0","Custo":"R$ 0,00","Cliques":"0"}</x:v>
      </x:c>
    </x:row>
    <x:row r="592" ht="24" customHeight="1">
      <x:c r="A592" s="32" t="str">
        <x:v>F011</x:v>
      </x:c>
      <x:c r="B592" s="32" t="str">
        <x:v>C02</x:v>
      </x:c>
      <x:c r="C592" s="32" t="n">
        <x:v>7</x:v>
      </x:c>
      <x:c r="D592" s="33" t="str">
        <x:v>{"Data":"ter., 7 de jul. de 2026","Impr.":"0","Visualizações públicas do YouTube":"0","Custo":"R$ 0,00","Cliques":"0"}</x:v>
      </x:c>
    </x:row>
    <x:row r="593" ht="24" customHeight="1">
      <x:c r="A593" s="32" t="str">
        <x:v>F011</x:v>
      </x:c>
      <x:c r="B593" s="32" t="str">
        <x:v>C02</x:v>
      </x:c>
      <x:c r="C593" s="32" t="n">
        <x:v>8</x:v>
      </x:c>
      <x:c r="D593" s="33" t="str">
        <x:v>{"Data":"qua., 8 de jul. de 2026","Impr.":"0","Visualizações públicas do YouTube":"0","Custo":"R$ 0,00","Cliques":"0"}</x:v>
      </x:c>
    </x:row>
    <x:row r="594" ht="24" customHeight="1">
      <x:c r="A594" s="32" t="str">
        <x:v>F011</x:v>
      </x:c>
      <x:c r="B594" s="32" t="str">
        <x:v>C02</x:v>
      </x:c>
      <x:c r="C594" s="32" t="n">
        <x:v>9</x:v>
      </x:c>
      <x:c r="D594" s="33" t="str">
        <x:v>{"Data":"qui., 9 de jul. de 2026","Impr.":"0","Visualizações públicas do YouTube":"0","Custo":"R$ 0,00","Cliques":"0"}</x:v>
      </x:c>
    </x:row>
    <x:row r="595" ht="24" customHeight="1">
      <x:c r="A595" s="32" t="str">
        <x:v>F011</x:v>
      </x:c>
      <x:c r="B595" s="32" t="str">
        <x:v>C02</x:v>
      </x:c>
      <x:c r="C595" s="32" t="n">
        <x:v>10</x:v>
      </x:c>
      <x:c r="D595" s="33" t="str">
        <x:v>{"Data":"sex., 10 de jul. de 2026","Impr.":"0","Visualizações públicas do YouTube":"0","Custo":"R$ 0,00","Cliques":"0"}</x:v>
      </x:c>
    </x:row>
    <x:row r="596" ht="24" customHeight="1">
      <x:c r="A596" s="32" t="str">
        <x:v>F011</x:v>
      </x:c>
      <x:c r="B596" s="32" t="str">
        <x:v>C02</x:v>
      </x:c>
      <x:c r="C596" s="32" t="n">
        <x:v>11</x:v>
      </x:c>
      <x:c r="D596" s="33" t="str">
        <x:v>{"Data":"sáb., 11 de jul. de 2026","Impr.":"0","Visualizações públicas do YouTube":"0","Custo":"R$ 0,00","Cliques":"0"}</x:v>
      </x:c>
    </x:row>
    <x:row r="597" ht="24" customHeight="1">
      <x:c r="A597" s="32" t="str">
        <x:v>F011</x:v>
      </x:c>
      <x:c r="B597" s="32" t="str">
        <x:v>C02</x:v>
      </x:c>
      <x:c r="C597" s="32" t="n">
        <x:v>12</x:v>
      </x:c>
      <x:c r="D597" s="33" t="str">
        <x:v>{"Data":"dom., 12 de jul. de 2026","Impr.":"0","Visualizações públicas do YouTube":"0","Custo":"R$ 0,00","Cliques":"0"}</x:v>
      </x:c>
    </x:row>
    <x:row r="598" ht="24" customHeight="1">
      <x:c r="A598" s="32" t="str">
        <x:v>F011</x:v>
      </x:c>
      <x:c r="B598" s="32" t="str">
        <x:v>C02</x:v>
      </x:c>
      <x:c r="C598" s="32" t="n">
        <x:v>13</x:v>
      </x:c>
      <x:c r="D598" s="33" t="str">
        <x:v>{"Data":"seg., 13 de jul. de 2026","Impr.":"0","Visualizações públicas do YouTube":"0","Custo":"R$ 0,00","Cliques":"0"}</x:v>
      </x:c>
    </x:row>
    <x:row r="599" ht="24" customHeight="1">
      <x:c r="A599" s="32" t="str">
        <x:v>F011</x:v>
      </x:c>
      <x:c r="B599" s="32" t="str">
        <x:v>C02</x:v>
      </x:c>
      <x:c r="C599" s="32" t="n">
        <x:v>14</x:v>
      </x:c>
      <x:c r="D599" s="33" t="str">
        <x:v>{"Data":"ter., 14 de jul. de 2026","Impr.":"0","Visualizações públicas do YouTube":"0","Custo":"R$ 0,00","Cliques":"0"}</x:v>
      </x:c>
    </x:row>
    <x:row r="600" ht="24" customHeight="1">
      <x:c r="A600" s="32" t="str">
        <x:v>F011</x:v>
      </x:c>
      <x:c r="B600" s="32" t="str">
        <x:v>C02</x:v>
      </x:c>
      <x:c r="C600" s="32" t="n">
        <x:v>15</x:v>
      </x:c>
      <x:c r="D600" s="33" t="str">
        <x:v>{"Data":"qua., 15 de jul. de 2026","Impr.":"0","Visualizações públicas do YouTube":"0","Custo":"R$ 0,00","Cliques":"0"}</x:v>
      </x:c>
    </x:row>
    <x:row r="601" ht="24" customHeight="1">
      <x:c r="A601" s="32" t="str">
        <x:v>F011</x:v>
      </x:c>
      <x:c r="B601" s="32" t="str">
        <x:v>C02</x:v>
      </x:c>
      <x:c r="C601" s="32" t="n">
        <x:v>16</x:v>
      </x:c>
      <x:c r="D601" s="33" t="str">
        <x:v>{"Data":"qui., 16 de jul. de 2026","Impr.":"0","Visualizações públicas do YouTube":"0","Custo":"R$ 0,00","Cliques":"0"}</x:v>
      </x:c>
    </x:row>
    <x:row r="602" ht="24" customHeight="1">
      <x:c r="A602" s="32" t="str">
        <x:v>F011</x:v>
      </x:c>
      <x:c r="B602" s="32" t="str">
        <x:v>C02</x:v>
      </x:c>
      <x:c r="C602" s="32" t="n">
        <x:v>17</x:v>
      </x:c>
      <x:c r="D602" s="33" t="str">
        <x:v>{"Data":"sex., 17 de jul. de 2026","Impr.":"0","Visualizações públicas do YouTube":"0","Custo":"R$ 0,00","Cliques":"0"}</x:v>
      </x:c>
    </x:row>
    <x:row r="603" ht="24" customHeight="1">
      <x:c r="A603" s="32" t="str">
        <x:v>F011</x:v>
      </x:c>
      <x:c r="B603" s="32" t="str">
        <x:v>C02</x:v>
      </x:c>
      <x:c r="C603" s="32" t="n">
        <x:v>18</x:v>
      </x:c>
      <x:c r="D603" s="33" t="str">
        <x:v>{"Data":"sáb., 18 de jul. de 2026","Impr.":"0","Visualizações públicas do YouTube":"0","Custo":"R$ 0,00","Cliques":"0"}</x:v>
      </x:c>
    </x:row>
    <x:row r="604" ht="24" customHeight="1">
      <x:c r="A604" s="32" t="str">
        <x:v>F011</x:v>
      </x:c>
      <x:c r="B604" s="32" t="str">
        <x:v>C02</x:v>
      </x:c>
      <x:c r="C604" s="32" t="n">
        <x:v>19</x:v>
      </x:c>
      <x:c r="D604" s="33" t="str">
        <x:v>{"Data":"dom., 19 de jul. de 2026","Impr.":"0","Visualizações públicas do YouTube":"0","Custo":"R$ 0,00","Cliques":"0"}</x:v>
      </x:c>
    </x:row>
    <x:row r="605" ht="24" customHeight="1">
      <x:c r="A605" s="32" t="str">
        <x:v>F011</x:v>
      </x:c>
      <x:c r="B605" s="32" t="str">
        <x:v>C02</x:v>
      </x:c>
      <x:c r="C605" s="32" t="n">
        <x:v>20</x:v>
      </x:c>
      <x:c r="D605" s="33" t="str">
        <x:v>{"Data":"seg., 20 de jul. de 2026","Impr.":"0","Visualizações públicas do YouTube":"0","Custo":"R$ 0,00","Cliques":"0"}</x:v>
      </x:c>
    </x:row>
    <x:row r="606" ht="24" customHeight="1">
      <x:c r="A606" s="32" t="str">
        <x:v>F011</x:v>
      </x:c>
      <x:c r="B606" s="32" t="str">
        <x:v>C02</x:v>
      </x:c>
      <x:c r="C606" s="32" t="n">
        <x:v>21</x:v>
      </x:c>
      <x:c r="D606" s="33" t="str">
        <x:v>{"Data":"ter., 21 de jul. de 2026","Impr.":"0","Visualizações públicas do YouTube":"0","Custo":"R$ 0,00","Cliques":"0"}</x:v>
      </x:c>
    </x:row>
    <x:row r="607" ht="24" customHeight="1">
      <x:c r="A607" s="32" t="str">
        <x:v>F011</x:v>
      </x:c>
      <x:c r="B607" s="32" t="str">
        <x:v>C02</x:v>
      </x:c>
      <x:c r="C607" s="32" t="n">
        <x:v>22</x:v>
      </x:c>
      <x:c r="D607" s="33" t="str">
        <x:v>{"Data":"qua., 22 de jul. de 2026","Impr.":"0","Visualizações públicas do YouTube":"0","Custo":"R$ 0,00","Cliques":"0"}</x:v>
      </x:c>
    </x:row>
    <x:row r="608" ht="24" customHeight="1">
      <x:c r="A608" s="32" t="str">
        <x:v>F011</x:v>
      </x:c>
      <x:c r="B608" s="32" t="str">
        <x:v>C02</x:v>
      </x:c>
      <x:c r="C608" s="32" t="n">
        <x:v>23</x:v>
      </x:c>
      <x:c r="D608" s="33" t="str">
        <x:v>{"Data":"qui., 23 de jul. de 2026","Impr.":"739","Visualizações públicas do YouTube":"732","Custo":"R$ 10,02","Cliques":"0"}</x:v>
      </x:c>
    </x:row>
    <x:row r="609" ht="24" customHeight="1">
      <x:c r="A609" s="32" t="str">
        <x:v>F011</x:v>
      </x:c>
      <x:c r="B609" s="32" t="str">
        <x:v>C02</x:v>
      </x:c>
      <x:c r="C609" s="32" t="n">
        <x:v>24</x:v>
      </x:c>
      <x:c r="D609" s="33" t="str">
        <x:v>{"Data":"sex., 24 de jul. de 2026","Impr.":"1.871","Visualizações públicas do YouTube":"1.857","Custo":"R$ 10,23","Cliques":"0"}</x:v>
      </x:c>
    </x:row>
    <x:row r="610" ht="24" customHeight="1">
      <x:c r="A610" s="32" t="str">
        <x:v>F011</x:v>
      </x:c>
      <x:c r="B610" s="32" t="str">
        <x:v>C02</x:v>
      </x:c>
      <x:c r="C610" s="32" t="n">
        <x:v>25</x:v>
      </x:c>
      <x:c r="D610" s="33" t="str">
        <x:v>{"Data":"sáb., 25 de jul. de 2026","Impr.":"2.461","Visualizações públicas do YouTube":"2.433","Custo":"R$ 10,55","Cliques":"0"}</x:v>
      </x:c>
    </x:row>
    <x:row r="611" ht="24" customHeight="1">
      <x:c r="A611" s="32" t="str">
        <x:v>F011</x:v>
      </x:c>
      <x:c r="B611" s="32" t="str">
        <x:v>C02</x:v>
      </x:c>
      <x:c r="C611" s="32" t="n">
        <x:v>26</x:v>
      </x:c>
      <x:c r="D611" s="33" t="str">
        <x:v>{"Data":"dom., 26 de jul. de 2026","Impr.":"2.437","Visualizações públicas do YouTube":"2.403","Custo":"R$ 10,29","Cliques":"0"}</x:v>
      </x:c>
    </x:row>
    <x:row r="612" ht="24" customHeight="1">
      <x:c r="A612" s="32" t="str">
        <x:v>F011</x:v>
      </x:c>
      <x:c r="B612" s="32" t="str">
        <x:v>C02</x:v>
      </x:c>
      <x:c r="C612" s="32" t="n">
        <x:v>27</x:v>
      </x:c>
      <x:c r="D612" s="33" t="str">
        <x:v>{"Data":"seg., 27 de jul. de 2026","Impr.":"2.380","Visualizações públicas do YouTube":"2.353","Custo":"R$ 10,17","Cliques":"0"}</x:v>
      </x:c>
    </x:row>
    <x:row r="613" ht="24" customHeight="1">
      <x:c r="A613" s="32" t="str">
        <x:v>F011</x:v>
      </x:c>
      <x:c r="B613" s="32" t="str">
        <x:v>C02</x:v>
      </x:c>
      <x:c r="C613" s="32" t="n">
        <x:v>28</x:v>
      </x:c>
      <x:c r="D613" s="33" t="str">
        <x:v>{"Data":"ter., 28 de jul. de 2026","Impr.":"2.345","Visualizações públicas do YouTube":"2.327","Custo":"R$ 10,07","Cliques":"1"}</x:v>
      </x:c>
    </x:row>
    <x:row r="614" ht="24" customHeight="1">
      <x:c r="A614" s="32" t="str">
        <x:v>F011</x:v>
      </x:c>
      <x:c r="B614" s="32" t="str">
        <x:v>C02</x:v>
      </x:c>
      <x:c r="C614" s="32" t="n">
        <x:v>29</x:v>
      </x:c>
      <x:c r="D614" s="33" t="str">
        <x:v>{"Data":"qua., 29 de jul. de 2026","Impr.":"2.047","Visualizações públicas do YouTube":"2.023","Custo":"R$ 9,86","Cliques":"0"}</x:v>
      </x:c>
    </x:row>
    <x:row r="615" ht="24" customHeight="1">
      <x:c r="A615" s="32" t="str">
        <x:v>F011</x:v>
      </x:c>
      <x:c r="B615" s="32" t="str">
        <x:v>C02</x:v>
      </x:c>
      <x:c r="C615" s="32" t="n">
        <x:v>30</x:v>
      </x:c>
      <x:c r="D615" s="33" t="str">
        <x:v>{"Data":"qui., 30 de jul. de 2026","Impr.":"1.883","Visualizações públicas do YouTube":"1.870","Custo":"R$ 9,67","Cliques":"0"}</x:v>
      </x:c>
    </x:row>
    <x:row r="616" ht="24" customHeight="1">
      <x:c r="A616" s="32" t="str">
        <x:v>F011</x:v>
      </x:c>
      <x:c r="B616" s="32" t="str">
        <x:v>C02</x:v>
      </x:c>
      <x:c r="C616" s="32" t="n">
        <x:v>31</x:v>
      </x:c>
      <x:c r="D616" s="33" t="str">
        <x:v>{"Data":"sex., 31 de jul. de 2026","Impr.":"1.677","Visualizações públicas do YouTube":"1.650","Custo":"R$ 9,16","Cliques":"0"}</x:v>
      </x:c>
    </x:row>
    <x:row r="617" ht="24" customHeight="1">
      <x:c r="A617" s="32" t="str">
        <x:v>F011</x:v>
      </x:c>
      <x:c r="B617" s="32" t="str">
        <x:v>C02</x:v>
      </x:c>
      <x:c r="C617" s="32" t="n">
        <x:v>32</x:v>
      </x:c>
      <x:c r="D617" s="33" t="str">
        <x:v>{"Data":"sáb., 1 de ago. de 2026","Impr.":"2.147","Visualizações públicas do YouTube":"2.119","Custo":"R$ 9,84","Cliques":"0"}</x:v>
      </x:c>
    </x:row>
    <x:row r="618" ht="24" customHeight="1">
      <x:c r="A618" s="32" t="str">
        <x:v>F011</x:v>
      </x:c>
      <x:c r="B618" s="32" t="str">
        <x:v>C02</x:v>
      </x:c>
      <x:c r="C618" s="32" t="n">
        <x:v>33</x:v>
      </x:c>
      <x:c r="D618" s="33" t="str">
        <x:v>{"Data":"dom., 2 de ago. de 2026","Impr.":"2.514","Visualizações públicas do YouTube":"2.490","Custo":"R$ 10,28","Cliques":"0"}</x:v>
      </x:c>
    </x:row>
    <x:row r="619" ht="24" customHeight="1">
      <x:c r="A619" s="32" t="str">
        <x:v>F011</x:v>
      </x:c>
      <x:c r="B619" s="32" t="str">
        <x:v>C02</x:v>
      </x:c>
      <x:c r="C619" s="32" t="n">
        <x:v>34</x:v>
      </x:c>
      <x:c r="D619" s="33" t="str">
        <x:v>{"Data":"seg., 3 de ago. de 2026","Impr.":"2.520","Visualizações públicas do YouTube":"2.489","Custo":"R$ 10,24","Cliques":"0"}</x:v>
      </x:c>
    </x:row>
    <x:row r="620" ht="24" customHeight="1">
      <x:c r="A620" s="32" t="str">
        <x:v>F011</x:v>
      </x:c>
      <x:c r="B620" s="32" t="str">
        <x:v>C02</x:v>
      </x:c>
      <x:c r="C620" s="32" t="n">
        <x:v>35</x:v>
      </x:c>
      <x:c r="D620" s="33" t="str">
        <x:v>{"Data":"ter., 4 de ago. de 2026","Impr.":"2.407","Visualizações públicas do YouTube":"2.384","Custo":"R$ 10,25","Cliques":"0"}</x:v>
      </x:c>
    </x:row>
    <x:row r="621" ht="24" customHeight="1">
      <x:c r="A621" s="32" t="str">
        <x:v>F011</x:v>
      </x:c>
      <x:c r="B621" s="32" t="str">
        <x:v>C02</x:v>
      </x:c>
      <x:c r="C621" s="32" t="n">
        <x:v>36</x:v>
      </x:c>
      <x:c r="D621" s="33" t="str">
        <x:v>{"Data":"qua., 5 de ago. de 2026","Impr.":"2.221","Visualizações públicas do YouTube":"2.201","Custo":"R$ 10,24","Cliques":"0"}</x:v>
      </x:c>
    </x:row>
    <x:row r="622" ht="24" customHeight="1">
      <x:c r="A622" s="32" t="str">
        <x:v>F011</x:v>
      </x:c>
      <x:c r="B622" s="32" t="str">
        <x:v>C02</x:v>
      </x:c>
      <x:c r="C622" s="32" t="n">
        <x:v>37</x:v>
      </x:c>
      <x:c r="D622" s="33" t="str">
        <x:v>{"Data":"qui., 6 de ago. de 2026","Impr.":"1.841","Visualizações públicas do YouTube":"1.814","Custo":"R$ 10,21","Cliques":"0"}</x:v>
      </x:c>
    </x:row>
    <x:row r="623" ht="24" customHeight="1">
      <x:c r="A623" s="32" t="str">
        <x:v>F011</x:v>
      </x:c>
      <x:c r="B623" s="32" t="str">
        <x:v>C02</x:v>
      </x:c>
      <x:c r="C623" s="32" t="n">
        <x:v>38</x:v>
      </x:c>
      <x:c r="D623" s="33" t="str">
        <x:v>{"Data":"sex., 7 de ago. de 2026","Impr.":"2.161","Visualizações públicas do YouTube":"2.132","Custo":"R$ 10,22","Cliques":"0"}</x:v>
      </x:c>
    </x:row>
    <x:row r="624" ht="24" customHeight="1">
      <x:c r="A624" s="32" t="str">
        <x:v>F011</x:v>
      </x:c>
      <x:c r="B624" s="32" t="str">
        <x:v>C02</x:v>
      </x:c>
      <x:c r="C624" s="32" t="n">
        <x:v>39</x:v>
      </x:c>
      <x:c r="D624" s="33" t="str">
        <x:v>{"Data":"sáb., 8 de ago. de 2026","Impr.":"2.313","Visualizações públicas do YouTube":"2.285","Custo":"R$ 10,14","Cliques":"0"}</x:v>
      </x:c>
    </x:row>
    <x:row r="625" ht="24" customHeight="1">
      <x:c r="A625" s="32" t="str">
        <x:v>F011</x:v>
      </x:c>
      <x:c r="B625" s="32" t="str">
        <x:v>C02</x:v>
      </x:c>
      <x:c r="C625" s="32" t="n">
        <x:v>40</x:v>
      </x:c>
      <x:c r="D625" s="33" t="str">
        <x:v>{"Data":"dom., 9 de ago. de 2026","Impr.":"2.274","Visualizações públicas do YouTube":"2.248","Custo":"R$ 10,14","Cliques":"0"}</x:v>
      </x:c>
    </x:row>
    <x:row r="626" ht="24" customHeight="1">
      <x:c r="A626" s="32" t="str">
        <x:v>F011</x:v>
      </x:c>
      <x:c r="B626" s="32" t="str">
        <x:v>C02</x:v>
      </x:c>
      <x:c r="C626" s="32" t="n">
        <x:v>41</x:v>
      </x:c>
      <x:c r="D626" s="33" t="str">
        <x:v>{"Data":"seg., 10 de ago. de 2026","Impr.":"2.280","Visualizações públicas do YouTube":"2.255","Custo":"R$ 10,11","Cliques":"0"}</x:v>
      </x:c>
    </x:row>
    <x:row r="627" ht="24" customHeight="1">
      <x:c r="A627" s="32" t="str">
        <x:v>F011</x:v>
      </x:c>
      <x:c r="B627" s="32" t="str">
        <x:v>C02</x:v>
      </x:c>
      <x:c r="C627" s="32" t="n">
        <x:v>42</x:v>
      </x:c>
      <x:c r="D627" s="33" t="str">
        <x:v>{"Data":"ter., 11 de ago. de 2026","Impr.":"2.472","Visualizações públicas do YouTube":"2.437","Custo":"R$ 10,12","Cliques":"0"}</x:v>
      </x:c>
    </x:row>
    <x:row r="628" ht="24" customHeight="1">
      <x:c r="A628" s="32" t="str">
        <x:v>F011</x:v>
      </x:c>
      <x:c r="B628" s="32" t="str">
        <x:v>C02</x:v>
      </x:c>
      <x:c r="C628" s="32" t="n">
        <x:v>43</x:v>
      </x:c>
      <x:c r="D628" s="33" t="str">
        <x:v>{"Data":"qua., 12 de ago. de 2026","Impr.":"2.428","Visualizações públicas do YouTube":"2.382","Custo":"R$ 10,09","Cliques":"2"}</x:v>
      </x:c>
    </x:row>
    <x:row r="629" ht="24" customHeight="1">
      <x:c r="A629" s="32" t="str">
        <x:v>F011</x:v>
      </x:c>
      <x:c r="B629" s="32" t="str">
        <x:v>C02</x:v>
      </x:c>
      <x:c r="C629" s="32" t="n">
        <x:v>44</x:v>
      </x:c>
      <x:c r="D629" s="33" t="str">
        <x:v>{"Data":"qui., 13 de ago. de 2026","Impr.":"2.208","Visualizações públicas do YouTube":"2.165","Custo":"R$ 10,07","Cliques":"0"}</x:v>
      </x:c>
    </x:row>
    <x:row r="630" ht="24" customHeight="1">
      <x:c r="A630" s="32" t="str">
        <x:v>F011</x:v>
      </x:c>
      <x:c r="B630" s="32" t="str">
        <x:v>C02</x:v>
      </x:c>
      <x:c r="C630" s="32" t="n">
        <x:v>45</x:v>
      </x:c>
      <x:c r="D630" s="33" t="str">
        <x:v>{"Data":"sex., 14 de ago. de 2026","Impr.":"2.132","Visualizações públicas do YouTube":"2.101","Custo":"R$ 9,94","Cliques":"0"}</x:v>
      </x:c>
    </x:row>
    <x:row r="631" ht="24" customHeight="1">
      <x:c r="A631" s="32" t="str">
        <x:v>F011</x:v>
      </x:c>
      <x:c r="B631" s="32" t="str">
        <x:v>C02</x:v>
      </x:c>
      <x:c r="C631" s="32" t="n">
        <x:v>46</x:v>
      </x:c>
      <x:c r="D631" s="33" t="str">
        <x:v>{"Data":"sáb., 15 de ago. de 2026","Impr.":"2.218","Visualizações públicas do YouTube":"2.186","Custo":"R$ 9,84","Cliques":"1"}</x:v>
      </x:c>
    </x:row>
    <x:row r="632" ht="24" customHeight="1">
      <x:c r="A632" s="32" t="str">
        <x:v>F011</x:v>
      </x:c>
      <x:c r="B632" s="32" t="str">
        <x:v>C02</x:v>
      </x:c>
      <x:c r="C632" s="32" t="n">
        <x:v>47</x:v>
      </x:c>
      <x:c r="D632" s="33" t="str">
        <x:v>{"Data":"dom., 16 de ago. de 2026","Impr.":"2.050","Visualizações públicas do YouTube":"2.013","Custo":"R$ 10,00","Cliques":"0"}</x:v>
      </x:c>
    </x:row>
    <x:row r="633" ht="24" customHeight="1">
      <x:c r="A633" s="32" t="str">
        <x:v>F011</x:v>
      </x:c>
      <x:c r="B633" s="32" t="str">
        <x:v>C02</x:v>
      </x:c>
      <x:c r="C633" s="32" t="n">
        <x:v>48</x:v>
      </x:c>
      <x:c r="D633" s="33" t="str">
        <x:v>{"Data":"seg., 17 de ago. de 2026","Impr.":"2.042","Visualizações públicas do YouTube":"2.004","Custo":"R$ 9,90","Cliques":"0"}</x:v>
      </x:c>
    </x:row>
    <x:row r="634" ht="24" customHeight="1">
      <x:c r="A634" s="32" t="str">
        <x:v>F011</x:v>
      </x:c>
      <x:c r="B634" s="32" t="str">
        <x:v>C02</x:v>
      </x:c>
      <x:c r="C634" s="32" t="n">
        <x:v>49</x:v>
      </x:c>
      <x:c r="D634" s="33" t="str">
        <x:v>{"Data":"ter., 18 de ago. de 2026","Impr.":"2.164","Visualizações públicas do YouTube":"2.122","Custo":"R$ 9,92","Cliques":"0"}</x:v>
      </x:c>
    </x:row>
    <x:row r="635" ht="24" customHeight="1">
      <x:c r="A635" s="32" t="str">
        <x:v>F011</x:v>
      </x:c>
      <x:c r="B635" s="32" t="str">
        <x:v>C02</x:v>
      </x:c>
      <x:c r="C635" s="32" t="n">
        <x:v>50</x:v>
      </x:c>
      <x:c r="D635" s="33" t="str">
        <x:v>{"Data":"qua., 19 de ago. de 2026","Impr.":"2.240","Visualizações públicas do YouTube":"2.211","Custo":"R$ 9,86","Cliques":"1"}</x:v>
      </x:c>
    </x:row>
    <x:row r="636" ht="24" customHeight="1">
      <x:c r="A636" s="32" t="str">
        <x:v>F011</x:v>
      </x:c>
      <x:c r="B636" s="32" t="str">
        <x:v>C02</x:v>
      </x:c>
      <x:c r="C636" s="32" t="n">
        <x:v>51</x:v>
      </x:c>
      <x:c r="D636" s="33" t="str">
        <x:v>{"Data":"qui., 20 de ago. de 2026","Impr.":"1.756","Visualizações públicas do YouTube":"1.738","Custo":"R$ 9,92","Cliques":"0"}</x:v>
      </x:c>
    </x:row>
    <x:row r="637" ht="24" customHeight="1">
      <x:c r="A637" s="32" t="str">
        <x:v>F011</x:v>
      </x:c>
      <x:c r="B637" s="32" t="str">
        <x:v>C02</x:v>
      </x:c>
      <x:c r="C637" s="32" t="n">
        <x:v>52</x:v>
      </x:c>
      <x:c r="D637" s="33" t="str">
        <x:v>{"Data":"sex., 21 de ago. de 2026","Impr.":"1.733","Visualizações públicas do YouTube":"1.697","Custo":"R$ 9,75","Cliques":"0"}</x:v>
      </x:c>
    </x:row>
    <x:row r="638" ht="24" customHeight="1">
      <x:c r="A638" s="32" t="str">
        <x:v>F011</x:v>
      </x:c>
      <x:c r="B638" s="32" t="str">
        <x:v>C02</x:v>
      </x:c>
      <x:c r="C638" s="32" t="n">
        <x:v>53</x:v>
      </x:c>
      <x:c r="D638" s="33" t="str">
        <x:v>{"Data":"sáb., 22 de ago. de 2026","Impr.":"2.106","Visualizações públicas do YouTube":"2.081","Custo":"R$ 9,88","Cliques":"1"}</x:v>
      </x:c>
    </x:row>
    <x:row r="639" ht="24" customHeight="1">
      <x:c r="A639" s="32" t="str">
        <x:v>F011</x:v>
      </x:c>
      <x:c r="B639" s="32" t="str">
        <x:v>C02</x:v>
      </x:c>
      <x:c r="C639" s="32" t="n">
        <x:v>54</x:v>
      </x:c>
      <x:c r="D639" s="33" t="str">
        <x:v>{"Data":"dom., 23 de ago. de 2026","Impr.":"2.200","Visualizações públicas do YouTube":"2.171","Custo":"R$ 9,63","Cliques":"0"}</x:v>
      </x:c>
    </x:row>
    <x:row r="640" ht="24" customHeight="1">
      <x:c r="A640" s="32" t="str">
        <x:v>F011</x:v>
      </x:c>
      <x:c r="B640" s="32" t="str">
        <x:v>C02</x:v>
      </x:c>
      <x:c r="C640" s="32" t="n">
        <x:v>55</x:v>
      </x:c>
      <x:c r="D640" s="33" t="str">
        <x:v>{"Data":"seg., 24 de ago. de 2026","Impr.":"2.129","Visualizações públicas do YouTube":"2.113","Custo":"R$ 9,59","Cliques":"0"}</x:v>
      </x:c>
    </x:row>
    <x:row r="641" ht="24" customHeight="1">
      <x:c r="A641" s="32" t="str">
        <x:v>F011</x:v>
      </x:c>
      <x:c r="B641" s="32" t="str">
        <x:v>C02</x:v>
      </x:c>
      <x:c r="C641" s="32" t="n">
        <x:v>56</x:v>
      </x:c>
      <x:c r="D641" s="33" t="str">
        <x:v>{"Data":"ter., 25 de ago. de 2026","Impr.":"1.906","Visualizações públicas do YouTube":"1.870","Custo":"R$ 9,59","Cliques":"0"}</x:v>
      </x:c>
    </x:row>
    <x:row r="642" ht="24" customHeight="1">
      <x:c r="A642" s="32" t="str">
        <x:v>F011</x:v>
      </x:c>
      <x:c r="B642" s="32" t="str">
        <x:v>C02</x:v>
      </x:c>
      <x:c r="C642" s="32" t="n">
        <x:v>57</x:v>
      </x:c>
      <x:c r="D642" s="33" t="str">
        <x:v>{"Data":"qua., 26 de ago. de 2026","Impr.":"1.344","Visualizações públicas do YouTube":"1.327","Custo":"R$ 6,30","Cliques":"0"}</x:v>
      </x:c>
    </x:row>
    <x:row r="643" ht="24" customHeight="1">
      <x:c r="A643" s="32" t="str">
        <x:v>F011</x:v>
      </x:c>
      <x:c r="B643" s="32" t="str">
        <x:v>C02</x:v>
      </x:c>
      <x:c r="C643" s="32" t="n">
        <x:v>58</x:v>
      </x:c>
      <x:c r="D643" s="33" t="str">
        <x:v>{"Data":"qui., 27 de ago. de 2026","Impr.":"2.386","Visualizações públicas do YouTube":"2.220","Custo":"R$ 12,65","Cliques":"0"}</x:v>
      </x:c>
    </x:row>
    <x:row r="644" ht="24" customHeight="1">
      <x:c r="A644" s="32" t="str">
        <x:v>F011</x:v>
      </x:c>
      <x:c r="B644" s="32" t="str">
        <x:v>C02</x:v>
      </x:c>
      <x:c r="C644" s="32" t="n">
        <x:v>59</x:v>
      </x:c>
      <x:c r="D644" s="33" t="str">
        <x:v>{"Data":"sex., 28 de ago. de 2026","Impr.":"1.713","Visualizações públicas do YouTube":"1.592","Custo":"R$ 9,41","Cliques":"0"}</x:v>
      </x:c>
    </x:row>
    <x:row r="645" ht="24" customHeight="1">
      <x:c r="A645" s="32" t="str">
        <x:v>F011</x:v>
      </x:c>
      <x:c r="B645" s="32" t="str">
        <x:v>C02</x:v>
      </x:c>
      <x:c r="C645" s="32" t="n">
        <x:v>60</x:v>
      </x:c>
      <x:c r="D645" s="33" t="str">
        <x:v>{"Data":"sáb., 29 de ago. de 2026","Impr.":"1.528","Visualizações públicas do YouTube":"1.443","Custo":"R$ 9,18","Cliques":"2"}</x:v>
      </x:c>
    </x:row>
    <x:row r="646" ht="24" customHeight="1">
      <x:c r="A646" s="32" t="str">
        <x:v>F011</x:v>
      </x:c>
      <x:c r="B646" s="32" t="str">
        <x:v>C02</x:v>
      </x:c>
      <x:c r="C646" s="32" t="n">
        <x:v>61</x:v>
      </x:c>
      <x:c r="D646" s="33" t="str">
        <x:v>{"Data":"dom., 30 de ago. de 2026","Impr.":"1.608","Visualizações públicas do YouTube":"1.388","Custo":"R$ 8,91","Cliques":"1"}</x:v>
      </x:c>
    </x:row>
    <x:row r="647" ht="24" customHeight="1">
      <x:c r="A647" s="32" t="str">
        <x:v>F011</x:v>
      </x:c>
      <x:c r="B647" s="32" t="str">
        <x:v>C02</x:v>
      </x:c>
      <x:c r="C647" s="32" t="n">
        <x:v>62</x:v>
      </x:c>
      <x:c r="D647" s="33" t="str">
        <x:v>{"Data":"seg., 31 de ago. de 2026","Impr.":"1.593","Visualizações públicas do YouTube":"1.567","Custo":"R$ 8,15","Cliques":"0"}</x:v>
      </x:c>
    </x:row>
    <x:row r="648" ht="24" customHeight="1">
      <x:c r="A648" s="32" t="str">
        <x:v>F011</x:v>
      </x:c>
      <x:c r="B648" s="32" t="str">
        <x:v>C02</x:v>
      </x:c>
      <x:c r="C648" s="32" t="n">
        <x:v>63</x:v>
      </x:c>
      <x:c r="D648" s="33" t="str">
        <x:v>{"Data":"ter., 1 de set. de 2026","Impr.":"2.140","Visualizações públicas do YouTube":"2.078","Custo":"R$ 10,58","Cliques":"0"}</x:v>
      </x:c>
    </x:row>
    <x:row r="649" ht="24" customHeight="1">
      <x:c r="A649" s="32" t="str">
        <x:v>F011</x:v>
      </x:c>
      <x:c r="B649" s="32" t="str">
        <x:v>C02</x:v>
      </x:c>
      <x:c r="C649" s="32" t="n">
        <x:v>64</x:v>
      </x:c>
      <x:c r="D649" s="33" t="str">
        <x:v>{"Data":"qua., 2 de set. de 2026","Impr.":"1.876","Visualizações públicas do YouTube":"1.674","Custo":"R$ 10,58","Cliques":"2"}</x:v>
      </x:c>
    </x:row>
    <x:row r="650" ht="24" customHeight="1">
      <x:c r="A650" s="32" t="str">
        <x:v>F011</x:v>
      </x:c>
      <x:c r="B650" s="32" t="str">
        <x:v>C02</x:v>
      </x:c>
      <x:c r="C650" s="32" t="n">
        <x:v>65</x:v>
      </x:c>
      <x:c r="D650" s="33" t="str">
        <x:v>{"Data":"qui., 3 de set. de 2026","Impr.":"2.390","Visualizações públicas do YouTube":"2.347","Custo":"R$ 10,60","Cliques":"0"}</x:v>
      </x:c>
    </x:row>
    <x:row r="651" ht="24" customHeight="1">
      <x:c r="A651" s="32" t="str">
        <x:v>F011</x:v>
      </x:c>
      <x:c r="B651" s="32" t="str">
        <x:v>C02</x:v>
      </x:c>
      <x:c r="C651" s="32" t="n">
        <x:v>66</x:v>
      </x:c>
      <x:c r="D651" s="33" t="str">
        <x:v>{"Data":"sex., 4 de set. de 2026","Impr.":"2.049","Visualizações públicas do YouTube":"1.981","Custo":"R$ 10,18","Cliques":"1"}</x:v>
      </x:c>
    </x:row>
    <x:row r="652" ht="24" customHeight="1">
      <x:c r="A652" s="32" t="str">
        <x:v>F011</x:v>
      </x:c>
      <x:c r="B652" s="32" t="str">
        <x:v>C02</x:v>
      </x:c>
      <x:c r="C652" s="32" t="n">
        <x:v>67</x:v>
      </x:c>
      <x:c r="D652" s="33" t="str">
        <x:v>{"Data":"sáb., 5 de set. de 2026","Impr.":"2.250","Visualizações públicas do YouTube":"2.096","Custo":"R$ 10,62","Cliques":"2"}</x:v>
      </x:c>
    </x:row>
    <x:row r="653" ht="24" customHeight="1">
      <x:c r="A653" s="32" t="str">
        <x:v>F011</x:v>
      </x:c>
      <x:c r="B653" s="32" t="str">
        <x:v>C02</x:v>
      </x:c>
      <x:c r="C653" s="32" t="n">
        <x:v>68</x:v>
      </x:c>
      <x:c r="D653" s="33" t="str">
        <x:v>{"Data":"dom., 6 de set. de 2026","Impr.":"2.345","Visualizações públicas do YouTube":"2.264","Custo":"R$ 10,53","Cliques":"3"}</x:v>
      </x:c>
    </x:row>
    <x:row r="654" ht="24" customHeight="1">
      <x:c r="A654" s="32" t="str">
        <x:v>F011</x:v>
      </x:c>
      <x:c r="B654" s="32" t="str">
        <x:v>C02</x:v>
      </x:c>
      <x:c r="C654" s="32" t="n">
        <x:v>69</x:v>
      </x:c>
      <x:c r="D654" s="33" t="str">
        <x:v>{"Data":"seg., 7 de set. de 2026","Impr.":"2.460","Visualizações públicas do YouTube":"2.307","Custo":"R$ 10,58","Cliques":"0"}</x:v>
      </x:c>
    </x:row>
    <x:row r="655" ht="24" customHeight="1">
      <x:c r="A655" s="32" t="str">
        <x:v>F011</x:v>
      </x:c>
      <x:c r="B655" s="32" t="str">
        <x:v>C02</x:v>
      </x:c>
      <x:c r="C655" s="32" t="n">
        <x:v>70</x:v>
      </x:c>
      <x:c r="D655" s="33" t="str">
        <x:v>{"Data":"ter., 8 de set. de 2026","Impr.":"2.705","Visualizações públicas do YouTube":"2.623","Custo":"R$ 10,56","Cliques":"0"}</x:v>
      </x:c>
    </x:row>
    <x:row r="656" ht="24" customHeight="1">
      <x:c r="A656" s="32" t="str">
        <x:v>F011</x:v>
      </x:c>
      <x:c r="B656" s="32" t="str">
        <x:v>C02</x:v>
      </x:c>
      <x:c r="C656" s="32" t="n">
        <x:v>71</x:v>
      </x:c>
      <x:c r="D656" s="33" t="str">
        <x:v>{"Data":"qua., 9 de set. de 2026","Impr.":"2.484","Visualizações públicas do YouTube":"2.377","Custo":"R$ 10,53","Cliques":"0"}</x:v>
      </x:c>
    </x:row>
    <x:row r="657" ht="24" customHeight="1">
      <x:c r="A657" s="32" t="str">
        <x:v>F011</x:v>
      </x:c>
      <x:c r="B657" s="32" t="str">
        <x:v>C02</x:v>
      </x:c>
      <x:c r="C657" s="32" t="n">
        <x:v>72</x:v>
      </x:c>
      <x:c r="D657" s="33" t="str">
        <x:v>{"Data":"qui., 10 de set. de 2026","Impr.":"2.273","Visualizações públicas do YouTube":"2.209","Custo":"R$ 10,45","Cliques":"0"}</x:v>
      </x:c>
    </x:row>
    <x:row r="658" ht="24" customHeight="1">
      <x:c r="A658" s="32" t="str">
        <x:v>F011</x:v>
      </x:c>
      <x:c r="B658" s="32" t="str">
        <x:v>C02</x:v>
      </x:c>
      <x:c r="C658" s="32" t="n">
        <x:v>73</x:v>
      </x:c>
      <x:c r="D658" s="33" t="str">
        <x:v>{"Data":"sex., 11 de set. de 2026","Impr.":"2.435","Visualizações públicas do YouTube":"2.421","Custo":"R$ 10,50","Cliques":"0"}</x:v>
      </x:c>
    </x:row>
    <x:row r="659" ht="24" customHeight="1">
      <x:c r="A659" s="32" t="str">
        <x:v>F011</x:v>
      </x:c>
      <x:c r="B659" s="32" t="str">
        <x:v>C02</x:v>
      </x:c>
      <x:c r="C659" s="32" t="n">
        <x:v>74</x:v>
      </x:c>
      <x:c r="D659" s="33" t="str">
        <x:v>{"Data":"sáb., 12 de set. de 2026","Impr.":"2.433","Visualizações públicas do YouTube":"2.423","Custo":"R$ 10,40","Cliques":"0"}</x:v>
      </x:c>
    </x:row>
    <x:row r="660" ht="24" customHeight="1">
      <x:c r="A660" s="32" t="str">
        <x:v>F011</x:v>
      </x:c>
      <x:c r="B660" s="32" t="str">
        <x:v>C02</x:v>
      </x:c>
      <x:c r="C660" s="32" t="n">
        <x:v>75</x:v>
      </x:c>
      <x:c r="D660" s="33" t="str">
        <x:v>{"Data":"dom., 13 de set. de 2026","Impr.":"2.468","Visualizações públicas do YouTube":"2.451","Custo":"R$ 10,39","Cliques":"0"}</x:v>
      </x:c>
    </x:row>
    <x:row r="661" ht="24" customHeight="1">
      <x:c r="A661" s="32" t="str">
        <x:v>F011</x:v>
      </x:c>
      <x:c r="B661" s="32" t="str">
        <x:v>C02</x:v>
      </x:c>
      <x:c r="C661" s="32" t="n">
        <x:v>76</x:v>
      </x:c>
      <x:c r="D661" s="33" t="str">
        <x:v>{"Data":"seg., 14 de set. de 2026","Impr.":"2.430","Visualizações públicas do YouTube":"2.423","Custo":"R$ 10,35","Cliques":"0"}</x:v>
      </x:c>
    </x:row>
    <x:row r="662" ht="24" customHeight="1">
      <x:c r="A662" s="32" t="str">
        <x:v>F011</x:v>
      </x:c>
      <x:c r="B662" s="32" t="str">
        <x:v>C02</x:v>
      </x:c>
      <x:c r="C662" s="32" t="n">
        <x:v>77</x:v>
      </x:c>
      <x:c r="D662" s="33" t="str">
        <x:v>{"Data":"ter., 15 de set. de 2026","Impr.":"2.464","Visualizações públicas do YouTube":"2.458","Custo":"R$ 10,30","Cliques":"1"}</x:v>
      </x:c>
    </x:row>
    <x:row r="663" ht="24" customHeight="1">
      <x:c r="A663" s="32" t="str">
        <x:v>F011</x:v>
      </x:c>
      <x:c r="B663" s="32" t="str">
        <x:v>C02</x:v>
      </x:c>
      <x:c r="C663" s="32" t="n">
        <x:v>78</x:v>
      </x:c>
      <x:c r="D663" s="33" t="str">
        <x:v>{"Data":"qua., 16 de set. de 2026","Impr.":"2.440","Visualizações públicas do YouTube":"2.430","Custo":"R$ 10,28","Cliques":"1"}</x:v>
      </x:c>
    </x:row>
    <x:row r="664" ht="24" customHeight="1">
      <x:c r="A664" s="32" t="str">
        <x:v>F011</x:v>
      </x:c>
      <x:c r="B664" s="32" t="str">
        <x:v>C02</x:v>
      </x:c>
      <x:c r="C664" s="32" t="n">
        <x:v>79</x:v>
      </x:c>
      <x:c r="D664" s="33" t="str">
        <x:v>{"Data":"qui., 17 de set. de 2026","Impr.":"2.462","Visualizações públicas do YouTube":"2.455","Custo":"R$ 10,23","Cliques":"0"}</x:v>
      </x:c>
    </x:row>
    <x:row r="665" ht="24" customHeight="1">
      <x:c r="A665" s="32" t="str">
        <x:v>F011</x:v>
      </x:c>
      <x:c r="B665" s="32" t="str">
        <x:v>C02</x:v>
      </x:c>
      <x:c r="C665" s="32" t="n">
        <x:v>80</x:v>
      </x:c>
      <x:c r="D665" s="33" t="str">
        <x:v>{"Data":"sex., 18 de set. de 2026","Impr.":"2.332","Visualizações públicas do YouTube":"2.331","Custo":"R$ 10,21","Cliques":"0"}</x:v>
      </x:c>
    </x:row>
    <x:row r="666" ht="24" customHeight="1">
      <x:c r="A666" s="32" t="str">
        <x:v>F011</x:v>
      </x:c>
      <x:c r="B666" s="32" t="str">
        <x:v>C02</x:v>
      </x:c>
      <x:c r="C666" s="32" t="n">
        <x:v>81</x:v>
      </x:c>
      <x:c r="D666" s="33" t="str">
        <x:v>{"Data":"sáb., 19 de set. de 2026","Impr.":"2.243","Visualizações públicas do YouTube":"2.231","Custo":"R$ 10,18","Cliques":"0"}</x:v>
      </x:c>
    </x:row>
    <x:row r="667" ht="24" customHeight="1">
      <x:c r="A667" s="32" t="str">
        <x:v>F011</x:v>
      </x:c>
      <x:c r="B667" s="32" t="str">
        <x:v>C02</x:v>
      </x:c>
      <x:c r="C667" s="32" t="n">
        <x:v>82</x:v>
      </x:c>
      <x:c r="D667" s="33" t="str">
        <x:v>{"Data":"dom., 20 de set. de 2026","Impr.":"2.122","Visualizações públicas do YouTube":"2.112","Custo":"R$ 10,25","Cliques":"2"}</x:v>
      </x:c>
    </x:row>
    <x:row r="668" ht="24" customHeight="1">
      <x:c r="A668" s="32" t="str">
        <x:v>F011</x:v>
      </x:c>
      <x:c r="B668" s="32" t="str">
        <x:v>C02</x:v>
      </x:c>
      <x:c r="C668" s="32" t="n">
        <x:v>83</x:v>
      </x:c>
      <x:c r="D668" s="33" t="str">
        <x:v>{"Data":"seg., 21 de set. de 2026","Impr.":"2.226","Visualizações públicas do YouTube":"2.214","Custo":"R$ 9,98","Cliques":"1"}</x:v>
      </x:c>
    </x:row>
    <x:row r="669" ht="24" customHeight="1">
      <x:c r="A669" s="32" t="str">
        <x:v>F011</x:v>
      </x:c>
      <x:c r="B669" s="32" t="str">
        <x:v>C02</x:v>
      </x:c>
      <x:c r="C669" s="32" t="n">
        <x:v>84</x:v>
      </x:c>
      <x:c r="D669" s="33" t="str">
        <x:v>{"Data":"ter., 22 de set. de 2026","Impr.":"2.412","Visualizações públicas do YouTube":"2.405","Custo":"R$ 10,03","Cliques":"0"}</x:v>
      </x:c>
    </x:row>
    <x:row r="670" ht="24" customHeight="1">
      <x:c r="A670" s="32" t="str">
        <x:v>F011</x:v>
      </x:c>
      <x:c r="B670" s="32" t="str">
        <x:v>C02</x:v>
      </x:c>
      <x:c r="C670" s="32" t="n">
        <x:v>85</x:v>
      </x:c>
      <x:c r="D670" s="33" t="str">
        <x:v>{"Data":"qua., 23 de set. de 2026","Impr.":"2.256","Visualizações públicas do YouTube":"2.251","Custo":"R$ 9,93","Cliques":"0"}</x:v>
      </x:c>
    </x:row>
    <x:row r="671" ht="24" customHeight="1">
      <x:c r="A671" s="32" t="str">
        <x:v>F011</x:v>
      </x:c>
      <x:c r="B671" s="32" t="str">
        <x:v>C02</x:v>
      </x:c>
      <x:c r="C671" s="32" t="n">
        <x:v>86</x:v>
      </x:c>
      <x:c r="D671" s="33" t="str">
        <x:v>{"Data":"qui., 24 de set. de 2026","Impr.":"182","Visualizações públicas do YouTube":"182","Custo":"R$ 0,79","Cliques":"0"}</x:v>
      </x:c>
    </x:row>
    <x:row r="672" ht="24" customHeight="1">
      <x:c r="A672" s="32" t="str">
        <x:v>F011</x:v>
      </x:c>
      <x:c r="B672" s="32" t="str">
        <x:v>C02</x:v>
      </x:c>
      <x:c r="C672" s="32" t="n">
        <x:v>87</x:v>
      </x:c>
      <x:c r="D672" s="33" t="str">
        <x:v>{"Data":"sex., 25 de set. de 2026","Impr.":"10","Visualizações públicas do YouTube":"9","Custo":"R$ 0,03","Cliques":"0"}</x:v>
      </x:c>
    </x:row>
    <x:row r="673" ht="24" customHeight="1">
      <x:c r="A673" s="32" t="str">
        <x:v>F011</x:v>
      </x:c>
      <x:c r="B673" s="32" t="str">
        <x:v>C02</x:v>
      </x:c>
      <x:c r="C673" s="32" t="n">
        <x:v>88</x:v>
      </x:c>
      <x:c r="D673" s="33" t="str">
        <x:v>{"Data":"sáb., 26 de set. de 2026","Impr.":"0","Visualizações públicas do YouTube":"0","Custo":"R$ 0,00","Cliques":"0"}</x:v>
      </x:c>
    </x:row>
    <x:row r="674" ht="24" customHeight="1">
      <x:c r="A674" s="32" t="str">
        <x:v>F011</x:v>
      </x:c>
      <x:c r="B674" s="32" t="str">
        <x:v>C02</x:v>
      </x:c>
      <x:c r="C674" s="32" t="n">
        <x:v>89</x:v>
      </x:c>
      <x:c r="D674" s="33" t="str">
        <x:v>{"Data":"dom., 27 de set. de 2026","Impr.":"1","Visualizações públicas do YouTube":"1","Custo":"R$ 0,00","Cliques":"0"}</x:v>
      </x:c>
    </x:row>
    <x:row r="675" ht="24" customHeight="1">
      <x:c r="A675" s="32" t="str">
        <x:v>F011</x:v>
      </x:c>
      <x:c r="B675" s="32" t="str">
        <x:v>C02</x:v>
      </x:c>
      <x:c r="C675" s="32" t="n">
        <x:v>90</x:v>
      </x:c>
      <x:c r="D675" s="33" t="str">
        <x:v>{"Data":"seg., 28 de set. de 2026","Impr.":"0","Visualizações públicas do YouTube":"0","Custo":"R$ 0,00","Cliques":"0"}</x:v>
      </x:c>
    </x:row>
    <x:row r="676" ht="24" customHeight="1">
      <x:c r="A676" s="32" t="str">
        <x:v>F011</x:v>
      </x:c>
      <x:c r="B676" s="32" t="str">
        <x:v>C02</x:v>
      </x:c>
      <x:c r="C676" s="32" t="n">
        <x:v>91</x:v>
      </x:c>
      <x:c r="D676" s="33" t="str">
        <x:v>{"Data":"ter., 29 de set. de 2026","Impr.":"2","Visualizações públicas do YouTube":"2","Custo":"R$ 0,00","Cliques":"0"}</x:v>
      </x:c>
    </x:row>
    <x:row r="677" ht="24" customHeight="1">
      <x:c r="A677" s="32" t="str">
        <x:v>F011</x:v>
      </x:c>
      <x:c r="B677" s="32" t="str">
        <x:v>C02</x:v>
      </x:c>
      <x:c r="C677" s="32" t="n">
        <x:v>92</x:v>
      </x:c>
      <x:c r="D677" s="33" t="str">
        <x:v>{"Data":"qua., 30 de set. de 2026","Impr.":"0","Visualizações públicas do YouTube":"0","Custo":"R$ 0,00","Cliques":"0"}</x:v>
      </x:c>
    </x:row>
    <x:row r="678" ht="24" customHeight="1">
      <x:c r="A678" s="32" t="str">
        <x:v>F011</x:v>
      </x:c>
      <x:c r="B678" s="32" t="str">
        <x:v>C02</x:v>
      </x:c>
      <x:c r="C678" s="32" t="n">
        <x:v>93</x:v>
      </x:c>
      <x:c r="D678" s="33" t="str">
        <x:v>{"Data":"qui., 1 de out. de 2026","Impr.":"2.290","Visualizações públicas do YouTube":"2.281","Custo":"R$ 9,79","Cliques":"0"}</x:v>
      </x:c>
    </x:row>
    <x:row r="679" ht="24" customHeight="1">
      <x:c r="A679" s="32" t="str">
        <x:v>F011</x:v>
      </x:c>
      <x:c r="B679" s="32" t="str">
        <x:v>C02</x:v>
      </x:c>
      <x:c r="C679" s="32" t="n">
        <x:v>94</x:v>
      </x:c>
      <x:c r="D679" s="33" t="str">
        <x:v>{"Data":"sex., 2 de out. de 2026","Impr.":"3.082","Visualizações públicas do YouTube":"3.073","Custo":"R$ 10,29","Cliques":"1"}</x:v>
      </x:c>
    </x:row>
    <x:row r="680" ht="24" customHeight="1">
      <x:c r="A680" s="32" t="str">
        <x:v>F011</x:v>
      </x:c>
      <x:c r="B680" s="32" t="str">
        <x:v>C02</x:v>
      </x:c>
      <x:c r="C680" s="32" t="n">
        <x:v>95</x:v>
      </x:c>
      <x:c r="D680" s="33" t="str">
        <x:v>{"Data":"sáb., 3 de out. de 2026","Impr.":"2.729","Visualizações públicas do YouTube":"2.694","Custo":"R$ 10,28","Cliques":"0"}</x:v>
      </x:c>
    </x:row>
    <x:row r="681" ht="24" customHeight="1">
      <x:c r="A681" s="32" t="str">
        <x:v>F011</x:v>
      </x:c>
      <x:c r="B681" s="32" t="str">
        <x:v>C02</x:v>
      </x:c>
      <x:c r="C681" s="32" t="n">
        <x:v>96</x:v>
      </x:c>
      <x:c r="D681" s="33" t="str">
        <x:v>{"Data":"dom., 4 de out. de 2026","Impr.":"2.771","Visualizações públicas do YouTube":"2.754","Custo":"R$ 10,31","Cliques":"0"}</x:v>
      </x:c>
    </x:row>
    <x:row r="682" ht="24" customHeight="1">
      <x:c r="A682" s="32" t="str">
        <x:v>F011</x:v>
      </x:c>
      <x:c r="B682" s="32" t="str">
        <x:v>C02</x:v>
      </x:c>
      <x:c r="C682" s="32" t="n">
        <x:v>97</x:v>
      </x:c>
      <x:c r="D682" s="33" t="str">
        <x:v>{"Data":"seg., 5 de out. de 2026","Impr.":"2.899","Visualizações públicas do YouTube":"2.890","Custo":"R$ 10,22","Cliques":"0"}</x:v>
      </x:c>
    </x:row>
    <x:row r="683" ht="24" customHeight="1">
      <x:c r="A683" s="32" t="str">
        <x:v>F011</x:v>
      </x:c>
      <x:c r="B683" s="32" t="str">
        <x:v>C02</x:v>
      </x:c>
      <x:c r="C683" s="32" t="n">
        <x:v>98</x:v>
      </x:c>
      <x:c r="D683" s="33" t="str">
        <x:v>{"Data":"ter., 6 de out. de 2026","Impr.":"3.044","Visualizações públicas do YouTube":"3.024","Custo":"R$ 10,21","Cliques":"0"}</x:v>
      </x:c>
    </x:row>
    <x:row r="684" ht="24" customHeight="1">
      <x:c r="A684" s="32" t="str">
        <x:v>F011</x:v>
      </x:c>
      <x:c r="B684" s="32" t="str">
        <x:v>C02</x:v>
      </x:c>
      <x:c r="C684" s="32" t="n">
        <x:v>99</x:v>
      </x:c>
      <x:c r="D684" s="33" t="str">
        <x:v>{"Data":"qua., 7 de out. de 2026","Impr.":"3.050","Visualizações públicas do YouTube":"3.034","Custo":"R$ 10,20","Cliques":"0"}</x:v>
      </x:c>
    </x:row>
    <x:row r="685" ht="24" customHeight="1">
      <x:c r="A685" s="32" t="str">
        <x:v>F011</x:v>
      </x:c>
      <x:c r="B685" s="32" t="str">
        <x:v>C02</x:v>
      </x:c>
      <x:c r="C685" s="32" t="n">
        <x:v>100</x:v>
      </x:c>
      <x:c r="D685" s="33" t="str">
        <x:v>{"Data":"qui., 8 de out. de 2026","Impr.":"2.851","Visualizações públicas do YouTube":"2.828","Custo":"R$ 10,34","Cliques":"0"}</x:v>
      </x:c>
    </x:row>
    <x:row r="686" ht="24" customHeight="1">
      <x:c r="A686" s="32" t="str">
        <x:v>F011</x:v>
      </x:c>
      <x:c r="B686" s="32" t="str">
        <x:v>C02</x:v>
      </x:c>
      <x:c r="C686" s="32" t="n">
        <x:v>101</x:v>
      </x:c>
      <x:c r="D686" s="33" t="str">
        <x:v>{"Data":"sex., 9 de out. de 2026","Impr.":"2.782","Visualizações públicas do YouTube":"2.775","Custo":"R$ 10,27","Cliques":"1"}</x:v>
      </x:c>
    </x:row>
    <x:row r="687" ht="24" customHeight="1">
      <x:c r="A687" s="32" t="str">
        <x:v>F011</x:v>
      </x:c>
      <x:c r="B687" s="32" t="str">
        <x:v>C02</x:v>
      </x:c>
      <x:c r="C687" s="32" t="n">
        <x:v>102</x:v>
      </x:c>
      <x:c r="D687" s="33" t="str">
        <x:v>{"Data":"sáb., 10 de out. de 2026","Impr.":"2.880","Visualizações públicas do YouTube":"2.873","Custo":"R$ 10,19","Cliques":"0"}</x:v>
      </x:c>
    </x:row>
    <x:row r="688" ht="24" customHeight="1">
      <x:c r="A688" s="32" t="str">
        <x:v>F011</x:v>
      </x:c>
      <x:c r="B688" s="32" t="str">
        <x:v>C02</x:v>
      </x:c>
      <x:c r="C688" s="32" t="n">
        <x:v>103</x:v>
      </x:c>
      <x:c r="D688" s="33" t="str">
        <x:v>{"Data":"dom., 11 de out. de 2026","Impr.":"2.688","Visualizações públicas do YouTube":"2.679","Custo":"R$ 10,08","Cliques":"0"}</x:v>
      </x:c>
    </x:row>
    <x:row r="689" ht="24" customHeight="1">
      <x:c r="A689" s="32" t="str">
        <x:v>F011</x:v>
      </x:c>
      <x:c r="B689" s="32" t="str">
        <x:v>C02</x:v>
      </x:c>
      <x:c r="C689" s="32" t="n">
        <x:v>104</x:v>
      </x:c>
      <x:c r="D689" s="33" t="str">
        <x:v>{"Data":"seg., 12 de out. de 2026","Impr.":"2.628","Visualizações públicas do YouTube":"2.619","Custo":"R$ 10,10","Cliques":"0"}</x:v>
      </x:c>
    </x:row>
    <x:row r="690" ht="24" customHeight="1">
      <x:c r="A690" s="32" t="str">
        <x:v>F011</x:v>
      </x:c>
      <x:c r="B690" s="32" t="str">
        <x:v>C02</x:v>
      </x:c>
      <x:c r="C690" s="32" t="n">
        <x:v>105</x:v>
      </x:c>
      <x:c r="D690" s="33" t="str">
        <x:v>{"Data":"ter., 13 de out. de 2026","Impr.":"2.534","Visualizações públicas do YouTube":"2.521","Custo":"R$ 10,04","Cliques":"0"}</x:v>
      </x:c>
    </x:row>
    <x:row r="691" ht="69" customHeight="1">
      <x:c r="A691" s="32" t="str">
        <x:v>F012</x:v>
      </x:c>
      <x:c r="B691" s="32" t="str">
        <x:v>C02</x:v>
      </x:c>
      <x:c r="C691" s="32" t="n">
        <x:v>1</x:v>
      </x:c>
      <x:c r="D691" s="33" t="str">
        <x:v>{"Status da campanha":"Ativada","Campanha":"YT - Arrozes especiais Bahia 02","Orçamento":"10,00","Nome do orçamento":" --","Tipo de orçamento":"Diário","Código da moeda":"BRL","Status":"Qualificado (limitado)","Motivos do status":"limitado pelo orçamento","Pontuação de otimização":"59,42","Subtipo da campanha":"Exibições de vídeos","Tipo de campanha":"Vídeo","Usuários exclusivos":"","Impr.":"172.592","Visualizações do TrueView":"98.697","CPM médio":"4,44","CPV médio do TrueView":"0,01","Custo":"765,76","Marcações com \"Gostei\"":"0","Comentários":"0","Shares":"0"}</x:v>
      </x:c>
    </x:row>
    <x:row r="692" ht="69" customHeight="1">
      <x:c r="A692" s="32" t="str">
        <x:v>F012</x:v>
      </x:c>
      <x:c r="B692" s="32" t="str">
        <x:v>C02</x:v>
      </x:c>
      <x:c r="C692" s="32" t="n">
        <x:v>2</x:v>
      </x:c>
      <x:c r="D692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exclusivos":"","Impr.":"172.592","Visualizações do TrueView":"98.697","CPM médio":"4,44","CPV médio do TrueView":"0,01","Custo":"765,76","Marcações com \"Gostei\"":"0","Comentários":"0","Shares":"0"}</x:v>
      </x:c>
    </x:row>
    <x:row r="693" ht="54" customHeight="1">
      <x:c r="A693" s="32" t="str">
        <x:v>F012</x:v>
      </x:c>
      <x:c r="B693" s="32" t="str">
        <x:v>C02</x:v>
      </x:c>
      <x:c r="C693" s="32" t="n">
        <x:v>3</x:v>
      </x:c>
      <x:c r="D693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exclusivos":"","Impr.":"172.592","Visualizações do TrueView":"98.697","CPM médio":"4,44","CPV médio do TrueView":"0,01","Custo":"765,76","Marcações com \"Gostei\"":"0","Comentários":"0","Shares":"0"}</x:v>
      </x:c>
    </x:row>
    <x:row r="694" ht="54" customHeight="1">
      <x:c r="A694" s="32" t="str">
        <x:v>F013</x:v>
      </x:c>
      <x:c r="B694" s="32" t="str">
        <x:v>C02</x:v>
      </x:c>
      <x:c r="C694" s="32" t="n">
        <x:v>1</x:v>
      </x:c>
      <x:c r="D694" s="33" t="str">
        <x:v>{"Dispositivo":"Telas de TV","Nível":"Campanha","Campanha":"YT - Arrozes especiais Bahia 02","Grupo de anúncios":" --","Ajuste de lance":" --","Aj. de lance do grupo de anúncios":"Nenhum","Impr.":"155.994","Visualizações do TrueView":"91.947","Taxa de visualização do TrueView":"58,94%","Código da moeda":"BRL","CPV médio do TrueView":"0,01","Custo":"665,46","Taxa de conv.":"0,00%","Conversões":"0,00","Custo / conv.":"0,00"}</x:v>
      </x:c>
    </x:row>
    <x:row r="695" ht="54" customHeight="1">
      <x:c r="A695" s="32" t="str">
        <x:v>F013</x:v>
      </x:c>
      <x:c r="B695" s="32" t="str">
        <x:v>C02</x:v>
      </x:c>
      <x:c r="C695" s="32" t="n">
        <x:v>2</x:v>
      </x:c>
      <x:c r="D695" s="33" t="str">
        <x:v>{"Dispositivo":"Smartphones","Nível":"Campanha","Campanha":"YT - Arrozes especiais Bahia 02","Grupo de anúncios":" --","Ajuste de lance":" --","Aj. de lance do grupo de anúncios":"Nenhum","Impr.":"12.745","Visualizações do TrueView":"4.552","Taxa de visualização do TrueView":"35,72%","Código da moeda":"BRL","CPV médio do TrueView":"0,02","Custo":"77,43","Taxa de conv.":"0,00%","Conversões":"0,00","Custo / conv.":"0,00"}</x:v>
      </x:c>
    </x:row>
    <x:row r="696" ht="54" customHeight="1">
      <x:c r="A696" s="32" t="str">
        <x:v>F013</x:v>
      </x:c>
      <x:c r="B696" s="32" t="str">
        <x:v>C02</x:v>
      </x:c>
      <x:c r="C696" s="32" t="n">
        <x:v>3</x:v>
      </x:c>
      <x:c r="D696" s="33" t="str">
        <x:v>{"Dispositivo":"Tablets","Nível":"Campanha","Campanha":"YT - Arrozes especiais Bahia 02","Grupo de anúncios":" --","Ajuste de lance":" --","Aj. de lance do grupo de anúncios":"Nenhum","Impr.":"1.016","Visualizações do TrueView":"429","Taxa de visualização do TrueView":"42,22%","Código da moeda":"BRL","CPV médio do TrueView":"0,01","Custo":"5,39","Taxa de conv.":"0,00%","Conversões":"0,00","Custo / conv.":"0,00"}</x:v>
      </x:c>
    </x:row>
    <x:row r="697" ht="54" customHeight="1">
      <x:c r="A697" s="32" t="str">
        <x:v>F013</x:v>
      </x:c>
      <x:c r="B697" s="32" t="str">
        <x:v>C02</x:v>
      </x:c>
      <x:c r="C697" s="32" t="n">
        <x:v>4</x:v>
      </x:c>
      <x:c r="D697" s="33" t="str">
        <x:v>{"Dispositivo":"Computadores","Nível":"Campanha","Campanha":"YT - Arrozes especiais Bahia 02","Grupo de anúncios":" --","Ajuste de lance":" --","Aj. de lance do grupo de anúncios":"Nenhum","Impr.":"2.837","Visualizações do TrueView":"1.769","Taxa de visualização do TrueView":"62,35%","Código da moeda":"BRL","CPV médio do TrueView":"0,01","Custo":"17,48","Taxa de conv.":"0,00%","Conversões":"0,00","Custo / conv.":"0,00"}</x:v>
      </x:c>
    </x:row>
    <x:row r="698" ht="54" customHeight="1">
      <x:c r="A698" s="32" t="str">
        <x:v>F013</x:v>
      </x:c>
      <x:c r="B698" s="32" t="str">
        <x:v>C02</x:v>
      </x:c>
      <x:c r="C698" s="32" t="n">
        <x:v>5</x:v>
      </x:c>
      <x:c r="D698" s="33" t="str">
        <x:v>{"Dispositivo":"Total: Campanha","Nível":"","Campanha":"","Grupo de anúncios":"","Ajuste de lance":"","Aj. de lance do grupo de anúncios":"","Impr.":"172.592","Visualizações do TrueView":"98.697","Taxa de visualização do TrueView":"57,19%","Código da moeda":"BRL","CPV médio do TrueView":"0,01","Custo":"765,76","Taxa de conv.":"0,00%","Conversões":"0,00","Custo / conv.":"0,00"}</x:v>
      </x:c>
    </x:row>
    <x:row r="699" ht="39" customHeight="1">
      <x:c r="A699" s="32" t="str">
        <x:v>F014</x:v>
      </x:c>
      <x:c r="B699" s="32" t="str">
        <x:v>C02</x:v>
      </x:c>
      <x:c r="C699" s="32" t="n">
        <x:v>1</x:v>
      </x:c>
      <x:c r="D699" s="33" t="str">
        <x:v>{"Local":"15,0|mi|Teolândia, BA","Ajuste de lance":" --","Impr.":"72","Visualizações do TrueView":"18","Taxa de visualização do TrueView":"25,00%","Código da moeda":"BRL","Custo":"1,06","CPM médio":"14,66","Taxa de conv.":"0,00%","Conversões":"0,00","Custo / conv.":"0,00"}</x:v>
      </x:c>
    </x:row>
    <x:row r="700" ht="39" customHeight="1">
      <x:c r="A700" s="32" t="str">
        <x:v>F014</x:v>
      </x:c>
      <x:c r="B700" s="32" t="str">
        <x:v>C02</x:v>
      </x:c>
      <x:c r="C700" s="32" t="n">
        <x:v>2</x:v>
      </x:c>
      <x:c r="D700" s="33" t="str">
        <x:v>{"Local":"15,0|mi|Floresta Azul, BA","Ajuste de lance":" --","Impr.":"12","Visualizações do TrueView":"5","Taxa de visualização do TrueView":"41,67%","Código da moeda":"BRL","Custo":"0,08","CPM médio":"6,45","Taxa de conv.":"0,00%","Conversões":"0,00","Custo / conv.":"0,00"}</x:v>
      </x:c>
    </x:row>
    <x:row r="701" ht="39" customHeight="1">
      <x:c r="A701" s="32" t="str">
        <x:v>F014</x:v>
      </x:c>
      <x:c r="B701" s="32" t="str">
        <x:v>C02</x:v>
      </x:c>
      <x:c r="C701" s="32" t="n">
        <x:v>3</x:v>
      </x:c>
      <x:c r="D701" s="33" t="str">
        <x:v>{"Local":"Itabuna, Bahia, Brasil","Ajuste de lance":" --","Impr.":"52.756","Visualizações do TrueView":"29.416","Taxa de visualização do TrueView":"55,76%","Código da moeda":"BRL","Custo":"229,00","CPM médio":"4,34","Taxa de conv.":"0,00%","Conversões":"0,00","Custo / conv.":"0,00"}</x:v>
      </x:c>
    </x:row>
    <x:row r="702" ht="39" customHeight="1">
      <x:c r="A702" s="32" t="str">
        <x:v>F014</x:v>
      </x:c>
      <x:c r="B702" s="32" t="str">
        <x:v>C02</x:v>
      </x:c>
      <x:c r="C702" s="32" t="n">
        <x:v>4</x:v>
      </x:c>
      <x:c r="D702" s="33" t="str">
        <x:v>{"Local":"15,0|mi|Maraú,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03" ht="39" customHeight="1">
      <x:c r="A703" s="32" t="str">
        <x:v>F014</x:v>
      </x:c>
      <x:c r="B703" s="32" t="str">
        <x:v>C02</x:v>
      </x:c>
      <x:c r="C703" s="32" t="n">
        <x:v>5</x:v>
      </x:c>
      <x:c r="D703" s="33" t="str">
        <x:v>{"Local":"15,0|mi|Ibirapitanga, BA","Ajuste de lance":" --","Impr.":"9","Visualizações do TrueView":"2","Taxa de visualização do TrueView":"22,22%","Código da moeda":"BRL","Custo":"0,02","CPM médio":"2,39","Taxa de conv.":"0,00%","Conversões":"0,00","Custo / conv.":"0,00"}</x:v>
      </x:c>
    </x:row>
    <x:row r="704" ht="39" customHeight="1">
      <x:c r="A704" s="32" t="str">
        <x:v>F014</x:v>
      </x:c>
      <x:c r="B704" s="32" t="str">
        <x:v>C02</x:v>
      </x:c>
      <x:c r="C704" s="32" t="n">
        <x:v>6</x:v>
      </x:c>
      <x:c r="D704" s="33" t="str">
        <x:v>{"Local":"15,0|mi|Presidente Tancredo Neves, BA","Ajuste de lance":" --","Impr.":"92","Visualizações do TrueView":"22","Taxa de visualização do TrueView":"23,91%","Código da moeda":"BRL","Custo":"0,83","CPM médio":"8,99","Taxa de conv.":"0,00%","Conversões":"0,00","Custo / conv.":"0,00"}</x:v>
      </x:c>
    </x:row>
    <x:row r="705" ht="39" customHeight="1">
      <x:c r="A705" s="32" t="str">
        <x:v>F014</x:v>
      </x:c>
      <x:c r="B705" s="32" t="str">
        <x:v>C02</x:v>
      </x:c>
      <x:c r="C705" s="32" t="n">
        <x:v>7</x:v>
      </x:c>
      <x:c r="D705" s="33" t="str">
        <x:v>{"Local":"15,0|mi|Belmonte, BA","Ajuste de lance":" --","Impr.":"148","Visualizações do TrueView":"46","Taxa de visualização do TrueView":"31,08%","Código da moeda":"BRL","Custo":"1,08","CPM médio":"7,33","Taxa de conv.":"0,00%","Conversões":"0,00","Custo / conv.":"0,00"}</x:v>
      </x:c>
    </x:row>
    <x:row r="706" ht="39" customHeight="1">
      <x:c r="A706" s="32" t="str">
        <x:v>F014</x:v>
      </x:c>
      <x:c r="B706" s="32" t="str">
        <x:v>C02</x:v>
      </x:c>
      <x:c r="C706" s="32" t="n">
        <x:v>8</x:v>
      </x:c>
      <x:c r="D706" s="33" t="str">
        <x:v>{"Local":"15,0|mi|Piraí do Norte,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07" ht="39" customHeight="1">
      <x:c r="A707" s="32" t="str">
        <x:v>F014</x:v>
      </x:c>
      <x:c r="B707" s="32" t="str">
        <x:v>C02</x:v>
      </x:c>
      <x:c r="C707" s="32" t="n">
        <x:v>9</x:v>
      </x:c>
      <x:c r="D707" s="33" t="str">
        <x:v>{"Local":"15,0|mi|Barro Preto, BA","Ajuste de lance":" --","Impr.":"5.510","Visualizações do TrueView":"3.250","Taxa de visualização do TrueView":"58,98%","Código da moeda":"BRL","Custo":"23,58","CPM médio":"4,28","Taxa de conv.":"0,00%","Conversões":"0,00","Custo / conv.":"0,00"}</x:v>
      </x:c>
    </x:row>
    <x:row r="708" ht="39" customHeight="1">
      <x:c r="A708" s="32" t="str">
        <x:v>F014</x:v>
      </x:c>
      <x:c r="B708" s="32" t="str">
        <x:v>C02</x:v>
      </x:c>
      <x:c r="C708" s="32" t="n">
        <x:v>10</x:v>
      </x:c>
      <x:c r="D708" s="33" t="str">
        <x:v>{"Local":"15,0|mi|Nilo Peçanha,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09" ht="39" customHeight="1">
      <x:c r="A709" s="32" t="str">
        <x:v>F014</x:v>
      </x:c>
      <x:c r="B709" s="32" t="str">
        <x:v>C02</x:v>
      </x:c>
      <x:c r="C709" s="32" t="n">
        <x:v>11</x:v>
      </x:c>
      <x:c r="D709" s="33" t="str">
        <x:v>{"Local":"15,0|mi|Wenceslau Guimarães, BA","Ajuste de lance":" --","Impr.":"33","Visualizações do TrueView":"12","Taxa de visualização do TrueView":"36,36%","Código da moeda":"BRL","Custo":"0,51","CPM médio":"15,50","Taxa de conv.":"0,00%","Conversões":"0,00","Custo / conv.":"0,00"}</x:v>
      </x:c>
    </x:row>
    <x:row r="710" ht="39" customHeight="1">
      <x:c r="A710" s="32" t="str">
        <x:v>F014</x:v>
      </x:c>
      <x:c r="B710" s="32" t="str">
        <x:v>C02</x:v>
      </x:c>
      <x:c r="C710" s="32" t="n">
        <x:v>12</x:v>
      </x:c>
      <x:c r="D710" s="33" t="str">
        <x:v>{"Local":"15,0|mi|Taperoá, BA","Ajuste de lance":" --","Impr.":"2.704","Visualizações do TrueView":"1.696","Taxa de visualização do TrueView":"62,72%","Código da moeda":"BRL","Custo":"12,83","CPM médio":"4,75","Taxa de conv.":"0,00%","Conversões":"0,00","Custo / conv.":"0,00"}</x:v>
      </x:c>
    </x:row>
    <x:row r="711" ht="39" customHeight="1">
      <x:c r="A711" s="32" t="str">
        <x:v>F014</x:v>
      </x:c>
      <x:c r="B711" s="32" t="str">
        <x:v>C02</x:v>
      </x:c>
      <x:c r="C711" s="32" t="n">
        <x:v>13</x:v>
      </x:c>
      <x:c r="D711" s="33" t="str">
        <x:v>{"Local":"15,0|mi|Canavieiras, BA","Ajuste de lance":" --","Impr.":"1","Visualizações do TrueView":"1","Taxa de visualização do TrueView":"100,00%","Código da moeda":"BRL","Custo":"0,01","CPM médio":"7,39","Taxa de conv.":"0,00%","Conversões":"0,00","Custo / conv.":"0,00"}</x:v>
      </x:c>
    </x:row>
    <x:row r="712" ht="39" customHeight="1">
      <x:c r="A712" s="32" t="str">
        <x:v>F014</x:v>
      </x:c>
      <x:c r="B712" s="32" t="str">
        <x:v>C02</x:v>
      </x:c>
      <x:c r="C712" s="32" t="n">
        <x:v>14</x:v>
      </x:c>
      <x:c r="D712" s="33" t="str">
        <x:v>{"Local":"15,0|mi|Coaraci,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13" ht="39" customHeight="1">
      <x:c r="A713" s="32" t="str">
        <x:v>F014</x:v>
      </x:c>
      <x:c r="B713" s="32" t="str">
        <x:v>C02</x:v>
      </x:c>
      <x:c r="C713" s="32" t="n">
        <x:v>15</x:v>
      </x:c>
      <x:c r="D713" s="33" t="str">
        <x:v>{"Local":"15,0|mi|Arataca,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14" ht="39" customHeight="1">
      <x:c r="A714" s="32" t="str">
        <x:v>F014</x:v>
      </x:c>
      <x:c r="B714" s="32" t="str">
        <x:v>C02</x:v>
      </x:c>
      <x:c r="C714" s="32" t="n">
        <x:v>16</x:v>
      </x:c>
      <x:c r="D714" s="33" t="str">
        <x:v>{"Local":"15,0|mi|Buerarema,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15" ht="39" customHeight="1">
      <x:c r="A715" s="32" t="str">
        <x:v>F014</x:v>
      </x:c>
      <x:c r="B715" s="32" t="str">
        <x:v>C02</x:v>
      </x:c>
      <x:c r="C715" s="32" t="n">
        <x:v>17</x:v>
      </x:c>
      <x:c r="D715" s="33" t="str">
        <x:v>{"Local":"15,0|mi|Aurelino Leal,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16" ht="39" customHeight="1">
      <x:c r="A716" s="32" t="str">
        <x:v>F014</x:v>
      </x:c>
      <x:c r="B716" s="32" t="str">
        <x:v>C02</x:v>
      </x:c>
      <x:c r="C716" s="32" t="n">
        <x:v>18</x:v>
      </x:c>
      <x:c r="D716" s="33" t="str">
        <x:v>{"Local":"15,0|mi|Itacaré, BA","Ajuste de lance":" --","Impr.":"8","Visualizações do TrueView":"3","Taxa de visualização do TrueView":"37,50%","Código da moeda":"BRL","Custo":"0,07","CPM médio":"8,58","Taxa de conv.":"0,00%","Conversões":"0,00","Custo / conv.":"0,00"}</x:v>
      </x:c>
    </x:row>
    <x:row r="717" ht="39" customHeight="1">
      <x:c r="A717" s="32" t="str">
        <x:v>F014</x:v>
      </x:c>
      <x:c r="B717" s="32" t="str">
        <x:v>C02</x:v>
      </x:c>
      <x:c r="C717" s="32" t="n">
        <x:v>19</x:v>
      </x:c>
      <x:c r="D717" s="33" t="str">
        <x:v>{"Local":"15,0|mi|Camacã - Camacan, BA","Ajuste de lance":" --","Impr.":"14","Visualizações do TrueView":"1","Taxa de visualização do TrueView":"7,14%","Código da moeda":"BRL","Custo":"0,01","CPM médio":"0,56","Taxa de conv.":"0,00%","Conversões":"0,00","Custo / conv.":"0,00"}</x:v>
      </x:c>
    </x:row>
    <x:row r="718" ht="39" customHeight="1">
      <x:c r="A718" s="32" t="str">
        <x:v>F014</x:v>
      </x:c>
      <x:c r="B718" s="32" t="str">
        <x:v>C02</x:v>
      </x:c>
      <x:c r="C718" s="32" t="n">
        <x:v>20</x:v>
      </x:c>
      <x:c r="D718" s="33" t="str">
        <x:v>{"Local":"Gandu, Bahia, Brasil","Ajuste de lance":" --","Impr.":"4.195","Visualizações do TrueView":"2.395","Taxa de visualização do TrueView":"57,09%","Código da moeda":"BRL","Custo":"19,28","CPM médio":"4,60","Taxa de conv.":"0,00%","Conversões":"0,00","Custo / conv.":"0,00"}</x:v>
      </x:c>
    </x:row>
    <x:row r="719" ht="39" customHeight="1">
      <x:c r="A719" s="32" t="str">
        <x:v>F014</x:v>
      </x:c>
      <x:c r="B719" s="32" t="str">
        <x:v>C02</x:v>
      </x:c>
      <x:c r="C719" s="32" t="n">
        <x:v>21</x:v>
      </x:c>
      <x:c r="D719" s="33" t="str">
        <x:v>{"Local":"15,0|mi|Ituberá, BA","Ajuste de lance":" --","Impr.":"6","Visualizações do TrueView":"1","Taxa de visualização do TrueView":"16,67%","Código da moeda":"BRL","Custo":"0,08","CPM médio":"13,33","Taxa de conv.":"0,00%","Conversões":"0,00","Custo / conv.":"0,00"}</x:v>
      </x:c>
    </x:row>
    <x:row r="720" ht="39" customHeight="1">
      <x:c r="A720" s="32" t="str">
        <x:v>F014</x:v>
      </x:c>
      <x:c r="B720" s="32" t="str">
        <x:v>C02</x:v>
      </x:c>
      <x:c r="C720" s="32" t="n">
        <x:v>22</x:v>
      </x:c>
      <x:c r="D720" s="33" t="str">
        <x:v>{"Local":"Valença, Bahia, Brasil","Ajuste de lance":" --","Impr.":"41.157","Visualizações do TrueView":"24.079","Taxa de visualização do TrueView":"58,51%","Código da moeda":"BRL","Custo":"183,12","CPM médio":"4,45","Taxa de conv.":"0,00%","Conversões":"0,00","Custo / conv.":"0,00"}</x:v>
      </x:c>
    </x:row>
    <x:row r="721" ht="39" customHeight="1">
      <x:c r="A721" s="32" t="str">
        <x:v>F014</x:v>
      </x:c>
      <x:c r="B721" s="32" t="str">
        <x:v>C02</x:v>
      </x:c>
      <x:c r="C721" s="32" t="n">
        <x:v>23</x:v>
      </x:c>
      <x:c r="D721" s="33" t="str">
        <x:v>{"Local":"15,0|mi|Una, BA","Ajuste de lance":" --","Impr.":"4","Visualizações do TrueView":"1","Taxa de visualização do TrueView":"25,00%","Código da moeda":"BRL","Custo":"0,06","CPM médio":"14,69","Taxa de conv.":"0,00%","Conversões":"0,00","Custo / conv.":"0,00"}</x:v>
      </x:c>
    </x:row>
    <x:row r="722" ht="39" customHeight="1">
      <x:c r="A722" s="32" t="str">
        <x:v>F014</x:v>
      </x:c>
      <x:c r="B722" s="32" t="str">
        <x:v>C02</x:v>
      </x:c>
      <x:c r="C722" s="32" t="n">
        <x:v>24</x:v>
      </x:c>
      <x:c r="D722" s="33" t="str">
        <x:v>{"Local":"15,0|mi|Ubaitaba, BA","Ajuste de lance":" --","Impr.":"1","Visualizações do TrueView":"0","Taxa de visualização do TrueView":"0,00%","Código da moeda":"BRL","Custo":"0,00","CPM médio":"0,00","Taxa de conv.":"0,00%","Conversões":"0,00","Custo / conv.":"0,00"}</x:v>
      </x:c>
    </x:row>
    <x:row r="723" ht="39" customHeight="1">
      <x:c r="A723" s="32" t="str">
        <x:v>F014</x:v>
      </x:c>
      <x:c r="B723" s="32" t="str">
        <x:v>C02</x:v>
      </x:c>
      <x:c r="C723" s="32" t="n">
        <x:v>25</x:v>
      </x:c>
      <x:c r="D723" s="33" t="str">
        <x:v>{"Local":"15,0|mi|Barra do Rocha, BA","Ajuste de lance":" --","Impr.":"203","Visualizações do TrueView":"51","Taxa de visualização do TrueView":"25,12%","Código da moeda":"BRL","Custo":"2,13","CPM médio":"10,49","Taxa de conv.":"0,00%","Conversões":"0,00","Custo / conv.":"0,00"}</x:v>
      </x:c>
    </x:row>
    <x:row r="724" ht="39" customHeight="1">
      <x:c r="A724" s="32" t="str">
        <x:v>F014</x:v>
      </x:c>
      <x:c r="B724" s="32" t="str">
        <x:v>C02</x:v>
      </x:c>
      <x:c r="C724" s="32" t="n">
        <x:v>26</x:v>
      </x:c>
      <x:c r="D724" s="33" t="str">
        <x:v>{"Local":"15,0|mi|Igrapiúna, BA","Ajuste de lance":" --","Impr.":"27","Visualizações do TrueView":"3","Taxa de visualização do TrueView":"11,11%","Código da moeda":"BRL","Custo":"0,13","CPM médio":"4,88","Taxa de conv.":"0,00%","Conversões":"0,00","Custo / conv.":"0,00"}</x:v>
      </x:c>
    </x:row>
    <x:row r="725" ht="39" customHeight="1">
      <x:c r="A725" s="32" t="str">
        <x:v>F014</x:v>
      </x:c>
      <x:c r="B725" s="32" t="str">
        <x:v>C02</x:v>
      </x:c>
      <x:c r="C725" s="32" t="n">
        <x:v>27</x:v>
      </x:c>
      <x:c r="D725" s="33" t="str">
        <x:v>{"Local":"15,0|mi|Jussari, BA","Ajuste de lance":" --","Impr.":"55","Visualizações do TrueView":"9","Taxa de visualização do TrueView":"16,36%","Código da moeda":"BRL","Custo":"0,28","CPM médio":"5,03","Taxa de conv.":"0,00%","Conversões":"0,00","Custo / conv.":"0,00"}</x:v>
      </x:c>
    </x:row>
    <x:row r="726" ht="39" customHeight="1">
      <x:c r="A726" s="32" t="str">
        <x:v>F014</x:v>
      </x:c>
      <x:c r="B726" s="32" t="str">
        <x:v>C02</x:v>
      </x:c>
      <x:c r="C726" s="32" t="n">
        <x:v>28</x:v>
      </x:c>
      <x:c r="D726" s="33" t="str">
        <x:v>{"Local":"15,0|mi|Santa Luzia, BA","Ajuste de lance":" --","Impr.":"42","Visualizações do TrueView":"5","Taxa de visualização do TrueView":"11,90%","Código da moeda":"BRL","Custo":"0,19","CPM médio":"4,52","Taxa de conv.":"0,00%","Conversões":"0,00","Custo / conv.":"0,00"}</x:v>
      </x:c>
    </x:row>
    <x:row r="727" ht="39" customHeight="1">
      <x:c r="A727" s="32" t="str">
        <x:v>F014</x:v>
      </x:c>
      <x:c r="B727" s="32" t="str">
        <x:v>C02</x:v>
      </x:c>
      <x:c r="C727" s="32" t="n">
        <x:v>29</x:v>
      </x:c>
      <x:c r="D727" s="33" t="str">
        <x:v>{"Local":"15,0|mi|Itapebi, BA","Ajuste de lance":" --","Impr.":"821","Visualizações do TrueView":"470","Taxa de visualização do TrueView":"57,25%","Código da moeda":"BRL","Custo":"3,51","CPM médio":"4,27","Taxa de conv.":"0,00%","Conversões":"0,00","Custo / conv.":"0,00"}</x:v>
      </x:c>
    </x:row>
    <x:row r="728" ht="39" customHeight="1">
      <x:c r="A728" s="32" t="str">
        <x:v>F014</x:v>
      </x:c>
      <x:c r="B728" s="32" t="str">
        <x:v>C02</x:v>
      </x:c>
      <x:c r="C728" s="32" t="n">
        <x:v>30</x:v>
      </x:c>
      <x:c r="D728" s="33" t="str">
        <x:v>{"Local":"15,0|mi|São José da Vitória, BA","Ajuste de lance":" --","Impr.":"3","Visualizações do TrueView":"1","Taxa de visualização do TrueView":"33,33%","Código da moeda":"BRL","Custo":"0,01","CPM médio":"2,47","Taxa de conv.":"0,00%","Conversões":"0,00","Custo / conv.":"0,00"}</x:v>
      </x:c>
    </x:row>
    <x:row r="729" ht="39" customHeight="1">
      <x:c r="A729" s="32" t="str">
        <x:v>F014</x:v>
      </x:c>
      <x:c r="B729" s="32" t="str">
        <x:v>C02</x:v>
      </x:c>
      <x:c r="C729" s="32" t="n">
        <x:v>31</x:v>
      </x:c>
      <x:c r="D729" s="33" t="str">
        <x:v>{"Local":"Ilhéus, Bahia, Brasil","Ajuste de lance":" --","Impr.":"52.139","Visualizações do TrueView":"30.047","Taxa de visualização do TrueView":"57,63%","Código da moeda":"BRL","Custo":"229,67","CPM médio":"4,41","Taxa de conv.":"0,00%","Conversões":"0,00","Custo / conv.":"0,00"}</x:v>
      </x:c>
    </x:row>
    <x:row r="730" ht="39" customHeight="1">
      <x:c r="A730" s="32" t="str">
        <x:v>F014</x:v>
      </x:c>
      <x:c r="B730" s="32" t="str">
        <x:v>C02</x:v>
      </x:c>
      <x:c r="C730" s="32" t="n">
        <x:v>32</x:v>
      </x:c>
      <x:c r="D730" s="33" t="str">
        <x:v>{"Local":"15,0|mi|Cairu, BA","Ajuste de lance":" --","Impr.":"395","Visualizações do TrueView":"252","Taxa de visualização do TrueView":"63,80%","Código da moeda":"BRL","Custo":"1,70","CPM médio":"4,30","Taxa de conv.":"0,00%","Conversões":"0,00","Custo / conv.":"0,00"}</x:v>
      </x:c>
    </x:row>
    <x:row r="731" ht="39" customHeight="1">
      <x:c r="A731" s="32" t="str">
        <x:v>F014</x:v>
      </x:c>
      <x:c r="B731" s="32" t="str">
        <x:v>C02</x:v>
      </x:c>
      <x:c r="C731" s="32" t="n">
        <x:v>33</x:v>
      </x:c>
      <x:c r="D731" s="33" t="str">
        <x:v>{"Local":"15,0|mi|Camamu, BA","Ajuste de lance":" --","Impr.":"44","Visualizações do TrueView":"1","Taxa de visualização do TrueView":"2,27%","Código da moeda":"BRL","Custo":"0,07","CPM médio":"1,70","Taxa de conv.":"0,00%","Conversões":"0,00","Custo / conv.":"0,00"}</x:v>
      </x:c>
    </x:row>
    <x:row r="732" ht="39" customHeight="1">
      <x:c r="A732" s="32" t="str">
        <x:v>F014</x:v>
      </x:c>
      <x:c r="B732" s="32" t="str">
        <x:v>C02</x:v>
      </x:c>
      <x:c r="C732" s="32" t="n">
        <x:v>34</x:v>
      </x:c>
      <x:c r="D732" s="33" t="str">
        <x:v>{"Local":"15,0|mi|Firmino Alves, BA","Ajuste de lance":" --","Impr.":"232","Visualizações do TrueView":"40","Taxa de visualização do TrueView":"17,24%","Código da moeda":"BRL","Custo":"1,25","CPM médio":"5,38","Taxa de conv.":"0,00%","Conversões":"0,00","Custo / conv.":"0,00"}</x:v>
      </x:c>
    </x:row>
    <x:row r="733" ht="39" customHeight="1">
      <x:c r="A733" s="32" t="str">
        <x:v>F014</x:v>
      </x:c>
      <x:c r="B733" s="32" t="str">
        <x:v>C02</x:v>
      </x:c>
      <x:c r="C733" s="32" t="n">
        <x:v>35</x:v>
      </x:c>
      <x:c r="D733" s="33" t="str">
        <x:v>{"Local":"15,0|mi|Santa Cruz da Vitória, BA","Ajuste de lance":" --","Impr.":"2","Visualizações do TrueView":"1","Taxa de visualização do TrueView":"50,00%","Código da moeda":"BRL","Custo":"0,01","CPM médio":"2,77","Taxa de conv.":"0,00%","Conversões":"0,00","Custo / conv.":"0,00"}</x:v>
      </x:c>
    </x:row>
    <x:row r="734" ht="39" customHeight="1">
      <x:c r="A734" s="32" t="str">
        <x:v>F014</x:v>
      </x:c>
      <x:c r="B734" s="32" t="str">
        <x:v>C02</x:v>
      </x:c>
      <x:c r="C734" s="32" t="n">
        <x:v>36</x:v>
      </x:c>
      <x:c r="D734" s="33" t="str">
        <x:v>{"Local":"15,0|mi|Gongogi,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35" ht="39" customHeight="1">
      <x:c r="A735" s="32" t="str">
        <x:v>F014</x:v>
      </x:c>
      <x:c r="B735" s="32" t="str">
        <x:v>C02</x:v>
      </x:c>
      <x:c r="C735" s="32" t="n">
        <x:v>37</x:v>
      </x:c>
      <x:c r="D735" s="33" t="str">
        <x:v>{"Local":"15,0|mi|Pau Brasil, BA","Ajuste de lance":" --","Impr.":"15","Visualizações do TrueView":"1","Taxa de visualização do TrueView":"6,67%","Código da moeda":"BRL","Custo":"0,08","CPM médio":"5,11","Taxa de conv.":"0,00%","Conversões":"0,00","Custo / conv.":"0,00"}</x:v>
      </x:c>
    </x:row>
    <x:row r="736" ht="39" customHeight="1">
      <x:c r="A736" s="32" t="str">
        <x:v>F014</x:v>
      </x:c>
      <x:c r="B736" s="32" t="str">
        <x:v>C02</x:v>
      </x:c>
      <x:c r="C736" s="32" t="n">
        <x:v>38</x:v>
      </x:c>
      <x:c r="D736" s="33" t="str">
        <x:v>{"Local":"15,0|mi|Mascote, BA","Ajuste de lance":" --","Impr.":"75","Visualizações do TrueView":"22","Taxa de visualização do TrueView":"29,33%","Código da moeda":"BRL","Custo":"0,82","CPM médio":"10,92","Taxa de conv.":"0,00%","Conversões":"0,00","Custo / conv.":"0,00"}</x:v>
      </x:c>
    </x:row>
    <x:row r="737" ht="39" customHeight="1">
      <x:c r="A737" s="32" t="str">
        <x:v>F014</x:v>
      </x:c>
      <x:c r="B737" s="32" t="str">
        <x:v>C02</x:v>
      </x:c>
      <x:c r="C737" s="32" t="n">
        <x:v>39</x:v>
      </x:c>
      <x:c r="D737" s="33" t="str">
        <x:v>{"Local":"15,0|mi|Almadina, BA","Ajuste de lance":" --","Impr.":"7","Visualizações do TrueView":"3","Taxa de visualização do TrueView":"42,86%","Código da moeda":"BRL","Custo":"0,05","CPM médio":"6,69","Taxa de conv.":"0,00%","Conversões":"0,00","Custo / conv.":"0,00"}</x:v>
      </x:c>
    </x:row>
    <x:row r="738" ht="39" customHeight="1">
      <x:c r="A738" s="32" t="str">
        <x:v>F014</x:v>
      </x:c>
      <x:c r="B738" s="32" t="str">
        <x:v>C02</x:v>
      </x:c>
      <x:c r="C738" s="32" t="n">
        <x:v>40</x:v>
      </x:c>
      <x:c r="D738" s="33" t="str">
        <x:v>{"Local":"15,0|mi|Ibirataia, BA","Ajuste de lance":" --","Impr.":"15","Visualizações do TrueView":"1","Taxa de visualização do TrueView":"6,67%","Código da moeda":"BRL","Custo":"0,03","CPM médio":"1,81","Taxa de conv.":"0,00%","Conversões":"0,00","Custo / conv.":"0,00"}</x:v>
      </x:c>
    </x:row>
    <x:row r="739" ht="39" customHeight="1">
      <x:c r="A739" s="32" t="str">
        <x:v>F014</x:v>
      </x:c>
      <x:c r="B739" s="32" t="str">
        <x:v>C02</x:v>
      </x:c>
      <x:c r="C739" s="32" t="n">
        <x:v>41</x:v>
      </x:c>
      <x:c r="D739" s="33" t="str">
        <x:v>{"Local":"15,0|mi|Uruçuca,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740" ht="39" customHeight="1">
      <x:c r="A740" s="32" t="str">
        <x:v>F014</x:v>
      </x:c>
      <x:c r="B740" s="32" t="str">
        <x:v>C02</x:v>
      </x:c>
      <x:c r="C740" s="32" t="n">
        <x:v>42</x:v>
      </x:c>
      <x:c r="D740" s="33" t="str">
        <x:v>{"Local":"Ipiaú, Bahia, Brasil","Ajuste de lance":" --","Impr.":"11.781","Visualizações do TrueView":"6.841","Taxa de visualização do TrueView":"58,07%","Código da moeda":"BRL","Custo":"54,22","CPM médio":"4,60","Taxa de conv.":"0,00%","Conversões":"0,00","Custo / conv.":"0,00"}</x:v>
      </x:c>
    </x:row>
    <x:row r="741" ht="39" customHeight="1">
      <x:c r="A741" s="32" t="str">
        <x:v>F014</x:v>
      </x:c>
      <x:c r="B741" s="32" t="str">
        <x:v>C02</x:v>
      </x:c>
      <x:c r="C741" s="32" t="n">
        <x:v>43</x:v>
      </x:c>
      <x:c r="D741" s="33" t="str">
        <x:v>{"Local":"15,0|mi|Nova Ibiá, BA","Ajuste de lance":" --","Impr.":"2","Visualizações do TrueView":"1","Taxa de visualização do TrueView":"50,00%","Código da moeda":"BRL","Custo":"0,01","CPM médio":"5,29","Taxa de conv.":"0,00%","Conversões":"0,00","Custo / conv.":"0,00"}</x:v>
      </x:c>
    </x:row>
    <x:row r="742" ht="39" customHeight="1">
      <x:c r="A742" s="32" t="str">
        <x:v>F014</x:v>
      </x:c>
      <x:c r="B742" s="32" t="str">
        <x:v>C02</x:v>
      </x:c>
      <x:c r="C742" s="32" t="n">
        <x:v>44</x:v>
      </x:c>
      <x:c r="D742" s="33" t="str">
        <x:v>{"Local":"15,0|mi|Ubatã, BA","Ajuste de lance":" --","Impr.":"12","Visualizações do TrueView":"0","Taxa de visualização do TrueView":"0,00%","Código da moeda":"BRL","Custo":"0,00","CPM médio":"0,00","Taxa de conv.":"0,00%","Conversões":"0,00","Custo / conv.":"0,00"}</x:v>
      </x:c>
    </x:row>
    <x:row r="743" ht="39" customHeight="1">
      <x:c r="A743" s="32" t="str">
        <x:v>F014</x:v>
      </x:c>
      <x:c r="B743" s="32" t="str">
        <x:v>C02</x:v>
      </x:c>
      <x:c r="C743" s="32" t="n">
        <x:v>45</x:v>
      </x:c>
      <x:c r="D743" s="33" t="str">
        <x:v>{"Local":"Total: Locais","Ajuste de lance":"","Impr.":"172.592","Visualizações do TrueView":"98.697","Taxa de visualização do TrueView":"57,19%","Código da moeda":"BRL","Custo":"765,76","CPM médio":"4,44","Taxa de conv.":"0,00%","Conversões":"0,00","Custo / conv.":"0,00"}</x:v>
      </x:c>
    </x:row>
    <x:row r="744" ht="39" customHeight="1">
      <x:c r="A744" s="32" t="str">
        <x:v>F014</x:v>
      </x:c>
      <x:c r="B744" s="32" t="str">
        <x:v>C02</x:v>
      </x:c>
      <x:c r="C744" s="32" t="n">
        <x:v>46</x:v>
      </x:c>
      <x:c r="D744" s="33" t="str">
        <x:v>{"Local":"Total: Outros locais","Ajuste de lance":"","Impr.":"0","Visualizações do TrueView":"0","Taxa de visualização do TrueView":" --","Código da moeda":"BRL","Custo":"0,00","CPM médio":"0","Taxa de conv.":"0,00%","Conversões":"0,00","Custo / conv.":"0,00"}</x:v>
      </x:c>
    </x:row>
    <x:row r="745" ht="39" customHeight="1">
      <x:c r="A745" s="32" t="str">
        <x:v>F014</x:v>
      </x:c>
      <x:c r="B745" s="32" t="str">
        <x:v>C02</x:v>
      </x:c>
      <x:c r="C745" s="32" t="n">
        <x:v>47</x:v>
      </x:c>
      <x:c r="D745" s="33" t="str">
        <x:v>{"Local":"Total: Campanha","Ajuste de lance":"","Impr.":"172.592","Visualizações do TrueView":"98.697","Taxa de visualização do TrueView":"57,19%","Código da moeda":"BRL","Custo":"765,76","CPM médio":"4,44","Taxa de conv.":"0,00%","Conversões":"0,00","Custo / conv.":"0,00"}</x:v>
      </x:c>
    </x:row>
    <x:row r="746" ht="69" customHeight="1">
      <x:c r="A746" s="32" t="str">
        <x:v>F015</x:v>
      </x:c>
      <x:c r="B746" s="32" t="str">
        <x:v>C02</x:v>
      </x:c>
      <x:c r="C746" s="32" t="n">
        <x:v>1</x:v>
      </x:c>
      <x:c r="D746" s="33" t="str">
        <x:v>{"Status do grupo de anúncios":"Ativado","Grupo de anúncios":"Vídeo 01","Status":"Qualificado","Motivos do status":"desconhecido","Código da moeda":"BRL","CPV desejado TrueView":"0,02","Visualizações do TrueView":"98.697","CPV médio do TrueView":"0,01","Subtipo da campanha":"Exibições de vídeos","Tipo de grupo de anúncios":"Anúncio responsivo em vídeo","Impr.":"172.592","Custo":"765,76","Inclusões de marca":"[]","Taxa de conv.":"0,00%","Conversões":"0,00","Custo / conv.":"0,00"}</x:v>
      </x:c>
    </x:row>
    <x:row r="747" ht="54" customHeight="1">
      <x:c r="A747" s="32" t="str">
        <x:v>F015</x:v>
      </x:c>
      <x:c r="B747" s="32" t="str">
        <x:v>C02</x:v>
      </x:c>
      <x:c r="C747" s="32" t="n">
        <x:v>2</x:v>
      </x:c>
      <x:c r="D747" s="33" t="str">
        <x:v>{"Status do grupo de anúncios":"Total: Grupos de anúncios","Grupo de anúncios":"","Status":"","Motivos do status":"","Código da moeda":"BRL","CPV desejado TrueView":"","Visualizações do TrueView":"98.697","CPV médio do TrueView":"0,01","Subtipo da campanha":"","Tipo de grupo de anúncios":"","Impr.":"172.592","Custo":"765,76","Inclusões de marca":"","Taxa de conv.":"0,00%","Conversões":"0,00","Custo / conv.":"0,00"}</x:v>
      </x:c>
    </x:row>
    <x:row r="748" ht="54" customHeight="1">
      <x:c r="A748" s="32" t="str">
        <x:v>F015</x:v>
      </x:c>
      <x:c r="B748" s="32" t="str">
        <x:v>C02</x:v>
      </x:c>
      <x:c r="C748" s="32" t="n">
        <x:v>3</x:v>
      </x:c>
      <x:c r="D748" s="33" t="str">
        <x:v>{"Status do grupo de anúncios":"Total: Campanha","Grupo de anúncios":"","Status":"","Motivos do status":"","Código da moeda":"BRL","CPV desejado TrueView":"","Visualizações do TrueView":"98.697","CPV médio do TrueView":"0,01","Subtipo da campanha":"","Tipo de grupo de anúncios":"","Impr.":"172.592","Custo":"765,76","Inclusões de marca":"","Taxa de conv.":"0,00%","Conversões":"0,00","Custo / conv.":"0,00"}</x:v>
      </x:c>
    </x:row>
    <x:row r="749" ht="54" customHeight="1">
      <x:c r="A749" s="32" t="str">
        <x:v>F016</x:v>
      </x:c>
      <x:c r="B749" s="32" t="str">
        <x:v>C02</x:v>
      </x:c>
      <x:c r="C749" s="32" t="n">
        <x:v>1</x:v>
      </x:c>
      <x:c r="D749" s="33" t="str">
        <x:v>{"Local das lojas":"Supermercado Cooperja","address_line_1":"Avenida Padre Herval Fontanella, 1369","address_line_2":" --","city":"Jacinto Machado","country_code":"BR","phone_number":" +55 48 3535-6000","postal_code":"88950-000","province":"Santa Catarina","Alcance do local (impressões)":"0","Visitas à loja":"0","Cliques de chamada":"0","Como chegar":"0","Visitas ao site":"0"}</x:v>
      </x:c>
    </x:row>
    <x:row r="750" ht="54" customHeight="1">
      <x:c r="A750" s="32" t="str">
        <x:v>F016</x:v>
      </x:c>
      <x:c r="B750" s="32" t="str">
        <x:v>C02</x:v>
      </x:c>
      <x:c r="C750" s="32" t="n">
        <x:v>2</x:v>
      </x:c>
      <x:c r="D750" s="33" t="str">
        <x:v>{"Local das lojas":"Centro de Distribuição Cooperja - Supermercados","address_line_1":"Rua Dr. Nereu Ramos","address_line_2":"Rod. José Tiscoski, 1162","city":"Jacinto Machado","country_code":"BR","phone_number":" +55 48 3535-1074","postal_code":"88950-000","province":"Santa Catarina","Alcance do local (impressões)":"0","Visitas à loja":"0","Cliques de chamada":"0","Como chegar":"0","Visitas ao site":"0"}</x:v>
      </x:c>
    </x:row>
    <x:row r="751" ht="54" customHeight="1">
      <x:c r="A751" s="32" t="str">
        <x:v>F016</x:v>
      </x:c>
      <x:c r="B751" s="32" t="str">
        <x:v>C02</x:v>
      </x:c>
      <x:c r="C751" s="32" t="n">
        <x:v>3</x:v>
      </x:c>
      <x:c r="D751" s="33" t="str">
        <x:v>{"Local das lojas":"Supermercado Cooperja - Três Cachoeiras","address_line_1":"Av. Inácio José Schaefer","address_line_2":" --","city":"Três Cachoeiras","country_code":"BR","phone_number":" +55 51 99676-4364","postal_code":"95580-000","province":"Rio Grande do Sul","Alcance do local (impressões)":"0","Visitas à loja":"0","Cliques de chamada":"0","Como chegar":"0","Visitas ao site":"0"}</x:v>
      </x:c>
    </x:row>
    <x:row r="752" ht="54" customHeight="1">
      <x:c r="A752" s="32" t="str">
        <x:v>F016</x:v>
      </x:c>
      <x:c r="B752" s="32" t="str">
        <x:v>C02</x:v>
      </x:c>
      <x:c r="C752" s="32" t="n">
        <x:v>4</x:v>
      </x:c>
      <x:c r="D752" s="33" t="str">
        <x:v>{"Local das lojas":"Supermercado Cooperja - Balneário Gaivota","address_line_1":"Av. Santa Catarina","address_line_2":" --","city":"Balneário Gaivota","country_code":"BR","phone_number":" +55 48 3583-0315","postal_code":"88955-000","province":"Santa Catarina","Alcance do local (impressões)":"0","Visitas à loja":"0","Cliques de chamada":"0","Como chegar":"0","Visitas ao site":"0"}</x:v>
      </x:c>
    </x:row>
    <x:row r="753" ht="54" customHeight="1">
      <x:c r="A753" s="32" t="str">
        <x:v>F016</x:v>
      </x:c>
      <x:c r="B753" s="32" t="str">
        <x:v>C02</x:v>
      </x:c>
      <x:c r="C753" s="32" t="n">
        <x:v>5</x:v>
      </x:c>
      <x:c r="D753" s="33" t="str">
        <x:v>{"Local das lojas":"Supermercado Cooperja","address_line_1":"R. Padre Humberto Oening, 471","address_line_2":" --","city":"Praia Grande","country_code":"BR","phone_number":" +55 48 3532-6000","postal_code":"88990-000","province":"Santa Catarina","Alcance do local (impressões)":"0","Visitas à loja":"0","Cliques de chamada":"0","Como chegar":"0","Visitas ao site":"0"}</x:v>
      </x:c>
    </x:row>
    <x:row r="754" ht="54" customHeight="1">
      <x:c r="A754" s="32" t="str">
        <x:v>F016</x:v>
      </x:c>
      <x:c r="B754" s="32" t="str">
        <x:v>C02</x:v>
      </x:c>
      <x:c r="C754" s="32" t="n">
        <x:v>6</x:v>
      </x:c>
      <x:c r="D754" s="33" t="str">
        <x:v>{"Local das lojas":"Supermercado Cooperja - Santa Rosa do Sul","address_line_1":"Rua Manoel Idalino Pereira, 505 - Quadra 70","address_line_2":" --","city":"Santa Rosa do Sul","country_code":"BR","phone_number":" +55 48 3534-1202","postal_code":"88965-000","province":"Santa Catarina","Alcance do local (impressões)":"0","Visitas à loja":"0","Cliques de chamada":"0","Como chegar":"0","Visitas ao site":"0"}</x:v>
      </x:c>
    </x:row>
    <x:row r="755" ht="24" customHeight="1">
      <x:c r="A755" s="32" t="str">
        <x:v>F017</x:v>
      </x:c>
      <x:c r="B755" s="32" t="str">
        <x:v>C03</x:v>
      </x:c>
      <x:c r="C755" s="32" t="n">
        <x:v>1</x:v>
      </x:c>
      <x:c r="D755" s="33" t="str">
        <x:v>{"Data":"qua., 1 de jul. de 2026","Impr.":"0","Cliques":"0","Conversões":"0,00","Custo":"R$ 0,00"}</x:v>
      </x:c>
    </x:row>
    <x:row r="756" ht="24" customHeight="1">
      <x:c r="A756" s="32" t="str">
        <x:v>F017</x:v>
      </x:c>
      <x:c r="B756" s="32" t="str">
        <x:v>C03</x:v>
      </x:c>
      <x:c r="C756" s="32" t="n">
        <x:v>2</x:v>
      </x:c>
      <x:c r="D756" s="33" t="str">
        <x:v>{"Data":"qui., 2 de jul. de 2026","Impr.":"0","Cliques":"0","Conversões":"0,00","Custo":"R$ 0,00"}</x:v>
      </x:c>
    </x:row>
    <x:row r="757" ht="24" customHeight="1">
      <x:c r="A757" s="32" t="str">
        <x:v>F017</x:v>
      </x:c>
      <x:c r="B757" s="32" t="str">
        <x:v>C03</x:v>
      </x:c>
      <x:c r="C757" s="32" t="n">
        <x:v>3</x:v>
      </x:c>
      <x:c r="D757" s="33" t="str">
        <x:v>{"Data":"sex., 3 de jul. de 2026","Impr.":"0","Cliques":"0","Conversões":"0,00","Custo":"R$ 0,00"}</x:v>
      </x:c>
    </x:row>
    <x:row r="758" ht="24" customHeight="1">
      <x:c r="A758" s="32" t="str">
        <x:v>F017</x:v>
      </x:c>
      <x:c r="B758" s="32" t="str">
        <x:v>C03</x:v>
      </x:c>
      <x:c r="C758" s="32" t="n">
        <x:v>4</x:v>
      </x:c>
      <x:c r="D758" s="33" t="str">
        <x:v>{"Data":"sáb., 4 de jul. de 2026","Impr.":"0","Cliques":"0","Conversões":"0,00","Custo":"R$ 0,00"}</x:v>
      </x:c>
    </x:row>
    <x:row r="759" ht="24" customHeight="1">
      <x:c r="A759" s="32" t="str">
        <x:v>F017</x:v>
      </x:c>
      <x:c r="B759" s="32" t="str">
        <x:v>C03</x:v>
      </x:c>
      <x:c r="C759" s="32" t="n">
        <x:v>5</x:v>
      </x:c>
      <x:c r="D759" s="33" t="str">
        <x:v>{"Data":"dom., 5 de jul. de 2026","Impr.":"0","Cliques":"0","Conversões":"0,00","Custo":"R$ 0,00"}</x:v>
      </x:c>
    </x:row>
    <x:row r="760" ht="24" customHeight="1">
      <x:c r="A760" s="32" t="str">
        <x:v>F017</x:v>
      </x:c>
      <x:c r="B760" s="32" t="str">
        <x:v>C03</x:v>
      </x:c>
      <x:c r="C760" s="32" t="n">
        <x:v>6</x:v>
      </x:c>
      <x:c r="D760" s="33" t="str">
        <x:v>{"Data":"seg., 6 de jul. de 2026","Impr.":"0","Cliques":"0","Conversões":"0,00","Custo":"R$ 0,00"}</x:v>
      </x:c>
    </x:row>
    <x:row r="761" ht="24" customHeight="1">
      <x:c r="A761" s="32" t="str">
        <x:v>F017</x:v>
      </x:c>
      <x:c r="B761" s="32" t="str">
        <x:v>C03</x:v>
      </x:c>
      <x:c r="C761" s="32" t="n">
        <x:v>7</x:v>
      </x:c>
      <x:c r="D761" s="33" t="str">
        <x:v>{"Data":"ter., 7 de jul. de 2026","Impr.":"0","Cliques":"0","Conversões":"0,00","Custo":"R$ 0,00"}</x:v>
      </x:c>
    </x:row>
    <x:row r="762" ht="24" customHeight="1">
      <x:c r="A762" s="32" t="str">
        <x:v>F017</x:v>
      </x:c>
      <x:c r="B762" s="32" t="str">
        <x:v>C03</x:v>
      </x:c>
      <x:c r="C762" s="32" t="n">
        <x:v>8</x:v>
      </x:c>
      <x:c r="D762" s="33" t="str">
        <x:v>{"Data":"qua., 8 de jul. de 2026","Impr.":"0","Cliques":"0","Conversões":"0,00","Custo":"R$ 0,00"}</x:v>
      </x:c>
    </x:row>
    <x:row r="763" ht="24" customHeight="1">
      <x:c r="A763" s="32" t="str">
        <x:v>F017</x:v>
      </x:c>
      <x:c r="B763" s="32" t="str">
        <x:v>C03</x:v>
      </x:c>
      <x:c r="C763" s="32" t="n">
        <x:v>9</x:v>
      </x:c>
      <x:c r="D763" s="33" t="str">
        <x:v>{"Data":"qui., 9 de jul. de 2026","Impr.":"0","Cliques":"0","Conversões":"0,00","Custo":"R$ 0,00"}</x:v>
      </x:c>
    </x:row>
    <x:row r="764" ht="24" customHeight="1">
      <x:c r="A764" s="32" t="str">
        <x:v>F017</x:v>
      </x:c>
      <x:c r="B764" s="32" t="str">
        <x:v>C03</x:v>
      </x:c>
      <x:c r="C764" s="32" t="n">
        <x:v>10</x:v>
      </x:c>
      <x:c r="D764" s="33" t="str">
        <x:v>{"Data":"sex., 10 de jul. de 2026","Impr.":"0","Cliques":"0","Conversões":"0,00","Custo":"R$ 0,00"}</x:v>
      </x:c>
    </x:row>
    <x:row r="765" ht="24" customHeight="1">
      <x:c r="A765" s="32" t="str">
        <x:v>F017</x:v>
      </x:c>
      <x:c r="B765" s="32" t="str">
        <x:v>C03</x:v>
      </x:c>
      <x:c r="C765" s="32" t="n">
        <x:v>11</x:v>
      </x:c>
      <x:c r="D765" s="33" t="str">
        <x:v>{"Data":"sáb., 11 de jul. de 2026","Impr.":"0","Cliques":"0","Conversões":"0,00","Custo":"R$ 0,00"}</x:v>
      </x:c>
    </x:row>
    <x:row r="766" ht="24" customHeight="1">
      <x:c r="A766" s="32" t="str">
        <x:v>F017</x:v>
      </x:c>
      <x:c r="B766" s="32" t="str">
        <x:v>C03</x:v>
      </x:c>
      <x:c r="C766" s="32" t="n">
        <x:v>12</x:v>
      </x:c>
      <x:c r="D766" s="33" t="str">
        <x:v>{"Data":"dom., 12 de jul. de 2026","Impr.":"0","Cliques":"0","Conversões":"0,00","Custo":"R$ 0,00"}</x:v>
      </x:c>
    </x:row>
    <x:row r="767" ht="24" customHeight="1">
      <x:c r="A767" s="32" t="str">
        <x:v>F017</x:v>
      </x:c>
      <x:c r="B767" s="32" t="str">
        <x:v>C03</x:v>
      </x:c>
      <x:c r="C767" s="32" t="n">
        <x:v>13</x:v>
      </x:c>
      <x:c r="D767" s="33" t="str">
        <x:v>{"Data":"seg., 13 de jul. de 2026","Impr.":"0","Cliques":"0","Conversões":"0,00","Custo":"R$ 0,00"}</x:v>
      </x:c>
    </x:row>
    <x:row r="768" ht="24" customHeight="1">
      <x:c r="A768" s="32" t="str">
        <x:v>F017</x:v>
      </x:c>
      <x:c r="B768" s="32" t="str">
        <x:v>C03</x:v>
      </x:c>
      <x:c r="C768" s="32" t="n">
        <x:v>14</x:v>
      </x:c>
      <x:c r="D768" s="33" t="str">
        <x:v>{"Data":"ter., 14 de jul. de 2026","Impr.":"0","Cliques":"0","Conversões":"0,00","Custo":"R$ 0,00"}</x:v>
      </x:c>
    </x:row>
    <x:row r="769" ht="24" customHeight="1">
      <x:c r="A769" s="32" t="str">
        <x:v>F017</x:v>
      </x:c>
      <x:c r="B769" s="32" t="str">
        <x:v>C03</x:v>
      </x:c>
      <x:c r="C769" s="32" t="n">
        <x:v>15</x:v>
      </x:c>
      <x:c r="D769" s="33" t="str">
        <x:v>{"Data":"qua., 15 de jul. de 2026","Impr.":"0","Cliques":"0","Conversões":"0,00","Custo":"R$ 0,00"}</x:v>
      </x:c>
    </x:row>
    <x:row r="770" ht="24" customHeight="1">
      <x:c r="A770" s="32" t="str">
        <x:v>F017</x:v>
      </x:c>
      <x:c r="B770" s="32" t="str">
        <x:v>C03</x:v>
      </x:c>
      <x:c r="C770" s="32" t="n">
        <x:v>16</x:v>
      </x:c>
      <x:c r="D770" s="33" t="str">
        <x:v>{"Data":"qui., 16 de jul. de 2026","Impr.":"0","Cliques":"0","Conversões":"0,00","Custo":"R$ 0,00"}</x:v>
      </x:c>
    </x:row>
    <x:row r="771" ht="24" customHeight="1">
      <x:c r="A771" s="32" t="str">
        <x:v>F017</x:v>
      </x:c>
      <x:c r="B771" s="32" t="str">
        <x:v>C03</x:v>
      </x:c>
      <x:c r="C771" s="32" t="n">
        <x:v>17</x:v>
      </x:c>
      <x:c r="D771" s="33" t="str">
        <x:v>{"Data":"sex., 17 de jul. de 2026","Impr.":"0","Cliques":"0","Conversões":"0,00","Custo":"R$ 0,00"}</x:v>
      </x:c>
    </x:row>
    <x:row r="772" ht="24" customHeight="1">
      <x:c r="A772" s="32" t="str">
        <x:v>F017</x:v>
      </x:c>
      <x:c r="B772" s="32" t="str">
        <x:v>C03</x:v>
      </x:c>
      <x:c r="C772" s="32" t="n">
        <x:v>18</x:v>
      </x:c>
      <x:c r="D772" s="33" t="str">
        <x:v>{"Data":"sáb., 18 de jul. de 2026","Impr.":"0","Cliques":"0","Conversões":"0,00","Custo":"R$ 0,00"}</x:v>
      </x:c>
    </x:row>
    <x:row r="773" ht="24" customHeight="1">
      <x:c r="A773" s="32" t="str">
        <x:v>F017</x:v>
      </x:c>
      <x:c r="B773" s="32" t="str">
        <x:v>C03</x:v>
      </x:c>
      <x:c r="C773" s="32" t="n">
        <x:v>19</x:v>
      </x:c>
      <x:c r="D773" s="33" t="str">
        <x:v>{"Data":"dom., 19 de jul. de 2026","Impr.":"0","Cliques":"0","Conversões":"0,00","Custo":"R$ 0,00"}</x:v>
      </x:c>
    </x:row>
    <x:row r="774" ht="24" customHeight="1">
      <x:c r="A774" s="32" t="str">
        <x:v>F017</x:v>
      </x:c>
      <x:c r="B774" s="32" t="str">
        <x:v>C03</x:v>
      </x:c>
      <x:c r="C774" s="32" t="n">
        <x:v>20</x:v>
      </x:c>
      <x:c r="D774" s="33" t="str">
        <x:v>{"Data":"seg., 20 de jul. de 2026","Impr.":"0","Cliques":"0","Conversões":"0,00","Custo":"R$ 0,00"}</x:v>
      </x:c>
    </x:row>
    <x:row r="775" ht="24" customHeight="1">
      <x:c r="A775" s="32" t="str">
        <x:v>F017</x:v>
      </x:c>
      <x:c r="B775" s="32" t="str">
        <x:v>C03</x:v>
      </x:c>
      <x:c r="C775" s="32" t="n">
        <x:v>21</x:v>
      </x:c>
      <x:c r="D775" s="33" t="str">
        <x:v>{"Data":"ter., 21 de jul. de 2026","Impr.":"0","Cliques":"0","Conversões":"0,00","Custo":"R$ 0,00"}</x:v>
      </x:c>
    </x:row>
    <x:row r="776" ht="24" customHeight="1">
      <x:c r="A776" s="32" t="str">
        <x:v>F017</x:v>
      </x:c>
      <x:c r="B776" s="32" t="str">
        <x:v>C03</x:v>
      </x:c>
      <x:c r="C776" s="32" t="n">
        <x:v>22</x:v>
      </x:c>
      <x:c r="D776" s="33" t="str">
        <x:v>{"Data":"qua., 22 de jul. de 2026","Impr.":"0","Cliques":"0","Conversões":"0,00","Custo":"R$ 0,00"}</x:v>
      </x:c>
    </x:row>
    <x:row r="777" ht="24" customHeight="1">
      <x:c r="A777" s="32" t="str">
        <x:v>F017</x:v>
      </x:c>
      <x:c r="B777" s="32" t="str">
        <x:v>C03</x:v>
      </x:c>
      <x:c r="C777" s="32" t="n">
        <x:v>23</x:v>
      </x:c>
      <x:c r="D777" s="33" t="str">
        <x:v>{"Data":"qui., 23 de jul. de 2026","Impr.":"737","Cliques":"0","Conversões":"0,00","Custo":"R$ 10,03"}</x:v>
      </x:c>
    </x:row>
    <x:row r="778" ht="24" customHeight="1">
      <x:c r="A778" s="32" t="str">
        <x:v>F017</x:v>
      </x:c>
      <x:c r="B778" s="32" t="str">
        <x:v>C03</x:v>
      </x:c>
      <x:c r="C778" s="32" t="n">
        <x:v>24</x:v>
      </x:c>
      <x:c r="D778" s="33" t="str">
        <x:v>{"Data":"sex., 24 de jul. de 2026","Impr.":"1.835","Cliques":"0","Conversões":"0,00","Custo":"R$ 10,41"}</x:v>
      </x:c>
    </x:row>
    <x:row r="779" ht="24" customHeight="1">
      <x:c r="A779" s="32" t="str">
        <x:v>F017</x:v>
      </x:c>
      <x:c r="B779" s="32" t="str">
        <x:v>C03</x:v>
      </x:c>
      <x:c r="C779" s="32" t="n">
        <x:v>25</x:v>
      </x:c>
      <x:c r="D779" s="33" t="str">
        <x:v>{"Data":"sáb., 25 de jul. de 2026","Impr.":"2.384","Cliques":"0","Conversões":"0,00","Custo":"R$ 10,37"}</x:v>
      </x:c>
    </x:row>
    <x:row r="780" ht="24" customHeight="1">
      <x:c r="A780" s="32" t="str">
        <x:v>F017</x:v>
      </x:c>
      <x:c r="B780" s="32" t="str">
        <x:v>C03</x:v>
      </x:c>
      <x:c r="C780" s="32" t="n">
        <x:v>26</x:v>
      </x:c>
      <x:c r="D780" s="33" t="str">
        <x:v>{"Data":"dom., 26 de jul. de 2026","Impr.":"2.233","Cliques":"0","Conversões":"0,00","Custo":"R$ 10,27"}</x:v>
      </x:c>
    </x:row>
    <x:row r="781" ht="24" customHeight="1">
      <x:c r="A781" s="32" t="str">
        <x:v>F017</x:v>
      </x:c>
      <x:c r="B781" s="32" t="str">
        <x:v>C03</x:v>
      </x:c>
      <x:c r="C781" s="32" t="n">
        <x:v>27</x:v>
      </x:c>
      <x:c r="D781" s="33" t="str">
        <x:v>{"Data":"seg., 27 de jul. de 2026","Impr.":"2.323","Cliques":"0","Conversões":"0,00","Custo":"R$ 10,20"}</x:v>
      </x:c>
    </x:row>
    <x:row r="782" ht="24" customHeight="1">
      <x:c r="A782" s="32" t="str">
        <x:v>F017</x:v>
      </x:c>
      <x:c r="B782" s="32" t="str">
        <x:v>C03</x:v>
      </x:c>
      <x:c r="C782" s="32" t="n">
        <x:v>28</x:v>
      </x:c>
      <x:c r="D782" s="33" t="str">
        <x:v>{"Data":"ter., 28 de jul. de 2026","Impr.":"2.120","Cliques":"0","Conversões":"0,00","Custo":"R$ 9,95"}</x:v>
      </x:c>
    </x:row>
    <x:row r="783" ht="24" customHeight="1">
      <x:c r="A783" s="32" t="str">
        <x:v>F017</x:v>
      </x:c>
      <x:c r="B783" s="32" t="str">
        <x:v>C03</x:v>
      </x:c>
      <x:c r="C783" s="32" t="n">
        <x:v>29</x:v>
      </x:c>
      <x:c r="D783" s="33" t="str">
        <x:v>{"Data":"qua., 29 de jul. de 2026","Impr.":"2.052","Cliques":"0","Conversões":"0,00","Custo":"R$ 10,01"}</x:v>
      </x:c>
    </x:row>
    <x:row r="784" ht="24" customHeight="1">
      <x:c r="A784" s="32" t="str">
        <x:v>F017</x:v>
      </x:c>
      <x:c r="B784" s="32" t="str">
        <x:v>C03</x:v>
      </x:c>
      <x:c r="C784" s="32" t="n">
        <x:v>30</x:v>
      </x:c>
      <x:c r="D784" s="33" t="str">
        <x:v>{"Data":"qui., 30 de jul. de 2026","Impr.":"1.844","Cliques":"0","Conversões":"0,00","Custo":"R$ 9,65"}</x:v>
      </x:c>
    </x:row>
    <x:row r="785" ht="24" customHeight="1">
      <x:c r="A785" s="32" t="str">
        <x:v>F017</x:v>
      </x:c>
      <x:c r="B785" s="32" t="str">
        <x:v>C03</x:v>
      </x:c>
      <x:c r="C785" s="32" t="n">
        <x:v>31</x:v>
      </x:c>
      <x:c r="D785" s="33" t="str">
        <x:v>{"Data":"sex., 31 de jul. de 2026","Impr.":"1.871","Cliques":"0","Conversões":"0,00","Custo":"R$ 9,19"}</x:v>
      </x:c>
    </x:row>
    <x:row r="786" ht="24" customHeight="1">
      <x:c r="A786" s="32" t="str">
        <x:v>F017</x:v>
      </x:c>
      <x:c r="B786" s="32" t="str">
        <x:v>C03</x:v>
      </x:c>
      <x:c r="C786" s="32" t="n">
        <x:v>32</x:v>
      </x:c>
      <x:c r="D786" s="33" t="str">
        <x:v>{"Data":"sáb., 1 de ago. de 2026","Impr.":"1.968","Cliques":"1","Conversões":"0,00","Custo":"R$ 9,82"}</x:v>
      </x:c>
    </x:row>
    <x:row r="787" ht="24" customHeight="1">
      <x:c r="A787" s="32" t="str">
        <x:v>F017</x:v>
      </x:c>
      <x:c r="B787" s="32" t="str">
        <x:v>C03</x:v>
      </x:c>
      <x:c r="C787" s="32" t="n">
        <x:v>33</x:v>
      </x:c>
      <x:c r="D787" s="33" t="str">
        <x:v>{"Data":"dom., 2 de ago. de 2026","Impr.":"2.085","Cliques":"0","Conversões":"0,00","Custo":"R$ 10,27"}</x:v>
      </x:c>
    </x:row>
    <x:row r="788" ht="24" customHeight="1">
      <x:c r="A788" s="32" t="str">
        <x:v>F017</x:v>
      </x:c>
      <x:c r="B788" s="32" t="str">
        <x:v>C03</x:v>
      </x:c>
      <x:c r="C788" s="32" t="n">
        <x:v>34</x:v>
      </x:c>
      <x:c r="D788" s="33" t="str">
        <x:v>{"Data":"seg., 3 de ago. de 2026","Impr.":"2.110","Cliques":"2","Conversões":"0,00","Custo":"R$ 10,29"}</x:v>
      </x:c>
    </x:row>
    <x:row r="789" ht="24" customHeight="1">
      <x:c r="A789" s="32" t="str">
        <x:v>F017</x:v>
      </x:c>
      <x:c r="B789" s="32" t="str">
        <x:v>C03</x:v>
      </x:c>
      <x:c r="C789" s="32" t="n">
        <x:v>35</x:v>
      </x:c>
      <x:c r="D789" s="33" t="str">
        <x:v>{"Data":"ter., 4 de ago. de 2026","Impr.":"2.150","Cliques":"0","Conversões":"0,00","Custo":"R$ 10,25"}</x:v>
      </x:c>
    </x:row>
    <x:row r="790" ht="24" customHeight="1">
      <x:c r="A790" s="32" t="str">
        <x:v>F017</x:v>
      </x:c>
      <x:c r="B790" s="32" t="str">
        <x:v>C03</x:v>
      </x:c>
      <x:c r="C790" s="32" t="n">
        <x:v>36</x:v>
      </x:c>
      <x:c r="D790" s="33" t="str">
        <x:v>{"Data":"qua., 5 de ago. de 2026","Impr.":"1.981","Cliques":"1","Conversões":"0,00","Custo":"R$ 10,23"}</x:v>
      </x:c>
    </x:row>
    <x:row r="791" ht="24" customHeight="1">
      <x:c r="A791" s="32" t="str">
        <x:v>F017</x:v>
      </x:c>
      <x:c r="B791" s="32" t="str">
        <x:v>C03</x:v>
      </x:c>
      <x:c r="C791" s="32" t="n">
        <x:v>37</x:v>
      </x:c>
      <x:c r="D791" s="33" t="str">
        <x:v>{"Data":"qui., 6 de ago. de 2026","Impr.":"2.158","Cliques":"1","Conversões":"0,00","Custo":"R$ 10,30"}</x:v>
      </x:c>
    </x:row>
    <x:row r="792" ht="24" customHeight="1">
      <x:c r="A792" s="32" t="str">
        <x:v>F017</x:v>
      </x:c>
      <x:c r="B792" s="32" t="str">
        <x:v>C03</x:v>
      </x:c>
      <x:c r="C792" s="32" t="n">
        <x:v>38</x:v>
      </x:c>
      <x:c r="D792" s="33" t="str">
        <x:v>{"Data":"sex., 7 de ago. de 2026","Impr.":"2.080","Cliques":"0","Conversões":"0,00","Custo":"R$ 10,08"}</x:v>
      </x:c>
    </x:row>
    <x:row r="793" ht="24" customHeight="1">
      <x:c r="A793" s="32" t="str">
        <x:v>F017</x:v>
      </x:c>
      <x:c r="B793" s="32" t="str">
        <x:v>C03</x:v>
      </x:c>
      <x:c r="C793" s="32" t="n">
        <x:v>39</x:v>
      </x:c>
      <x:c r="D793" s="33" t="str">
        <x:v>{"Data":"sáb., 8 de ago. de 2026","Impr.":"2.144","Cliques":"1","Conversões":"0,00","Custo":"R$ 10,16"}</x:v>
      </x:c>
    </x:row>
    <x:row r="794" ht="24" customHeight="1">
      <x:c r="A794" s="32" t="str">
        <x:v>F017</x:v>
      </x:c>
      <x:c r="B794" s="32" t="str">
        <x:v>C03</x:v>
      </x:c>
      <x:c r="C794" s="32" t="n">
        <x:v>40</x:v>
      </x:c>
      <x:c r="D794" s="33" t="str">
        <x:v>{"Data":"dom., 9 de ago. de 2026","Impr.":"2.288","Cliques":"0","Conversões":"0,00","Custo":"R$ 10,16"}</x:v>
      </x:c>
    </x:row>
    <x:row r="795" ht="24" customHeight="1">
      <x:c r="A795" s="32" t="str">
        <x:v>F017</x:v>
      </x:c>
      <x:c r="B795" s="32" t="str">
        <x:v>C03</x:v>
      </x:c>
      <x:c r="C795" s="32" t="n">
        <x:v>41</x:v>
      </x:c>
      <x:c r="D795" s="33" t="str">
        <x:v>{"Data":"seg., 10 de ago. de 2026","Impr.":"2.369","Cliques":"0","Conversões":"0,00","Custo":"R$ 10,14"}</x:v>
      </x:c>
    </x:row>
    <x:row r="796" ht="24" customHeight="1">
      <x:c r="A796" s="32" t="str">
        <x:v>F017</x:v>
      </x:c>
      <x:c r="B796" s="32" t="str">
        <x:v>C03</x:v>
      </x:c>
      <x:c r="C796" s="32" t="n">
        <x:v>42</x:v>
      </x:c>
      <x:c r="D796" s="33" t="str">
        <x:v>{"Data":"ter., 11 de ago. de 2026","Impr.":"2.373","Cliques":"1","Conversões":"0,00","Custo":"R$ 10,18"}</x:v>
      </x:c>
    </x:row>
    <x:row r="797" ht="24" customHeight="1">
      <x:c r="A797" s="32" t="str">
        <x:v>F017</x:v>
      </x:c>
      <x:c r="B797" s="32" t="str">
        <x:v>C03</x:v>
      </x:c>
      <x:c r="C797" s="32" t="n">
        <x:v>43</x:v>
      </x:c>
      <x:c r="D797" s="33" t="str">
        <x:v>{"Data":"qua., 12 de ago. de 2026","Impr.":"2.205","Cliques":"0","Conversões":"0,00","Custo":"R$ 10,07"}</x:v>
      </x:c>
    </x:row>
    <x:row r="798" ht="24" customHeight="1">
      <x:c r="A798" s="32" t="str">
        <x:v>F017</x:v>
      </x:c>
      <x:c r="B798" s="32" t="str">
        <x:v>C03</x:v>
      </x:c>
      <x:c r="C798" s="32" t="n">
        <x:v>44</x:v>
      </x:c>
      <x:c r="D798" s="33" t="str">
        <x:v>{"Data":"qui., 13 de ago. de 2026","Impr.":"2.358","Cliques":"0","Conversões":"0,00","Custo":"R$ 10,06"}</x:v>
      </x:c>
    </x:row>
    <x:row r="799" ht="24" customHeight="1">
      <x:c r="A799" s="32" t="str">
        <x:v>F017</x:v>
      </x:c>
      <x:c r="B799" s="32" t="str">
        <x:v>C03</x:v>
      </x:c>
      <x:c r="C799" s="32" t="n">
        <x:v>45</x:v>
      </x:c>
      <x:c r="D799" s="33" t="str">
        <x:v>{"Data":"sex., 14 de ago. de 2026","Impr.":"2.183","Cliques":"0","Conversões":"0,00","Custo":"R$ 10,00"}</x:v>
      </x:c>
    </x:row>
    <x:row r="800" ht="24" customHeight="1">
      <x:c r="A800" s="32" t="str">
        <x:v>F017</x:v>
      </x:c>
      <x:c r="B800" s="32" t="str">
        <x:v>C03</x:v>
      </x:c>
      <x:c r="C800" s="32" t="n">
        <x:v>46</x:v>
      </x:c>
      <x:c r="D800" s="33" t="str">
        <x:v>{"Data":"sáb., 15 de ago. de 2026","Impr.":"2.377","Cliques":"0","Conversões":"0,00","Custo":"R$ 9,97"}</x:v>
      </x:c>
    </x:row>
    <x:row r="801" ht="24" customHeight="1">
      <x:c r="A801" s="32" t="str">
        <x:v>F017</x:v>
      </x:c>
      <x:c r="B801" s="32" t="str">
        <x:v>C03</x:v>
      </x:c>
      <x:c r="C801" s="32" t="n">
        <x:v>47</x:v>
      </x:c>
      <x:c r="D801" s="33" t="str">
        <x:v>{"Data":"dom., 16 de ago. de 2026","Impr.":"2.445","Cliques":"0","Conversões":"0,00","Custo":"R$ 9,99"}</x:v>
      </x:c>
    </x:row>
    <x:row r="802" ht="24" customHeight="1">
      <x:c r="A802" s="32" t="str">
        <x:v>F017</x:v>
      </x:c>
      <x:c r="B802" s="32" t="str">
        <x:v>C03</x:v>
      </x:c>
      <x:c r="C802" s="32" t="n">
        <x:v>48</x:v>
      </x:c>
      <x:c r="D802" s="33" t="str">
        <x:v>{"Data":"seg., 17 de ago. de 2026","Impr.":"2.292","Cliques":"0","Conversões":"0,00","Custo":"R$ 9,91"}</x:v>
      </x:c>
    </x:row>
    <x:row r="803" ht="24" customHeight="1">
      <x:c r="A803" s="32" t="str">
        <x:v>F017</x:v>
      </x:c>
      <x:c r="B803" s="32" t="str">
        <x:v>C03</x:v>
      </x:c>
      <x:c r="C803" s="32" t="n">
        <x:v>49</x:v>
      </x:c>
      <x:c r="D803" s="33" t="str">
        <x:v>{"Data":"ter., 18 de ago. de 2026","Impr.":"2.306","Cliques":"0","Conversões":"0,00","Custo":"R$ 9,89"}</x:v>
      </x:c>
    </x:row>
    <x:row r="804" ht="24" customHeight="1">
      <x:c r="A804" s="32" t="str">
        <x:v>F017</x:v>
      </x:c>
      <x:c r="B804" s="32" t="str">
        <x:v>C03</x:v>
      </x:c>
      <x:c r="C804" s="32" t="n">
        <x:v>50</x:v>
      </x:c>
      <x:c r="D804" s="33" t="str">
        <x:v>{"Data":"qua., 19 de ago. de 2026","Impr.":"2.185","Cliques":"0","Conversões":"0,00","Custo":"R$ 9,84"}</x:v>
      </x:c>
    </x:row>
    <x:row r="805" ht="24" customHeight="1">
      <x:c r="A805" s="32" t="str">
        <x:v>F017</x:v>
      </x:c>
      <x:c r="B805" s="32" t="str">
        <x:v>C03</x:v>
      </x:c>
      <x:c r="C805" s="32" t="n">
        <x:v>51</x:v>
      </x:c>
      <x:c r="D805" s="33" t="str">
        <x:v>{"Data":"qui., 20 de ago. de 2026","Impr.":"2.095","Cliques":"0","Conversões":"0,00","Custo":"R$ 9,82"}</x:v>
      </x:c>
    </x:row>
    <x:row r="806" ht="24" customHeight="1">
      <x:c r="A806" s="32" t="str">
        <x:v>F017</x:v>
      </x:c>
      <x:c r="B806" s="32" t="str">
        <x:v>C03</x:v>
      </x:c>
      <x:c r="C806" s="32" t="n">
        <x:v>52</x:v>
      </x:c>
      <x:c r="D806" s="33" t="str">
        <x:v>{"Data":"sex., 21 de ago. de 2026","Impr.":"1.883","Cliques":"0","Conversões":"0,00","Custo":"R$ 9,83"}</x:v>
      </x:c>
    </x:row>
    <x:row r="807" ht="24" customHeight="1">
      <x:c r="A807" s="32" t="str">
        <x:v>F017</x:v>
      </x:c>
      <x:c r="B807" s="32" t="str">
        <x:v>C03</x:v>
      </x:c>
      <x:c r="C807" s="32" t="n">
        <x:v>53</x:v>
      </x:c>
      <x:c r="D807" s="33" t="str">
        <x:v>{"Data":"sáb., 22 de ago. de 2026","Impr.":"2.044","Cliques":"0","Conversões":"0,00","Custo":"R$ 9,66"}</x:v>
      </x:c>
    </x:row>
    <x:row r="808" ht="24" customHeight="1">
      <x:c r="A808" s="32" t="str">
        <x:v>F017</x:v>
      </x:c>
      <x:c r="B808" s="32" t="str">
        <x:v>C03</x:v>
      </x:c>
      <x:c r="C808" s="32" t="n">
        <x:v>54</x:v>
      </x:c>
      <x:c r="D808" s="33" t="str">
        <x:v>{"Data":"dom., 23 de ago. de 2026","Impr.":"2.210","Cliques":"0","Conversões":"0,00","Custo":"R$ 9,70"}</x:v>
      </x:c>
    </x:row>
    <x:row r="809" ht="24" customHeight="1">
      <x:c r="A809" s="32" t="str">
        <x:v>F017</x:v>
      </x:c>
      <x:c r="B809" s="32" t="str">
        <x:v>C03</x:v>
      </x:c>
      <x:c r="C809" s="32" t="n">
        <x:v>55</x:v>
      </x:c>
      <x:c r="D809" s="33" t="str">
        <x:v>{"Data":"seg., 24 de ago. de 2026","Impr.":"1.967","Cliques":"3","Conversões":"0,00","Custo":"R$ 9,61"}</x:v>
      </x:c>
    </x:row>
    <x:row r="810" ht="24" customHeight="1">
      <x:c r="A810" s="32" t="str">
        <x:v>F017</x:v>
      </x:c>
      <x:c r="B810" s="32" t="str">
        <x:v>C03</x:v>
      </x:c>
      <x:c r="C810" s="32" t="n">
        <x:v>56</x:v>
      </x:c>
      <x:c r="D810" s="33" t="str">
        <x:v>{"Data":"ter., 25 de ago. de 2026","Impr.":"2.024","Cliques":"0","Conversões":"0,00","Custo":"R$ 9,53"}</x:v>
      </x:c>
    </x:row>
    <x:row r="811" ht="24" customHeight="1">
      <x:c r="A811" s="32" t="str">
        <x:v>F017</x:v>
      </x:c>
      <x:c r="B811" s="32" t="str">
        <x:v>C03</x:v>
      </x:c>
      <x:c r="C811" s="32" t="n">
        <x:v>57</x:v>
      </x:c>
      <x:c r="D811" s="33" t="str">
        <x:v>{"Data":"qua., 26 de ago. de 2026","Impr.":"1.357","Cliques":"1","Conversões":"0,00","Custo":"R$ 6,79"}</x:v>
      </x:c>
    </x:row>
    <x:row r="812" ht="24" customHeight="1">
      <x:c r="A812" s="32" t="str">
        <x:v>F017</x:v>
      </x:c>
      <x:c r="B812" s="32" t="str">
        <x:v>C03</x:v>
      </x:c>
      <x:c r="C812" s="32" t="n">
        <x:v>58</x:v>
      </x:c>
      <x:c r="D812" s="33" t="str">
        <x:v>{"Data":"qui., 27 de ago. de 2026","Impr.":"2.102","Cliques":"2","Conversões":"0,00","Custo":"R$ 12,10"}</x:v>
      </x:c>
    </x:row>
    <x:row r="813" ht="24" customHeight="1">
      <x:c r="A813" s="32" t="str">
        <x:v>F017</x:v>
      </x:c>
      <x:c r="B813" s="32" t="str">
        <x:v>C03</x:v>
      </x:c>
      <x:c r="C813" s="32" t="n">
        <x:v>59</x:v>
      </x:c>
      <x:c r="D813" s="33" t="str">
        <x:v>{"Data":"sex., 28 de ago. de 2026","Impr.":"1.620","Cliques":"1","Conversões":"0,00","Custo":"R$ 9,27"}</x:v>
      </x:c>
    </x:row>
    <x:row r="814" ht="24" customHeight="1">
      <x:c r="A814" s="32" t="str">
        <x:v>F017</x:v>
      </x:c>
      <x:c r="B814" s="32" t="str">
        <x:v>C03</x:v>
      </x:c>
      <x:c r="C814" s="32" t="n">
        <x:v>60</x:v>
      </x:c>
      <x:c r="D814" s="33" t="str">
        <x:v>{"Data":"sáb., 29 de ago. de 2026","Impr.":"1.693","Cliques":"0","Conversões":"0,00","Custo":"R$ 9,14"}</x:v>
      </x:c>
    </x:row>
    <x:row r="815" ht="24" customHeight="1">
      <x:c r="A815" s="32" t="str">
        <x:v>F017</x:v>
      </x:c>
      <x:c r="B815" s="32" t="str">
        <x:v>C03</x:v>
      </x:c>
      <x:c r="C815" s="32" t="n">
        <x:v>61</x:v>
      </x:c>
      <x:c r="D815" s="33" t="str">
        <x:v>{"Data":"dom., 30 de ago. de 2026","Impr.":"1.798","Cliques":"0","Conversões":"0,00","Custo":"R$ 8,98"}</x:v>
      </x:c>
    </x:row>
    <x:row r="816" ht="24" customHeight="1">
      <x:c r="A816" s="32" t="str">
        <x:v>F017</x:v>
      </x:c>
      <x:c r="B816" s="32" t="str">
        <x:v>C03</x:v>
      </x:c>
      <x:c r="C816" s="32" t="n">
        <x:v>62</x:v>
      </x:c>
      <x:c r="D816" s="33" t="str">
        <x:v>{"Data":"seg., 31 de ago. de 2026","Impr.":"1.667","Cliques":"0","Conversões":"0,00","Custo":"R$ 8,33"}</x:v>
      </x:c>
    </x:row>
    <x:row r="817" ht="24" customHeight="1">
      <x:c r="A817" s="32" t="str">
        <x:v>F017</x:v>
      </x:c>
      <x:c r="B817" s="32" t="str">
        <x:v>C03</x:v>
      </x:c>
      <x:c r="C817" s="32" t="n">
        <x:v>63</x:v>
      </x:c>
      <x:c r="D817" s="33" t="str">
        <x:v>{"Data":"ter., 1 de set. de 2026","Impr.":"2.515","Cliques":"0","Conversões":"0,00","Custo":"R$ 10,56"}</x:v>
      </x:c>
    </x:row>
    <x:row r="818" ht="24" customHeight="1">
      <x:c r="A818" s="32" t="str">
        <x:v>F017</x:v>
      </x:c>
      <x:c r="B818" s="32" t="str">
        <x:v>C03</x:v>
      </x:c>
      <x:c r="C818" s="32" t="n">
        <x:v>64</x:v>
      </x:c>
      <x:c r="D818" s="33" t="str">
        <x:v>{"Data":"qua., 2 de set. de 2026","Impr.":"2.091","Cliques":"0","Conversões":"0,00","Custo":"R$ 10,62"}</x:v>
      </x:c>
    </x:row>
    <x:row r="819" ht="24" customHeight="1">
      <x:c r="A819" s="32" t="str">
        <x:v>F017</x:v>
      </x:c>
      <x:c r="B819" s="32" t="str">
        <x:v>C03</x:v>
      </x:c>
      <x:c r="C819" s="32" t="n">
        <x:v>65</x:v>
      </x:c>
      <x:c r="D819" s="33" t="str">
        <x:v>{"Data":"qui., 3 de set. de 2026","Impr.":"2.499","Cliques":"0","Conversões":"0,00","Custo":"R$ 10,54"}</x:v>
      </x:c>
    </x:row>
    <x:row r="820" ht="24" customHeight="1">
      <x:c r="A820" s="32" t="str">
        <x:v>F017</x:v>
      </x:c>
      <x:c r="B820" s="32" t="str">
        <x:v>C03</x:v>
      </x:c>
      <x:c r="C820" s="32" t="n">
        <x:v>66</x:v>
      </x:c>
      <x:c r="D820" s="33" t="str">
        <x:v>{"Data":"sex., 4 de set. de 2026","Impr.":"2.413","Cliques":"0","Conversões":"0,00","Custo":"R$ 10,26"}</x:v>
      </x:c>
    </x:row>
    <x:row r="821" ht="24" customHeight="1">
      <x:c r="A821" s="32" t="str">
        <x:v>F017</x:v>
      </x:c>
      <x:c r="B821" s="32" t="str">
        <x:v>C03</x:v>
      </x:c>
      <x:c r="C821" s="32" t="n">
        <x:v>67</x:v>
      </x:c>
      <x:c r="D821" s="33" t="str">
        <x:v>{"Data":"sáb., 5 de set. de 2026","Impr.":"2.064","Cliques":"0","Conversões":"0,00","Custo":"R$ 10,60"}</x:v>
      </x:c>
    </x:row>
    <x:row r="822" ht="24" customHeight="1">
      <x:c r="A822" s="32" t="str">
        <x:v>F017</x:v>
      </x:c>
      <x:c r="B822" s="32" t="str">
        <x:v>C03</x:v>
      </x:c>
      <x:c r="C822" s="32" t="n">
        <x:v>68</x:v>
      </x:c>
      <x:c r="D822" s="33" t="str">
        <x:v>{"Data":"dom., 6 de set. de 2026","Impr.":"2.346","Cliques":"0","Conversões":"0,00","Custo":"R$ 10,60"}</x:v>
      </x:c>
    </x:row>
    <x:row r="823" ht="24" customHeight="1">
      <x:c r="A823" s="32" t="str">
        <x:v>F017</x:v>
      </x:c>
      <x:c r="B823" s="32" t="str">
        <x:v>C03</x:v>
      </x:c>
      <x:c r="C823" s="32" t="n">
        <x:v>69</x:v>
      </x:c>
      <x:c r="D823" s="33" t="str">
        <x:v>{"Data":"seg., 7 de set. de 2026","Impr.":"2.565","Cliques":"0","Conversões":"0,00","Custo":"R$ 10,49"}</x:v>
      </x:c>
    </x:row>
    <x:row r="824" ht="24" customHeight="1">
      <x:c r="A824" s="32" t="str">
        <x:v>F017</x:v>
      </x:c>
      <x:c r="B824" s="32" t="str">
        <x:v>C03</x:v>
      </x:c>
      <x:c r="C824" s="32" t="n">
        <x:v>70</x:v>
      </x:c>
      <x:c r="D824" s="33" t="str">
        <x:v>{"Data":"ter., 8 de set. de 2026","Impr.":"2.572","Cliques":"0","Conversões":"0,00","Custo":"R$ 10,56"}</x:v>
      </x:c>
    </x:row>
    <x:row r="825" ht="24" customHeight="1">
      <x:c r="A825" s="32" t="str">
        <x:v>F017</x:v>
      </x:c>
      <x:c r="B825" s="32" t="str">
        <x:v>C03</x:v>
      </x:c>
      <x:c r="C825" s="32" t="n">
        <x:v>71</x:v>
      </x:c>
      <x:c r="D825" s="33" t="str">
        <x:v>{"Data":"qua., 9 de set. de 2026","Impr.":"2.516","Cliques":"0","Conversões":"0,00","Custo":"R$ 10,50"}</x:v>
      </x:c>
    </x:row>
    <x:row r="826" ht="24" customHeight="1">
      <x:c r="A826" s="32" t="str">
        <x:v>F017</x:v>
      </x:c>
      <x:c r="B826" s="32" t="str">
        <x:v>C03</x:v>
      </x:c>
      <x:c r="C826" s="32" t="n">
        <x:v>72</x:v>
      </x:c>
      <x:c r="D826" s="33" t="str">
        <x:v>{"Data":"qui., 10 de set. de 2026","Impr.":"2.393","Cliques":"0","Conversões":"0,00","Custo":"R$ 10,51"}</x:v>
      </x:c>
    </x:row>
    <x:row r="827" ht="24" customHeight="1">
      <x:c r="A827" s="32" t="str">
        <x:v>F017</x:v>
      </x:c>
      <x:c r="B827" s="32" t="str">
        <x:v>C03</x:v>
      </x:c>
      <x:c r="C827" s="32" t="n">
        <x:v>73</x:v>
      </x:c>
      <x:c r="D827" s="33" t="str">
        <x:v>{"Data":"sex., 11 de set. de 2026","Impr.":"2.414","Cliques":"0","Conversões":"0,00","Custo":"R$ 10,47"}</x:v>
      </x:c>
    </x:row>
    <x:row r="828" ht="24" customHeight="1">
      <x:c r="A828" s="32" t="str">
        <x:v>F017</x:v>
      </x:c>
      <x:c r="B828" s="32" t="str">
        <x:v>C03</x:v>
      </x:c>
      <x:c r="C828" s="32" t="n">
        <x:v>74</x:v>
      </x:c>
      <x:c r="D828" s="33" t="str">
        <x:v>{"Data":"sáb., 12 de set. de 2026","Impr.":"2.411","Cliques":"0","Conversões":"0,00","Custo":"R$ 10,42"}</x:v>
      </x:c>
    </x:row>
    <x:row r="829" ht="24" customHeight="1">
      <x:c r="A829" s="32" t="str">
        <x:v>F017</x:v>
      </x:c>
      <x:c r="B829" s="32" t="str">
        <x:v>C03</x:v>
      </x:c>
      <x:c r="C829" s="32" t="n">
        <x:v>75</x:v>
      </x:c>
      <x:c r="D829" s="33" t="str">
        <x:v>{"Data":"dom., 13 de set. de 2026","Impr.":"2.491","Cliques":"1","Conversões":"0,00","Custo":"R$ 10,41"}</x:v>
      </x:c>
    </x:row>
    <x:row r="830" ht="24" customHeight="1">
      <x:c r="A830" s="32" t="str">
        <x:v>F017</x:v>
      </x:c>
      <x:c r="B830" s="32" t="str">
        <x:v>C03</x:v>
      </x:c>
      <x:c r="C830" s="32" t="n">
        <x:v>76</x:v>
      </x:c>
      <x:c r="D830" s="33" t="str">
        <x:v>{"Data":"seg., 14 de set. de 2026","Impr.":"2.354","Cliques":"0","Conversões":"0,00","Custo":"R$ 10,36"}</x:v>
      </x:c>
    </x:row>
    <x:row r="831" ht="24" customHeight="1">
      <x:c r="A831" s="32" t="str">
        <x:v>F017</x:v>
      </x:c>
      <x:c r="B831" s="32" t="str">
        <x:v>C03</x:v>
      </x:c>
      <x:c r="C831" s="32" t="n">
        <x:v>77</x:v>
      </x:c>
      <x:c r="D831" s="33" t="str">
        <x:v>{"Data":"ter., 15 de set. de 2026","Impr.":"2.491","Cliques":"0","Conversões":"0,00","Custo":"R$ 10,30"}</x:v>
      </x:c>
    </x:row>
    <x:row r="832" ht="24" customHeight="1">
      <x:c r="A832" s="32" t="str">
        <x:v>F017</x:v>
      </x:c>
      <x:c r="B832" s="32" t="str">
        <x:v>C03</x:v>
      </x:c>
      <x:c r="C832" s="32" t="n">
        <x:v>78</x:v>
      </x:c>
      <x:c r="D832" s="33" t="str">
        <x:v>{"Data":"qua., 16 de set. de 2026","Impr.":"2.450","Cliques":"0","Conversões":"0,00","Custo":"R$ 10,28"}</x:v>
      </x:c>
    </x:row>
    <x:row r="833" ht="24" customHeight="1">
      <x:c r="A833" s="32" t="str">
        <x:v>F017</x:v>
      </x:c>
      <x:c r="B833" s="32" t="str">
        <x:v>C03</x:v>
      </x:c>
      <x:c r="C833" s="32" t="n">
        <x:v>79</x:v>
      </x:c>
      <x:c r="D833" s="33" t="str">
        <x:v>{"Data":"qui., 17 de set. de 2026","Impr.":"2.337","Cliques":"0","Conversões":"0,00","Custo":"R$ 10,27"}</x:v>
      </x:c>
    </x:row>
    <x:row r="834" ht="24" customHeight="1">
      <x:c r="A834" s="32" t="str">
        <x:v>F017</x:v>
      </x:c>
      <x:c r="B834" s="32" t="str">
        <x:v>C03</x:v>
      </x:c>
      <x:c r="C834" s="32" t="n">
        <x:v>80</x:v>
      </x:c>
      <x:c r="D834" s="33" t="str">
        <x:v>{"Data":"sex., 18 de set. de 2026","Impr.":"2.289","Cliques":"0","Conversões":"0,00","Custo":"R$ 10,18"}</x:v>
      </x:c>
    </x:row>
    <x:row r="835" ht="24" customHeight="1">
      <x:c r="A835" s="32" t="str">
        <x:v>F017</x:v>
      </x:c>
      <x:c r="B835" s="32" t="str">
        <x:v>C03</x:v>
      </x:c>
      <x:c r="C835" s="32" t="n">
        <x:v>81</x:v>
      </x:c>
      <x:c r="D835" s="33" t="str">
        <x:v>{"Data":"sáb., 19 de set. de 2026","Impr.":"2.462","Cliques":"0","Conversões":"0,00","Custo":"R$ 10,19"}</x:v>
      </x:c>
    </x:row>
    <x:row r="836" ht="24" customHeight="1">
      <x:c r="A836" s="32" t="str">
        <x:v>F017</x:v>
      </x:c>
      <x:c r="B836" s="32" t="str">
        <x:v>C03</x:v>
      </x:c>
      <x:c r="C836" s="32" t="n">
        <x:v>82</x:v>
      </x:c>
      <x:c r="D836" s="33" t="str">
        <x:v>{"Data":"dom., 20 de set. de 2026","Impr.":"2.378","Cliques":"0","Conversões":"0,00","Custo":"R$ 10,16"}</x:v>
      </x:c>
    </x:row>
    <x:row r="837" ht="24" customHeight="1">
      <x:c r="A837" s="32" t="str">
        <x:v>F017</x:v>
      </x:c>
      <x:c r="B837" s="32" t="str">
        <x:v>C03</x:v>
      </x:c>
      <x:c r="C837" s="32" t="n">
        <x:v>83</x:v>
      </x:c>
      <x:c r="D837" s="33" t="str">
        <x:v>{"Data":"seg., 21 de set. de 2026","Impr.":"2.315","Cliques":"0","Conversões":"0,00","Custo":"R$ 10,11"}</x:v>
      </x:c>
    </x:row>
    <x:row r="838" ht="24" customHeight="1">
      <x:c r="A838" s="32" t="str">
        <x:v>F017</x:v>
      </x:c>
      <x:c r="B838" s="32" t="str">
        <x:v>C03</x:v>
      </x:c>
      <x:c r="C838" s="32" t="n">
        <x:v>84</x:v>
      </x:c>
      <x:c r="D838" s="33" t="str">
        <x:v>{"Data":"ter., 22 de set. de 2026","Impr.":"2.294","Cliques":"0","Conversões":"0,00","Custo":"R$ 9,98"}</x:v>
      </x:c>
    </x:row>
    <x:row r="839" ht="24" customHeight="1">
      <x:c r="A839" s="32" t="str">
        <x:v>F017</x:v>
      </x:c>
      <x:c r="B839" s="32" t="str">
        <x:v>C03</x:v>
      </x:c>
      <x:c r="C839" s="32" t="n">
        <x:v>85</x:v>
      </x:c>
      <x:c r="D839" s="33" t="str">
        <x:v>{"Data":"qua., 23 de set. de 2026","Impr.":"2.316","Cliques":"0","Conversões":"0,00","Custo":"R$ 9,96"}</x:v>
      </x:c>
    </x:row>
    <x:row r="840" ht="24" customHeight="1">
      <x:c r="A840" s="32" t="str">
        <x:v>F017</x:v>
      </x:c>
      <x:c r="B840" s="32" t="str">
        <x:v>C03</x:v>
      </x:c>
      <x:c r="C840" s="32" t="n">
        <x:v>86</x:v>
      </x:c>
      <x:c r="D840" s="33" t="str">
        <x:v>{"Data":"qui., 24 de set. de 2026","Impr.":"166","Cliques":"0","Conversões":"0,00","Custo":"R$ 0,76"}</x:v>
      </x:c>
    </x:row>
    <x:row r="841" ht="24" customHeight="1">
      <x:c r="A841" s="32" t="str">
        <x:v>F017</x:v>
      </x:c>
      <x:c r="B841" s="32" t="str">
        <x:v>C03</x:v>
      </x:c>
      <x:c r="C841" s="32" t="n">
        <x:v>87</x:v>
      </x:c>
      <x:c r="D841" s="33" t="str">
        <x:v>{"Data":"sex., 25 de set. de 2026","Impr.":"12","Cliques":"0","Conversões":"0,00","Custo":"R$ 0,03"}</x:v>
      </x:c>
    </x:row>
    <x:row r="842" ht="24" customHeight="1">
      <x:c r="A842" s="32" t="str">
        <x:v>F017</x:v>
      </x:c>
      <x:c r="B842" s="32" t="str">
        <x:v>C03</x:v>
      </x:c>
      <x:c r="C842" s="32" t="n">
        <x:v>88</x:v>
      </x:c>
      <x:c r="D842" s="33" t="str">
        <x:v>{"Data":"sáb., 26 de set. de 2026","Impr.":"0","Cliques":"0","Conversões":"0,00","Custo":"R$ 0,00"}</x:v>
      </x:c>
    </x:row>
    <x:row r="843" ht="24" customHeight="1">
      <x:c r="A843" s="32" t="str">
        <x:v>F017</x:v>
      </x:c>
      <x:c r="B843" s="32" t="str">
        <x:v>C03</x:v>
      </x:c>
      <x:c r="C843" s="32" t="n">
        <x:v>89</x:v>
      </x:c>
      <x:c r="D843" s="33" t="str">
        <x:v>{"Data":"dom., 27 de set. de 2026","Impr.":"1","Cliques":"0","Conversões":"0,00","Custo":"R$ 0,01"}</x:v>
      </x:c>
    </x:row>
    <x:row r="844" ht="24" customHeight="1">
      <x:c r="A844" s="32" t="str">
        <x:v>F017</x:v>
      </x:c>
      <x:c r="B844" s="32" t="str">
        <x:v>C03</x:v>
      </x:c>
      <x:c r="C844" s="32" t="n">
        <x:v>90</x:v>
      </x:c>
      <x:c r="D844" s="33" t="str">
        <x:v>{"Data":"seg., 28 de set. de 2026","Impr.":"0","Cliques":"0","Conversões":"0,00","Custo":"R$ 0,00"}</x:v>
      </x:c>
    </x:row>
    <x:row r="845" ht="24" customHeight="1">
      <x:c r="A845" s="32" t="str">
        <x:v>F017</x:v>
      </x:c>
      <x:c r="B845" s="32" t="str">
        <x:v>C03</x:v>
      </x:c>
      <x:c r="C845" s="32" t="n">
        <x:v>91</x:v>
      </x:c>
      <x:c r="D845" s="33" t="str">
        <x:v>{"Data":"ter., 29 de set. de 2026","Impr.":"3","Cliques":"0","Conversões":"0,00","Custo":"R$ 0,02"}</x:v>
      </x:c>
    </x:row>
    <x:row r="846" ht="24" customHeight="1">
      <x:c r="A846" s="32" t="str">
        <x:v>F017</x:v>
      </x:c>
      <x:c r="B846" s="32" t="str">
        <x:v>C03</x:v>
      </x:c>
      <x:c r="C846" s="32" t="n">
        <x:v>92</x:v>
      </x:c>
      <x:c r="D846" s="33" t="str">
        <x:v>{"Data":"qua., 30 de set. de 2026","Impr.":"0","Cliques":"0","Conversões":"0,00","Custo":"R$ 0,00"}</x:v>
      </x:c>
    </x:row>
    <x:row r="847" ht="24" customHeight="1">
      <x:c r="A847" s="32" t="str">
        <x:v>F017</x:v>
      </x:c>
      <x:c r="B847" s="32" t="str">
        <x:v>C03</x:v>
      </x:c>
      <x:c r="C847" s="32" t="n">
        <x:v>93</x:v>
      </x:c>
      <x:c r="D847" s="33" t="str">
        <x:v>{"Data":"qui., 1 de out. de 2026","Impr.":"2.310","Cliques":"0","Conversões":"0,00","Custo":"R$ 9,80"}</x:v>
      </x:c>
    </x:row>
    <x:row r="848" ht="24" customHeight="1">
      <x:c r="A848" s="32" t="str">
        <x:v>F017</x:v>
      </x:c>
      <x:c r="B848" s="32" t="str">
        <x:v>C03</x:v>
      </x:c>
      <x:c r="C848" s="32" t="n">
        <x:v>94</x:v>
      </x:c>
      <x:c r="D848" s="33" t="str">
        <x:v>{"Data":"sex., 2 de out. de 2026","Impr.":"2.979","Cliques":"0","Conversões":"0,00","Custo":"R$ 10,30"}</x:v>
      </x:c>
    </x:row>
    <x:row r="849" ht="24" customHeight="1">
      <x:c r="A849" s="32" t="str">
        <x:v>F017</x:v>
      </x:c>
      <x:c r="B849" s="32" t="str">
        <x:v>C03</x:v>
      </x:c>
      <x:c r="C849" s="32" t="n">
        <x:v>95</x:v>
      </x:c>
      <x:c r="D849" s="33" t="str">
        <x:v>{"Data":"sáb., 3 de out. de 2026","Impr.":"2.763","Cliques":"2","Conversões":"0,00","Custo":"R$ 10,28"}</x:v>
      </x:c>
    </x:row>
    <x:row r="850" ht="24" customHeight="1">
      <x:c r="A850" s="32" t="str">
        <x:v>F017</x:v>
      </x:c>
      <x:c r="B850" s="32" t="str">
        <x:v>C03</x:v>
      </x:c>
      <x:c r="C850" s="32" t="n">
        <x:v>96</x:v>
      </x:c>
      <x:c r="D850" s="33" t="str">
        <x:v>{"Data":"dom., 4 de out. de 2026","Impr.":"2.660","Cliques":"1","Conversões":"0,00","Custo":"R$ 10,29"}</x:v>
      </x:c>
    </x:row>
    <x:row r="851" ht="24" customHeight="1">
      <x:c r="A851" s="32" t="str">
        <x:v>F017</x:v>
      </x:c>
      <x:c r="B851" s="32" t="str">
        <x:v>C03</x:v>
      </x:c>
      <x:c r="C851" s="32" t="n">
        <x:v>97</x:v>
      </x:c>
      <x:c r="D851" s="33" t="str">
        <x:v>{"Data":"seg., 5 de out. de 2026","Impr.":"2.934","Cliques":"0","Conversões":"0,00","Custo":"R$ 10,23"}</x:v>
      </x:c>
    </x:row>
    <x:row r="852" ht="24" customHeight="1">
      <x:c r="A852" s="32" t="str">
        <x:v>F017</x:v>
      </x:c>
      <x:c r="B852" s="32" t="str">
        <x:v>C03</x:v>
      </x:c>
      <x:c r="C852" s="32" t="n">
        <x:v>98</x:v>
      </x:c>
      <x:c r="D852" s="33" t="str">
        <x:v>{"Data":"ter., 6 de out. de 2026","Impr.":"2.853","Cliques":"0","Conversões":"0,00","Custo":"R$ 10,14"}</x:v>
      </x:c>
    </x:row>
    <x:row r="853" ht="24" customHeight="1">
      <x:c r="A853" s="32" t="str">
        <x:v>F017</x:v>
      </x:c>
      <x:c r="B853" s="32" t="str">
        <x:v>C03</x:v>
      </x:c>
      <x:c r="C853" s="32" t="n">
        <x:v>99</x:v>
      </x:c>
      <x:c r="D853" s="33" t="str">
        <x:v>{"Data":"qua., 7 de out. de 2026","Impr.":"2.801","Cliques":"0","Conversões":"0,00","Custo":"R$ 10,21"}</x:v>
      </x:c>
    </x:row>
    <x:row r="854" ht="24" customHeight="1">
      <x:c r="A854" s="32" t="str">
        <x:v>F017</x:v>
      </x:c>
      <x:c r="B854" s="32" t="str">
        <x:v>C03</x:v>
      </x:c>
      <x:c r="C854" s="32" t="n">
        <x:v>100</x:v>
      </x:c>
      <x:c r="D854" s="33" t="str">
        <x:v>{"Data":"qui., 8 de out. de 2026","Impr.":"2.663","Cliques":"1","Conversões":"0,00","Custo":"R$ 10,41"}</x:v>
      </x:c>
    </x:row>
    <x:row r="855" ht="24" customHeight="1">
      <x:c r="A855" s="32" t="str">
        <x:v>F017</x:v>
      </x:c>
      <x:c r="B855" s="32" t="str">
        <x:v>C03</x:v>
      </x:c>
      <x:c r="C855" s="32" t="n">
        <x:v>101</x:v>
      </x:c>
      <x:c r="D855" s="33" t="str">
        <x:v>{"Data":"sex., 9 de out. de 2026","Impr.":"2.758","Cliques":"0","Conversões":"0,00","Custo":"R$ 10,27"}</x:v>
      </x:c>
    </x:row>
    <x:row r="856" ht="24" customHeight="1">
      <x:c r="A856" s="32" t="str">
        <x:v>F017</x:v>
      </x:c>
      <x:c r="B856" s="32" t="str">
        <x:v>C03</x:v>
      </x:c>
      <x:c r="C856" s="32" t="n">
        <x:v>102</x:v>
      </x:c>
      <x:c r="D856" s="33" t="str">
        <x:v>{"Data":"sáb., 10 de out. de 2026","Impr.":"2.470","Cliques":"0","Conversões":"0,00","Custo":"R$ 10,18"}</x:v>
      </x:c>
    </x:row>
    <x:row r="857" ht="24" customHeight="1">
      <x:c r="A857" s="32" t="str">
        <x:v>F017</x:v>
      </x:c>
      <x:c r="B857" s="32" t="str">
        <x:v>C03</x:v>
      </x:c>
      <x:c r="C857" s="32" t="n">
        <x:v>103</x:v>
      </x:c>
      <x:c r="D857" s="33" t="str">
        <x:v>{"Data":"dom., 11 de out. de 2026","Impr.":"2.611","Cliques":"0","Conversões":"0,00","Custo":"R$ 10,07"}</x:v>
      </x:c>
    </x:row>
    <x:row r="858" ht="24" customHeight="1">
      <x:c r="A858" s="32" t="str">
        <x:v>F017</x:v>
      </x:c>
      <x:c r="B858" s="32" t="str">
        <x:v>C03</x:v>
      </x:c>
      <x:c r="C858" s="32" t="n">
        <x:v>104</x:v>
      </x:c>
      <x:c r="D858" s="33" t="str">
        <x:v>{"Data":"seg., 12 de out. de 2026","Impr.":"2.742","Cliques":"0","Conversões":"0,00","Custo":"R$ 10,10"}</x:v>
      </x:c>
    </x:row>
    <x:row r="859" ht="24" customHeight="1">
      <x:c r="A859" s="32" t="str">
        <x:v>F017</x:v>
      </x:c>
      <x:c r="B859" s="32" t="str">
        <x:v>C03</x:v>
      </x:c>
      <x:c r="C859" s="32" t="n">
        <x:v>105</x:v>
      </x:c>
      <x:c r="D859" s="33" t="str">
        <x:v>{"Data":"ter., 13 de out. de 2026","Impr.":"3.025","Cliques":"0","Conversões":"0,00","Custo":"R$ 10,07"}</x:v>
      </x:c>
    </x:row>
    <x:row r="860" ht="24" customHeight="1">
      <x:c r="A860" s="32" t="str">
        <x:v>F018</x:v>
      </x:c>
      <x:c r="B860" s="32" t="str">
        <x:v>C03</x:v>
      </x:c>
      <x:c r="C860" s="32" t="n">
        <x:v>1</x:v>
      </x:c>
      <x:c r="D860" s="33" t="str">
        <x:v>{"Data":"qua., 1 de jul. de 2026","Cliques":"0","Visualizações públicas do YouTube":"0","Shorts":"—","Custo":"R$ 0,00"}</x:v>
      </x:c>
    </x:row>
    <x:row r="861" ht="24" customHeight="1">
      <x:c r="A861" s="32" t="str">
        <x:v>F018</x:v>
      </x:c>
      <x:c r="B861" s="32" t="str">
        <x:v>C03</x:v>
      </x:c>
      <x:c r="C861" s="32" t="n">
        <x:v>2</x:v>
      </x:c>
      <x:c r="D861" s="33" t="str">
        <x:v>{"Data":"qui., 2 de jul. de 2026","Cliques":"0","Visualizações públicas do YouTube":"0","Shorts":"—","Custo":"R$ 0,00"}</x:v>
      </x:c>
    </x:row>
    <x:row r="862" ht="24" customHeight="1">
      <x:c r="A862" s="32" t="str">
        <x:v>F018</x:v>
      </x:c>
      <x:c r="B862" s="32" t="str">
        <x:v>C03</x:v>
      </x:c>
      <x:c r="C862" s="32" t="n">
        <x:v>3</x:v>
      </x:c>
      <x:c r="D862" s="33" t="str">
        <x:v>{"Data":"sex., 3 de jul. de 2026","Cliques":"0","Visualizações públicas do YouTube":"0","Shorts":"—","Custo":"R$ 0,00"}</x:v>
      </x:c>
    </x:row>
    <x:row r="863" ht="24" customHeight="1">
      <x:c r="A863" s="32" t="str">
        <x:v>F018</x:v>
      </x:c>
      <x:c r="B863" s="32" t="str">
        <x:v>C03</x:v>
      </x:c>
      <x:c r="C863" s="32" t="n">
        <x:v>4</x:v>
      </x:c>
      <x:c r="D863" s="33" t="str">
        <x:v>{"Data":"sáb., 4 de jul. de 2026","Cliques":"0","Visualizações públicas do YouTube":"0","Shorts":"—","Custo":"R$ 0,00"}</x:v>
      </x:c>
    </x:row>
    <x:row r="864" ht="24" customHeight="1">
      <x:c r="A864" s="32" t="str">
        <x:v>F018</x:v>
      </x:c>
      <x:c r="B864" s="32" t="str">
        <x:v>C03</x:v>
      </x:c>
      <x:c r="C864" s="32" t="n">
        <x:v>5</x:v>
      </x:c>
      <x:c r="D864" s="33" t="str">
        <x:v>{"Data":"dom., 5 de jul. de 2026","Cliques":"0","Visualizações públicas do YouTube":"0","Shorts":"—","Custo":"R$ 0,00"}</x:v>
      </x:c>
    </x:row>
    <x:row r="865" ht="24" customHeight="1">
      <x:c r="A865" s="32" t="str">
        <x:v>F018</x:v>
      </x:c>
      <x:c r="B865" s="32" t="str">
        <x:v>C03</x:v>
      </x:c>
      <x:c r="C865" s="32" t="n">
        <x:v>6</x:v>
      </x:c>
      <x:c r="D865" s="33" t="str">
        <x:v>{"Data":"seg., 6 de jul. de 2026","Cliques":"0","Visualizações públicas do YouTube":"0","Shorts":"—","Custo":"R$ 0,00"}</x:v>
      </x:c>
    </x:row>
    <x:row r="866" ht="24" customHeight="1">
      <x:c r="A866" s="32" t="str">
        <x:v>F018</x:v>
      </x:c>
      <x:c r="B866" s="32" t="str">
        <x:v>C03</x:v>
      </x:c>
      <x:c r="C866" s="32" t="n">
        <x:v>7</x:v>
      </x:c>
      <x:c r="D866" s="33" t="str">
        <x:v>{"Data":"ter., 7 de jul. de 2026","Cliques":"0","Visualizações públicas do YouTube":"0","Shorts":"—","Custo":"R$ 0,00"}</x:v>
      </x:c>
    </x:row>
    <x:row r="867" ht="24" customHeight="1">
      <x:c r="A867" s="32" t="str">
        <x:v>F018</x:v>
      </x:c>
      <x:c r="B867" s="32" t="str">
        <x:v>C03</x:v>
      </x:c>
      <x:c r="C867" s="32" t="n">
        <x:v>8</x:v>
      </x:c>
      <x:c r="D867" s="33" t="str">
        <x:v>{"Data":"qua., 8 de jul. de 2026","Cliques":"0","Visualizações públicas do YouTube":"0","Shorts":"—","Custo":"R$ 0,00"}</x:v>
      </x:c>
    </x:row>
    <x:row r="868" ht="24" customHeight="1">
      <x:c r="A868" s="32" t="str">
        <x:v>F018</x:v>
      </x:c>
      <x:c r="B868" s="32" t="str">
        <x:v>C03</x:v>
      </x:c>
      <x:c r="C868" s="32" t="n">
        <x:v>9</x:v>
      </x:c>
      <x:c r="D868" s="33" t="str">
        <x:v>{"Data":"qui., 9 de jul. de 2026","Cliques":"0","Visualizações públicas do YouTube":"0","Shorts":"—","Custo":"R$ 0,00"}</x:v>
      </x:c>
    </x:row>
    <x:row r="869" ht="24" customHeight="1">
      <x:c r="A869" s="32" t="str">
        <x:v>F018</x:v>
      </x:c>
      <x:c r="B869" s="32" t="str">
        <x:v>C03</x:v>
      </x:c>
      <x:c r="C869" s="32" t="n">
        <x:v>10</x:v>
      </x:c>
      <x:c r="D869" s="33" t="str">
        <x:v>{"Data":"sex., 10 de jul. de 2026","Cliques":"0","Visualizações públicas do YouTube":"0","Shorts":"—","Custo":"R$ 0,00"}</x:v>
      </x:c>
    </x:row>
    <x:row r="870" ht="24" customHeight="1">
      <x:c r="A870" s="32" t="str">
        <x:v>F018</x:v>
      </x:c>
      <x:c r="B870" s="32" t="str">
        <x:v>C03</x:v>
      </x:c>
      <x:c r="C870" s="32" t="n">
        <x:v>11</x:v>
      </x:c>
      <x:c r="D870" s="33" t="str">
        <x:v>{"Data":"sáb., 11 de jul. de 2026","Cliques":"0","Visualizações públicas do YouTube":"0","Shorts":"—","Custo":"R$ 0,00"}</x:v>
      </x:c>
    </x:row>
    <x:row r="871" ht="24" customHeight="1">
      <x:c r="A871" s="32" t="str">
        <x:v>F018</x:v>
      </x:c>
      <x:c r="B871" s="32" t="str">
        <x:v>C03</x:v>
      </x:c>
      <x:c r="C871" s="32" t="n">
        <x:v>12</x:v>
      </x:c>
      <x:c r="D871" s="33" t="str">
        <x:v>{"Data":"dom., 12 de jul. de 2026","Cliques":"0","Visualizações públicas do YouTube":"0","Shorts":"—","Custo":"R$ 0,00"}</x:v>
      </x:c>
    </x:row>
    <x:row r="872" ht="24" customHeight="1">
      <x:c r="A872" s="32" t="str">
        <x:v>F018</x:v>
      </x:c>
      <x:c r="B872" s="32" t="str">
        <x:v>C03</x:v>
      </x:c>
      <x:c r="C872" s="32" t="n">
        <x:v>13</x:v>
      </x:c>
      <x:c r="D872" s="33" t="str">
        <x:v>{"Data":"seg., 13 de jul. de 2026","Cliques":"0","Visualizações públicas do YouTube":"0","Shorts":"—","Custo":"R$ 0,00"}</x:v>
      </x:c>
    </x:row>
    <x:row r="873" ht="24" customHeight="1">
      <x:c r="A873" s="32" t="str">
        <x:v>F018</x:v>
      </x:c>
      <x:c r="B873" s="32" t="str">
        <x:v>C03</x:v>
      </x:c>
      <x:c r="C873" s="32" t="n">
        <x:v>14</x:v>
      </x:c>
      <x:c r="D873" s="33" t="str">
        <x:v>{"Data":"ter., 14 de jul. de 2026","Cliques":"0","Visualizações públicas do YouTube":"0","Shorts":"—","Custo":"R$ 0,00"}</x:v>
      </x:c>
    </x:row>
    <x:row r="874" ht="24" customHeight="1">
      <x:c r="A874" s="32" t="str">
        <x:v>F018</x:v>
      </x:c>
      <x:c r="B874" s="32" t="str">
        <x:v>C03</x:v>
      </x:c>
      <x:c r="C874" s="32" t="n">
        <x:v>15</x:v>
      </x:c>
      <x:c r="D874" s="33" t="str">
        <x:v>{"Data":"qua., 15 de jul. de 2026","Cliques":"0","Visualizações públicas do YouTube":"0","Shorts":"—","Custo":"R$ 0,00"}</x:v>
      </x:c>
    </x:row>
    <x:row r="875" ht="24" customHeight="1">
      <x:c r="A875" s="32" t="str">
        <x:v>F018</x:v>
      </x:c>
      <x:c r="B875" s="32" t="str">
        <x:v>C03</x:v>
      </x:c>
      <x:c r="C875" s="32" t="n">
        <x:v>16</x:v>
      </x:c>
      <x:c r="D875" s="33" t="str">
        <x:v>{"Data":"qui., 16 de jul. de 2026","Cliques":"0","Visualizações públicas do YouTube":"0","Shorts":"—","Custo":"R$ 0,00"}</x:v>
      </x:c>
    </x:row>
    <x:row r="876" ht="24" customHeight="1">
      <x:c r="A876" s="32" t="str">
        <x:v>F018</x:v>
      </x:c>
      <x:c r="B876" s="32" t="str">
        <x:v>C03</x:v>
      </x:c>
      <x:c r="C876" s="32" t="n">
        <x:v>17</x:v>
      </x:c>
      <x:c r="D876" s="33" t="str">
        <x:v>{"Data":"sex., 17 de jul. de 2026","Cliques":"0","Visualizações públicas do YouTube":"0","Shorts":"—","Custo":"R$ 0,00"}</x:v>
      </x:c>
    </x:row>
    <x:row r="877" ht="24" customHeight="1">
      <x:c r="A877" s="32" t="str">
        <x:v>F018</x:v>
      </x:c>
      <x:c r="B877" s="32" t="str">
        <x:v>C03</x:v>
      </x:c>
      <x:c r="C877" s="32" t="n">
        <x:v>18</x:v>
      </x:c>
      <x:c r="D877" s="33" t="str">
        <x:v>{"Data":"sáb., 18 de jul. de 2026","Cliques":"0","Visualizações públicas do YouTube":"0","Shorts":"—","Custo":"R$ 0,00"}</x:v>
      </x:c>
    </x:row>
    <x:row r="878" ht="24" customHeight="1">
      <x:c r="A878" s="32" t="str">
        <x:v>F018</x:v>
      </x:c>
      <x:c r="B878" s="32" t="str">
        <x:v>C03</x:v>
      </x:c>
      <x:c r="C878" s="32" t="n">
        <x:v>19</x:v>
      </x:c>
      <x:c r="D878" s="33" t="str">
        <x:v>{"Data":"dom., 19 de jul. de 2026","Cliques":"0","Visualizações públicas do YouTube":"0","Shorts":"—","Custo":"R$ 0,00"}</x:v>
      </x:c>
    </x:row>
    <x:row r="879" ht="24" customHeight="1">
      <x:c r="A879" s="32" t="str">
        <x:v>F018</x:v>
      </x:c>
      <x:c r="B879" s="32" t="str">
        <x:v>C03</x:v>
      </x:c>
      <x:c r="C879" s="32" t="n">
        <x:v>20</x:v>
      </x:c>
      <x:c r="D879" s="33" t="str">
        <x:v>{"Data":"seg., 20 de jul. de 2026","Cliques":"0","Visualizações públicas do YouTube":"0","Shorts":"—","Custo":"R$ 0,00"}</x:v>
      </x:c>
    </x:row>
    <x:row r="880" ht="24" customHeight="1">
      <x:c r="A880" s="32" t="str">
        <x:v>F018</x:v>
      </x:c>
      <x:c r="B880" s="32" t="str">
        <x:v>C03</x:v>
      </x:c>
      <x:c r="C880" s="32" t="n">
        <x:v>21</x:v>
      </x:c>
      <x:c r="D880" s="33" t="str">
        <x:v>{"Data":"ter., 21 de jul. de 2026","Cliques":"0","Visualizações públicas do YouTube":"0","Shorts":"—","Custo":"R$ 0,00"}</x:v>
      </x:c>
    </x:row>
    <x:row r="881" ht="24" customHeight="1">
      <x:c r="A881" s="32" t="str">
        <x:v>F018</x:v>
      </x:c>
      <x:c r="B881" s="32" t="str">
        <x:v>C03</x:v>
      </x:c>
      <x:c r="C881" s="32" t="n">
        <x:v>22</x:v>
      </x:c>
      <x:c r="D881" s="33" t="str">
        <x:v>{"Data":"qua., 22 de jul. de 2026","Cliques":"0","Visualizações públicas do YouTube":"0","Shorts":"—","Custo":"R$ 0,00"}</x:v>
      </x:c>
    </x:row>
    <x:row r="882" ht="24" customHeight="1">
      <x:c r="A882" s="32" t="str">
        <x:v>F018</x:v>
      </x:c>
      <x:c r="B882" s="32" t="str">
        <x:v>C03</x:v>
      </x:c>
      <x:c r="C882" s="32" t="n">
        <x:v>23</x:v>
      </x:c>
      <x:c r="D882" s="33" t="str">
        <x:v>{"Data":"qui., 23 de jul. de 2026","Cliques":"0","Visualizações públicas do YouTube":"727","Shorts":"—","Custo":"R$ 10,03"}</x:v>
      </x:c>
    </x:row>
    <x:row r="883" ht="24" customHeight="1">
      <x:c r="A883" s="32" t="str">
        <x:v>F018</x:v>
      </x:c>
      <x:c r="B883" s="32" t="str">
        <x:v>C03</x:v>
      </x:c>
      <x:c r="C883" s="32" t="n">
        <x:v>24</x:v>
      </x:c>
      <x:c r="D883" s="33" t="str">
        <x:v>{"Data":"sex., 24 de jul. de 2026","Cliques":"0","Visualizações públicas do YouTube":"1.811","Shorts":"—","Custo":"R$ 10,41"}</x:v>
      </x:c>
    </x:row>
    <x:row r="884" ht="24" customHeight="1">
      <x:c r="A884" s="32" t="str">
        <x:v>F018</x:v>
      </x:c>
      <x:c r="B884" s="32" t="str">
        <x:v>C03</x:v>
      </x:c>
      <x:c r="C884" s="32" t="n">
        <x:v>25</x:v>
      </x:c>
      <x:c r="D884" s="33" t="str">
        <x:v>{"Data":"sáb., 25 de jul. de 2026","Cliques":"0","Visualizações públicas do YouTube":"2.346","Shorts":"—","Custo":"R$ 10,37"}</x:v>
      </x:c>
    </x:row>
    <x:row r="885" ht="24" customHeight="1">
      <x:c r="A885" s="32" t="str">
        <x:v>F018</x:v>
      </x:c>
      <x:c r="B885" s="32" t="str">
        <x:v>C03</x:v>
      </x:c>
      <x:c r="C885" s="32" t="n">
        <x:v>26</x:v>
      </x:c>
      <x:c r="D885" s="33" t="str">
        <x:v>{"Data":"dom., 26 de jul. de 2026","Cliques":"0","Visualizações públicas do YouTube":"2.209","Shorts":"—","Custo":"R$ 10,27"}</x:v>
      </x:c>
    </x:row>
    <x:row r="886" ht="24" customHeight="1">
      <x:c r="A886" s="32" t="str">
        <x:v>F018</x:v>
      </x:c>
      <x:c r="B886" s="32" t="str">
        <x:v>C03</x:v>
      </x:c>
      <x:c r="C886" s="32" t="n">
        <x:v>27</x:v>
      </x:c>
      <x:c r="D886" s="33" t="str">
        <x:v>{"Data":"seg., 27 de jul. de 2026","Cliques":"0","Visualizações públicas do YouTube":"2.280","Shorts":"—","Custo":"R$ 10,20"}</x:v>
      </x:c>
    </x:row>
    <x:row r="887" ht="24" customHeight="1">
      <x:c r="A887" s="32" t="str">
        <x:v>F018</x:v>
      </x:c>
      <x:c r="B887" s="32" t="str">
        <x:v>C03</x:v>
      </x:c>
      <x:c r="C887" s="32" t="n">
        <x:v>28</x:v>
      </x:c>
      <x:c r="D887" s="33" t="str">
        <x:v>{"Data":"ter., 28 de jul. de 2026","Cliques":"0","Visualizações públicas do YouTube":"2.104","Shorts":"—","Custo":"R$ 9,95"}</x:v>
      </x:c>
    </x:row>
    <x:row r="888" ht="24" customHeight="1">
      <x:c r="A888" s="32" t="str">
        <x:v>F018</x:v>
      </x:c>
      <x:c r="B888" s="32" t="str">
        <x:v>C03</x:v>
      </x:c>
      <x:c r="C888" s="32" t="n">
        <x:v>29</x:v>
      </x:c>
      <x:c r="D888" s="33" t="str">
        <x:v>{"Data":"qua., 29 de jul. de 2026","Cliques":"0","Visualizações públicas do YouTube":"2.023","Shorts":"—","Custo":"R$ 10,01"}</x:v>
      </x:c>
    </x:row>
    <x:row r="889" ht="24" customHeight="1">
      <x:c r="A889" s="32" t="str">
        <x:v>F018</x:v>
      </x:c>
      <x:c r="B889" s="32" t="str">
        <x:v>C03</x:v>
      </x:c>
      <x:c r="C889" s="32" t="n">
        <x:v>30</x:v>
      </x:c>
      <x:c r="D889" s="33" t="str">
        <x:v>{"Data":"qui., 30 de jul. de 2026","Cliques":"0","Visualizações públicas do YouTube":"1.824","Shorts":"—","Custo":"R$ 9,65"}</x:v>
      </x:c>
    </x:row>
    <x:row r="890" ht="24" customHeight="1">
      <x:c r="A890" s="32" t="str">
        <x:v>F018</x:v>
      </x:c>
      <x:c r="B890" s="32" t="str">
        <x:v>C03</x:v>
      </x:c>
      <x:c r="C890" s="32" t="n">
        <x:v>31</x:v>
      </x:c>
      <x:c r="D890" s="33" t="str">
        <x:v>{"Data":"sex., 31 de jul. de 2026","Cliques":"0","Visualizações públicas do YouTube":"1.855","Shorts":"—","Custo":"R$ 9,19"}</x:v>
      </x:c>
    </x:row>
    <x:row r="891" ht="24" customHeight="1">
      <x:c r="A891" s="32" t="str">
        <x:v>F018</x:v>
      </x:c>
      <x:c r="B891" s="32" t="str">
        <x:v>C03</x:v>
      </x:c>
      <x:c r="C891" s="32" t="n">
        <x:v>32</x:v>
      </x:c>
      <x:c r="D891" s="33" t="str">
        <x:v>{"Data":"sáb., 1 de ago. de 2026","Cliques":"1","Visualizações públicas do YouTube":"1.943","Shorts":"—","Custo":"R$ 9,82"}</x:v>
      </x:c>
    </x:row>
    <x:row r="892" ht="24" customHeight="1">
      <x:c r="A892" s="32" t="str">
        <x:v>F018</x:v>
      </x:c>
      <x:c r="B892" s="32" t="str">
        <x:v>C03</x:v>
      </x:c>
      <x:c r="C892" s="32" t="n">
        <x:v>33</x:v>
      </x:c>
      <x:c r="D892" s="33" t="str">
        <x:v>{"Data":"dom., 2 de ago. de 2026","Cliques":"0","Visualizações públicas do YouTube":"2.054","Shorts":"—","Custo":"R$ 10,27"}</x:v>
      </x:c>
    </x:row>
    <x:row r="893" ht="24" customHeight="1">
      <x:c r="A893" s="32" t="str">
        <x:v>F018</x:v>
      </x:c>
      <x:c r="B893" s="32" t="str">
        <x:v>C03</x:v>
      </x:c>
      <x:c r="C893" s="32" t="n">
        <x:v>34</x:v>
      </x:c>
      <x:c r="D893" s="33" t="str">
        <x:v>{"Data":"seg., 3 de ago. de 2026","Cliques":"2","Visualizações públicas do YouTube":"2.054","Shorts":"—","Custo":"R$ 10,29"}</x:v>
      </x:c>
    </x:row>
    <x:row r="894" ht="24" customHeight="1">
      <x:c r="A894" s="32" t="str">
        <x:v>F018</x:v>
      </x:c>
      <x:c r="B894" s="32" t="str">
        <x:v>C03</x:v>
      </x:c>
      <x:c r="C894" s="32" t="n">
        <x:v>35</x:v>
      </x:c>
      <x:c r="D894" s="33" t="str">
        <x:v>{"Data":"ter., 4 de ago. de 2026","Cliques":"0","Visualizações públicas do YouTube":"2.102","Shorts":"—","Custo":"R$ 10,25"}</x:v>
      </x:c>
    </x:row>
    <x:row r="895" ht="24" customHeight="1">
      <x:c r="A895" s="32" t="str">
        <x:v>F018</x:v>
      </x:c>
      <x:c r="B895" s="32" t="str">
        <x:v>C03</x:v>
      </x:c>
      <x:c r="C895" s="32" t="n">
        <x:v>36</x:v>
      </x:c>
      <x:c r="D895" s="33" t="str">
        <x:v>{"Data":"qua., 5 de ago. de 2026","Cliques":"1","Visualizações públicas do YouTube":"1.954","Shorts":"—","Custo":"R$ 10,23"}</x:v>
      </x:c>
    </x:row>
    <x:row r="896" ht="24" customHeight="1">
      <x:c r="A896" s="32" t="str">
        <x:v>F018</x:v>
      </x:c>
      <x:c r="B896" s="32" t="str">
        <x:v>C03</x:v>
      </x:c>
      <x:c r="C896" s="32" t="n">
        <x:v>37</x:v>
      </x:c>
      <x:c r="D896" s="33" t="str">
        <x:v>{"Data":"qui., 6 de ago. de 2026","Cliques":"1","Visualizações públicas do YouTube":"2.124","Shorts":"—","Custo":"R$ 10,30"}</x:v>
      </x:c>
    </x:row>
    <x:row r="897" ht="24" customHeight="1">
      <x:c r="A897" s="32" t="str">
        <x:v>F018</x:v>
      </x:c>
      <x:c r="B897" s="32" t="str">
        <x:v>C03</x:v>
      </x:c>
      <x:c r="C897" s="32" t="n">
        <x:v>38</x:v>
      </x:c>
      <x:c r="D897" s="33" t="str">
        <x:v>{"Data":"sex., 7 de ago. de 2026","Cliques":"0","Visualizações públicas do YouTube":"2.057","Shorts":"—","Custo":"R$ 10,08"}</x:v>
      </x:c>
    </x:row>
    <x:row r="898" ht="24" customHeight="1">
      <x:c r="A898" s="32" t="str">
        <x:v>F018</x:v>
      </x:c>
      <x:c r="B898" s="32" t="str">
        <x:v>C03</x:v>
      </x:c>
      <x:c r="C898" s="32" t="n">
        <x:v>39</x:v>
      </x:c>
      <x:c r="D898" s="33" t="str">
        <x:v>{"Data":"sáb., 8 de ago. de 2026","Cliques":"1","Visualizações públicas do YouTube":"2.118","Shorts":"—","Custo":"R$ 10,16"}</x:v>
      </x:c>
    </x:row>
    <x:row r="899" ht="24" customHeight="1">
      <x:c r="A899" s="32" t="str">
        <x:v>F018</x:v>
      </x:c>
      <x:c r="B899" s="32" t="str">
        <x:v>C03</x:v>
      </x:c>
      <x:c r="C899" s="32" t="n">
        <x:v>40</x:v>
      </x:c>
      <x:c r="D899" s="33" t="str">
        <x:v>{"Data":"dom., 9 de ago. de 2026","Cliques":"0","Visualizações públicas do YouTube":"2.258","Shorts":"—","Custo":"R$ 10,16"}</x:v>
      </x:c>
    </x:row>
    <x:row r="900" ht="24" customHeight="1">
      <x:c r="A900" s="32" t="str">
        <x:v>F018</x:v>
      </x:c>
      <x:c r="B900" s="32" t="str">
        <x:v>C03</x:v>
      </x:c>
      <x:c r="C900" s="32" t="n">
        <x:v>41</x:v>
      </x:c>
      <x:c r="D900" s="33" t="str">
        <x:v>{"Data":"seg., 10 de ago. de 2026","Cliques":"0","Visualizações públicas do YouTube":"2.341","Shorts":"—","Custo":"R$ 10,14"}</x:v>
      </x:c>
    </x:row>
    <x:row r="901" ht="24" customHeight="1">
      <x:c r="A901" s="32" t="str">
        <x:v>F018</x:v>
      </x:c>
      <x:c r="B901" s="32" t="str">
        <x:v>C03</x:v>
      </x:c>
      <x:c r="C901" s="32" t="n">
        <x:v>42</x:v>
      </x:c>
      <x:c r="D901" s="33" t="str">
        <x:v>{"Data":"ter., 11 de ago. de 2026","Cliques":"1","Visualizações públicas do YouTube":"2.344","Shorts":"—","Custo":"R$ 10,18"}</x:v>
      </x:c>
    </x:row>
    <x:row r="902" ht="24" customHeight="1">
      <x:c r="A902" s="32" t="str">
        <x:v>F018</x:v>
      </x:c>
      <x:c r="B902" s="32" t="str">
        <x:v>C03</x:v>
      </x:c>
      <x:c r="C902" s="32" t="n">
        <x:v>43</x:v>
      </x:c>
      <x:c r="D902" s="33" t="str">
        <x:v>{"Data":"qua., 12 de ago. de 2026","Cliques":"0","Visualizações públicas do YouTube":"2.178","Shorts":"—","Custo":"R$ 10,07"}</x:v>
      </x:c>
    </x:row>
    <x:row r="903" ht="24" customHeight="1">
      <x:c r="A903" s="32" t="str">
        <x:v>F018</x:v>
      </x:c>
      <x:c r="B903" s="32" t="str">
        <x:v>C03</x:v>
      </x:c>
      <x:c r="C903" s="32" t="n">
        <x:v>44</x:v>
      </x:c>
      <x:c r="D903" s="33" t="str">
        <x:v>{"Data":"qui., 13 de ago. de 2026","Cliques":"0","Visualizações públicas do YouTube":"2.332","Shorts":"—","Custo":"R$ 10,06"}</x:v>
      </x:c>
    </x:row>
    <x:row r="904" ht="24" customHeight="1">
      <x:c r="A904" s="32" t="str">
        <x:v>F018</x:v>
      </x:c>
      <x:c r="B904" s="32" t="str">
        <x:v>C03</x:v>
      </x:c>
      <x:c r="C904" s="32" t="n">
        <x:v>45</x:v>
      </x:c>
      <x:c r="D904" s="33" t="str">
        <x:v>{"Data":"sex., 14 de ago. de 2026","Cliques":"0","Visualizações públicas do YouTube":"2.153","Shorts":"—","Custo":"R$ 10,00"}</x:v>
      </x:c>
    </x:row>
    <x:row r="905" ht="24" customHeight="1">
      <x:c r="A905" s="32" t="str">
        <x:v>F018</x:v>
      </x:c>
      <x:c r="B905" s="32" t="str">
        <x:v>C03</x:v>
      </x:c>
      <x:c r="C905" s="32" t="n">
        <x:v>46</x:v>
      </x:c>
      <x:c r="D905" s="33" t="str">
        <x:v>{"Data":"sáb., 15 de ago. de 2026","Cliques":"0","Visualizações públicas do YouTube":"2.361","Shorts":"—","Custo":"R$ 9,97"}</x:v>
      </x:c>
    </x:row>
    <x:row r="906" ht="24" customHeight="1">
      <x:c r="A906" s="32" t="str">
        <x:v>F018</x:v>
      </x:c>
      <x:c r="B906" s="32" t="str">
        <x:v>C03</x:v>
      </x:c>
      <x:c r="C906" s="32" t="n">
        <x:v>47</x:v>
      </x:c>
      <x:c r="D906" s="33" t="str">
        <x:v>{"Data":"dom., 16 de ago. de 2026","Cliques":"0","Visualizações públicas do YouTube":"2.416","Shorts":"—","Custo":"R$ 9,99"}</x:v>
      </x:c>
    </x:row>
    <x:row r="907" ht="24" customHeight="1">
      <x:c r="A907" s="32" t="str">
        <x:v>F018</x:v>
      </x:c>
      <x:c r="B907" s="32" t="str">
        <x:v>C03</x:v>
      </x:c>
      <x:c r="C907" s="32" t="n">
        <x:v>48</x:v>
      </x:c>
      <x:c r="D907" s="33" t="str">
        <x:v>{"Data":"seg., 17 de ago. de 2026","Cliques":"0","Visualizações públicas do YouTube":"2.273","Shorts":"—","Custo":"R$ 9,91"}</x:v>
      </x:c>
    </x:row>
    <x:row r="908" ht="24" customHeight="1">
      <x:c r="A908" s="32" t="str">
        <x:v>F018</x:v>
      </x:c>
      <x:c r="B908" s="32" t="str">
        <x:v>C03</x:v>
      </x:c>
      <x:c r="C908" s="32" t="n">
        <x:v>49</x:v>
      </x:c>
      <x:c r="D908" s="33" t="str">
        <x:v>{"Data":"ter., 18 de ago. de 2026","Cliques":"0","Visualizações públicas do YouTube":"2.286","Shorts":"—","Custo":"R$ 9,89"}</x:v>
      </x:c>
    </x:row>
    <x:row r="909" ht="24" customHeight="1">
      <x:c r="A909" s="32" t="str">
        <x:v>F018</x:v>
      </x:c>
      <x:c r="B909" s="32" t="str">
        <x:v>C03</x:v>
      </x:c>
      <x:c r="C909" s="32" t="n">
        <x:v>50</x:v>
      </x:c>
      <x:c r="D909" s="33" t="str">
        <x:v>{"Data":"qua., 19 de ago. de 2026","Cliques":"0","Visualizações públicas do YouTube":"2.162","Shorts":"—","Custo":"R$ 9,84"}</x:v>
      </x:c>
    </x:row>
    <x:row r="910" ht="24" customHeight="1">
      <x:c r="A910" s="32" t="str">
        <x:v>F018</x:v>
      </x:c>
      <x:c r="B910" s="32" t="str">
        <x:v>C03</x:v>
      </x:c>
      <x:c r="C910" s="32" t="n">
        <x:v>51</x:v>
      </x:c>
      <x:c r="D910" s="33" t="str">
        <x:v>{"Data":"qui., 20 de ago. de 2026","Cliques":"0","Visualizações públicas do YouTube":"2.065","Shorts":"—","Custo":"R$ 9,82"}</x:v>
      </x:c>
    </x:row>
    <x:row r="911" ht="24" customHeight="1">
      <x:c r="A911" s="32" t="str">
        <x:v>F018</x:v>
      </x:c>
      <x:c r="B911" s="32" t="str">
        <x:v>C03</x:v>
      </x:c>
      <x:c r="C911" s="32" t="n">
        <x:v>52</x:v>
      </x:c>
      <x:c r="D911" s="33" t="str">
        <x:v>{"Data":"sex., 21 de ago. de 2026","Cliques":"0","Visualizações públicas do YouTube":"1.860","Shorts":"—","Custo":"R$ 9,83"}</x:v>
      </x:c>
    </x:row>
    <x:row r="912" ht="24" customHeight="1">
      <x:c r="A912" s="32" t="str">
        <x:v>F018</x:v>
      </x:c>
      <x:c r="B912" s="32" t="str">
        <x:v>C03</x:v>
      </x:c>
      <x:c r="C912" s="32" t="n">
        <x:v>53</x:v>
      </x:c>
      <x:c r="D912" s="33" t="str">
        <x:v>{"Data":"sáb., 22 de ago. de 2026","Cliques":"0","Visualizações públicas do YouTube":"2.008","Shorts":"—","Custo":"R$ 9,66"}</x:v>
      </x:c>
    </x:row>
    <x:row r="913" ht="24" customHeight="1">
      <x:c r="A913" s="32" t="str">
        <x:v>F018</x:v>
      </x:c>
      <x:c r="B913" s="32" t="str">
        <x:v>C03</x:v>
      </x:c>
      <x:c r="C913" s="32" t="n">
        <x:v>54</x:v>
      </x:c>
      <x:c r="D913" s="33" t="str">
        <x:v>{"Data":"dom., 23 de ago. de 2026","Cliques":"0","Visualizações públicas do YouTube":"2.176","Shorts":"—","Custo":"R$ 9,70"}</x:v>
      </x:c>
    </x:row>
    <x:row r="914" ht="24" customHeight="1">
      <x:c r="A914" s="32" t="str">
        <x:v>F018</x:v>
      </x:c>
      <x:c r="B914" s="32" t="str">
        <x:v>C03</x:v>
      </x:c>
      <x:c r="C914" s="32" t="n">
        <x:v>55</x:v>
      </x:c>
      <x:c r="D914" s="33" t="str">
        <x:v>{"Data":"seg., 24 de ago. de 2026","Cliques":"3","Visualizações públicas do YouTube":"1.934","Shorts":"—","Custo":"R$ 9,61"}</x:v>
      </x:c>
    </x:row>
    <x:row r="915" ht="24" customHeight="1">
      <x:c r="A915" s="32" t="str">
        <x:v>F018</x:v>
      </x:c>
      <x:c r="B915" s="32" t="str">
        <x:v>C03</x:v>
      </x:c>
      <x:c r="C915" s="32" t="n">
        <x:v>56</x:v>
      </x:c>
      <x:c r="D915" s="33" t="str">
        <x:v>{"Data":"ter., 25 de ago. de 2026","Cliques":"0","Visualizações públicas do YouTube":"1.999","Shorts":"—","Custo":"R$ 9,53"}</x:v>
      </x:c>
    </x:row>
    <x:row r="916" ht="24" customHeight="1">
      <x:c r="A916" s="32" t="str">
        <x:v>F018</x:v>
      </x:c>
      <x:c r="B916" s="32" t="str">
        <x:v>C03</x:v>
      </x:c>
      <x:c r="C916" s="32" t="n">
        <x:v>57</x:v>
      </x:c>
      <x:c r="D916" s="33" t="str">
        <x:v>{"Data":"qua., 26 de ago. de 2026","Cliques":"1","Visualizações públicas do YouTube":"1.334","Shorts":"—","Custo":"R$ 6,79"}</x:v>
      </x:c>
    </x:row>
    <x:row r="917" ht="24" customHeight="1">
      <x:c r="A917" s="32" t="str">
        <x:v>F018</x:v>
      </x:c>
      <x:c r="B917" s="32" t="str">
        <x:v>C03</x:v>
      </x:c>
      <x:c r="C917" s="32" t="n">
        <x:v>58</x:v>
      </x:c>
      <x:c r="D917" s="33" t="str">
        <x:v>{"Data":"qui., 27 de ago. de 2026","Cliques":"2","Visualizações públicas do YouTube":"1.990","Shorts":"—","Custo":"R$ 12,10"}</x:v>
      </x:c>
    </x:row>
    <x:row r="918" ht="24" customHeight="1">
      <x:c r="A918" s="32" t="str">
        <x:v>F018</x:v>
      </x:c>
      <x:c r="B918" s="32" t="str">
        <x:v>C03</x:v>
      </x:c>
      <x:c r="C918" s="32" t="n">
        <x:v>59</x:v>
      </x:c>
      <x:c r="D918" s="33" t="str">
        <x:v>{"Data":"sex., 28 de ago. de 2026","Cliques":"1","Visualizações públicas do YouTube":"1.519","Shorts":"—","Custo":"R$ 9,27"}</x:v>
      </x:c>
    </x:row>
    <x:row r="919" ht="24" customHeight="1">
      <x:c r="A919" s="32" t="str">
        <x:v>F018</x:v>
      </x:c>
      <x:c r="B919" s="32" t="str">
        <x:v>C03</x:v>
      </x:c>
      <x:c r="C919" s="32" t="n">
        <x:v>60</x:v>
      </x:c>
      <x:c r="D919" s="33" t="str">
        <x:v>{"Data":"sáb., 29 de ago. de 2026","Cliques":"0","Visualizações públicas do YouTube":"1.622","Shorts":"—","Custo":"R$ 9,14"}</x:v>
      </x:c>
    </x:row>
    <x:row r="920" ht="24" customHeight="1">
      <x:c r="A920" s="32" t="str">
        <x:v>F018</x:v>
      </x:c>
      <x:c r="B920" s="32" t="str">
        <x:v>C03</x:v>
      </x:c>
      <x:c r="C920" s="32" t="n">
        <x:v>61</x:v>
      </x:c>
      <x:c r="D920" s="33" t="str">
        <x:v>{"Data":"dom., 30 de ago. de 2026","Cliques":"0","Visualizações públicas do YouTube":"1.686","Shorts":"—","Custo":"R$ 8,98"}</x:v>
      </x:c>
    </x:row>
    <x:row r="921" ht="24" customHeight="1">
      <x:c r="A921" s="32" t="str">
        <x:v>F018</x:v>
      </x:c>
      <x:c r="B921" s="32" t="str">
        <x:v>C03</x:v>
      </x:c>
      <x:c r="C921" s="32" t="n">
        <x:v>62</x:v>
      </x:c>
      <x:c r="D921" s="33" t="str">
        <x:v>{"Data":"seg., 31 de ago. de 2026","Cliques":"0","Visualizações públicas do YouTube":"1.630","Shorts":"—","Custo":"R$ 8,33"}</x:v>
      </x:c>
    </x:row>
    <x:row r="922" ht="24" customHeight="1">
      <x:c r="A922" s="32" t="str">
        <x:v>F018</x:v>
      </x:c>
      <x:c r="B922" s="32" t="str">
        <x:v>C03</x:v>
      </x:c>
      <x:c r="C922" s="32" t="n">
        <x:v>63</x:v>
      </x:c>
      <x:c r="D922" s="33" t="str">
        <x:v>{"Data":"ter., 1 de set. de 2026","Cliques":"0","Visualizações públicas do YouTube":"2.474","Shorts":"—","Custo":"R$ 10,56"}</x:v>
      </x:c>
    </x:row>
    <x:row r="923" ht="24" customHeight="1">
      <x:c r="A923" s="32" t="str">
        <x:v>F018</x:v>
      </x:c>
      <x:c r="B923" s="32" t="str">
        <x:v>C03</x:v>
      </x:c>
      <x:c r="C923" s="32" t="n">
        <x:v>64</x:v>
      </x:c>
      <x:c r="D923" s="33" t="str">
        <x:v>{"Data":"qua., 2 de set. de 2026","Cliques":"0","Visualizações públicas do YouTube":"1.958","Shorts":"—","Custo":"R$ 10,62"}</x:v>
      </x:c>
    </x:row>
    <x:row r="924" ht="24" customHeight="1">
      <x:c r="A924" s="32" t="str">
        <x:v>F018</x:v>
      </x:c>
      <x:c r="B924" s="32" t="str">
        <x:v>C03</x:v>
      </x:c>
      <x:c r="C924" s="32" t="n">
        <x:v>65</x:v>
      </x:c>
      <x:c r="D924" s="33" t="str">
        <x:v>{"Data":"qui., 3 de set. de 2026","Cliques":"0","Visualizações públicas do YouTube":"2.427","Shorts":"—","Custo":"R$ 10,54"}</x:v>
      </x:c>
    </x:row>
    <x:row r="925" ht="24" customHeight="1">
      <x:c r="A925" s="32" t="str">
        <x:v>F018</x:v>
      </x:c>
      <x:c r="B925" s="32" t="str">
        <x:v>C03</x:v>
      </x:c>
      <x:c r="C925" s="32" t="n">
        <x:v>66</x:v>
      </x:c>
      <x:c r="D925" s="33" t="str">
        <x:v>{"Data":"sex., 4 de set. de 2026","Cliques":"0","Visualizações públicas do YouTube":"2.394","Shorts":"—","Custo":"R$ 10,26"}</x:v>
      </x:c>
    </x:row>
    <x:row r="926" ht="24" customHeight="1">
      <x:c r="A926" s="32" t="str">
        <x:v>F018</x:v>
      </x:c>
      <x:c r="B926" s="32" t="str">
        <x:v>C03</x:v>
      </x:c>
      <x:c r="C926" s="32" t="n">
        <x:v>67</x:v>
      </x:c>
      <x:c r="D926" s="33" t="str">
        <x:v>{"Data":"sáb., 5 de set. de 2026","Cliques":"0","Visualizações públicas do YouTube":"1.960","Shorts":"—","Custo":"R$ 10,60"}</x:v>
      </x:c>
    </x:row>
    <x:row r="927" ht="24" customHeight="1">
      <x:c r="A927" s="32" t="str">
        <x:v>F018</x:v>
      </x:c>
      <x:c r="B927" s="32" t="str">
        <x:v>C03</x:v>
      </x:c>
      <x:c r="C927" s="32" t="n">
        <x:v>68</x:v>
      </x:c>
      <x:c r="D927" s="33" t="str">
        <x:v>{"Data":"dom., 6 de set. de 2026","Cliques":"0","Visualizações públicas do YouTube":"2.229","Shorts":"—","Custo":"R$ 10,60"}</x:v>
      </x:c>
    </x:row>
    <x:row r="928" ht="24" customHeight="1">
      <x:c r="A928" s="32" t="str">
        <x:v>F018</x:v>
      </x:c>
      <x:c r="B928" s="32" t="str">
        <x:v>C03</x:v>
      </x:c>
      <x:c r="C928" s="32" t="n">
        <x:v>69</x:v>
      </x:c>
      <x:c r="D928" s="33" t="str">
        <x:v>{"Data":"seg., 7 de set. de 2026","Cliques":"0","Visualizações públicas do YouTube":"2.471","Shorts":"—","Custo":"R$ 10,49"}</x:v>
      </x:c>
    </x:row>
    <x:row r="929" ht="24" customHeight="1">
      <x:c r="A929" s="32" t="str">
        <x:v>F018</x:v>
      </x:c>
      <x:c r="B929" s="32" t="str">
        <x:v>C03</x:v>
      </x:c>
      <x:c r="C929" s="32" t="n">
        <x:v>70</x:v>
      </x:c>
      <x:c r="D929" s="33" t="str">
        <x:v>{"Data":"ter., 8 de set. de 2026","Cliques":"0","Visualizações públicas do YouTube":"2.481","Shorts":"—","Custo":"R$ 10,56"}</x:v>
      </x:c>
    </x:row>
    <x:row r="930" ht="24" customHeight="1">
      <x:c r="A930" s="32" t="str">
        <x:v>F018</x:v>
      </x:c>
      <x:c r="B930" s="32" t="str">
        <x:v>C03</x:v>
      </x:c>
      <x:c r="C930" s="32" t="n">
        <x:v>71</x:v>
      </x:c>
      <x:c r="D930" s="33" t="str">
        <x:v>{"Data":"qua., 9 de set. de 2026","Cliques":"0","Visualizações públicas do YouTube":"2.493","Shorts":"—","Custo":"R$ 10,50"}</x:v>
      </x:c>
    </x:row>
    <x:row r="931" ht="24" customHeight="1">
      <x:c r="A931" s="32" t="str">
        <x:v>F018</x:v>
      </x:c>
      <x:c r="B931" s="32" t="str">
        <x:v>C03</x:v>
      </x:c>
      <x:c r="C931" s="32" t="n">
        <x:v>72</x:v>
      </x:c>
      <x:c r="D931" s="33" t="str">
        <x:v>{"Data":"qui., 10 de set. de 2026","Cliques":"0","Visualizações públicas do YouTube":"2.379","Shorts":"—","Custo":"R$ 10,51"}</x:v>
      </x:c>
    </x:row>
    <x:row r="932" ht="24" customHeight="1">
      <x:c r="A932" s="32" t="str">
        <x:v>F018</x:v>
      </x:c>
      <x:c r="B932" s="32" t="str">
        <x:v>C03</x:v>
      </x:c>
      <x:c r="C932" s="32" t="n">
        <x:v>73</x:v>
      </x:c>
      <x:c r="D932" s="33" t="str">
        <x:v>{"Data":"sex., 11 de set. de 2026","Cliques":"0","Visualizações públicas do YouTube":"2.388","Shorts":"—","Custo":"R$ 10,47"}</x:v>
      </x:c>
    </x:row>
    <x:row r="933" ht="24" customHeight="1">
      <x:c r="A933" s="32" t="str">
        <x:v>F018</x:v>
      </x:c>
      <x:c r="B933" s="32" t="str">
        <x:v>C03</x:v>
      </x:c>
      <x:c r="C933" s="32" t="n">
        <x:v>74</x:v>
      </x:c>
      <x:c r="D933" s="33" t="str">
        <x:v>{"Data":"sáb., 12 de set. de 2026","Cliques":"0","Visualizações públicas do YouTube":"2.404","Shorts":"—","Custo":"R$ 10,42"}</x:v>
      </x:c>
    </x:row>
    <x:row r="934" ht="24" customHeight="1">
      <x:c r="A934" s="32" t="str">
        <x:v>F018</x:v>
      </x:c>
      <x:c r="B934" s="32" t="str">
        <x:v>C03</x:v>
      </x:c>
      <x:c r="C934" s="32" t="n">
        <x:v>75</x:v>
      </x:c>
      <x:c r="D934" s="33" t="str">
        <x:v>{"Data":"dom., 13 de set. de 2026","Cliques":"1","Visualizações públicas do YouTube":"2.484","Shorts":"—","Custo":"R$ 10,41"}</x:v>
      </x:c>
    </x:row>
    <x:row r="935" ht="24" customHeight="1">
      <x:c r="A935" s="32" t="str">
        <x:v>F018</x:v>
      </x:c>
      <x:c r="B935" s="32" t="str">
        <x:v>C03</x:v>
      </x:c>
      <x:c r="C935" s="32" t="n">
        <x:v>76</x:v>
      </x:c>
      <x:c r="D935" s="33" t="str">
        <x:v>{"Data":"seg., 14 de set. de 2026","Cliques":"0","Visualizações públicas do YouTube":"2.350","Shorts":"—","Custo":"R$ 10,36"}</x:v>
      </x:c>
    </x:row>
    <x:row r="936" ht="24" customHeight="1">
      <x:c r="A936" s="32" t="str">
        <x:v>F018</x:v>
      </x:c>
      <x:c r="B936" s="32" t="str">
        <x:v>C03</x:v>
      </x:c>
      <x:c r="C936" s="32" t="n">
        <x:v>77</x:v>
      </x:c>
      <x:c r="D936" s="33" t="str">
        <x:v>{"Data":"ter., 15 de set. de 2026","Cliques":"0","Visualizações públicas do YouTube":"2.483","Shorts":"—","Custo":"R$ 10,30"}</x:v>
      </x:c>
    </x:row>
    <x:row r="937" ht="24" customHeight="1">
      <x:c r="A937" s="32" t="str">
        <x:v>F018</x:v>
      </x:c>
      <x:c r="B937" s="32" t="str">
        <x:v>C03</x:v>
      </x:c>
      <x:c r="C937" s="32" t="n">
        <x:v>78</x:v>
      </x:c>
      <x:c r="D937" s="33" t="str">
        <x:v>{"Data":"qua., 16 de set. de 2026","Cliques":"0","Visualizações públicas do YouTube":"2.445","Shorts":"—","Custo":"R$ 10,28"}</x:v>
      </x:c>
    </x:row>
    <x:row r="938" ht="24" customHeight="1">
      <x:c r="A938" s="32" t="str">
        <x:v>F018</x:v>
      </x:c>
      <x:c r="B938" s="32" t="str">
        <x:v>C03</x:v>
      </x:c>
      <x:c r="C938" s="32" t="n">
        <x:v>79</x:v>
      </x:c>
      <x:c r="D938" s="33" t="str">
        <x:v>{"Data":"qui., 17 de set. de 2026","Cliques":"0","Visualizações públicas do YouTube":"2.333","Shorts":"—","Custo":"R$ 10,27"}</x:v>
      </x:c>
    </x:row>
    <x:row r="939" ht="24" customHeight="1">
      <x:c r="A939" s="32" t="str">
        <x:v>F018</x:v>
      </x:c>
      <x:c r="B939" s="32" t="str">
        <x:v>C03</x:v>
      </x:c>
      <x:c r="C939" s="32" t="n">
        <x:v>80</x:v>
      </x:c>
      <x:c r="D939" s="33" t="str">
        <x:v>{"Data":"sex., 18 de set. de 2026","Cliques":"0","Visualizações públicas do YouTube":"2.287","Shorts":"—","Custo":"R$ 10,18"}</x:v>
      </x:c>
    </x:row>
    <x:row r="940" ht="24" customHeight="1">
      <x:c r="A940" s="32" t="str">
        <x:v>F018</x:v>
      </x:c>
      <x:c r="B940" s="32" t="str">
        <x:v>C03</x:v>
      </x:c>
      <x:c r="C940" s="32" t="n">
        <x:v>81</x:v>
      </x:c>
      <x:c r="D940" s="33" t="str">
        <x:v>{"Data":"sáb., 19 de set. de 2026","Cliques":"0","Visualizações públicas do YouTube":"2.458","Shorts":"—","Custo":"R$ 10,19"}</x:v>
      </x:c>
    </x:row>
    <x:row r="941" ht="24" customHeight="1">
      <x:c r="A941" s="32" t="str">
        <x:v>F018</x:v>
      </x:c>
      <x:c r="B941" s="32" t="str">
        <x:v>C03</x:v>
      </x:c>
      <x:c r="C941" s="32" t="n">
        <x:v>82</x:v>
      </x:c>
      <x:c r="D941" s="33" t="str">
        <x:v>{"Data":"dom., 20 de set. de 2026","Cliques":"0","Visualizações públicas do YouTube":"2.374","Shorts":"—","Custo":"R$ 10,16"}</x:v>
      </x:c>
    </x:row>
    <x:row r="942" ht="24" customHeight="1">
      <x:c r="A942" s="32" t="str">
        <x:v>F018</x:v>
      </x:c>
      <x:c r="B942" s="32" t="str">
        <x:v>C03</x:v>
      </x:c>
      <x:c r="C942" s="32" t="n">
        <x:v>83</x:v>
      </x:c>
      <x:c r="D942" s="33" t="str">
        <x:v>{"Data":"seg., 21 de set. de 2026","Cliques":"0","Visualizações públicas do YouTube":"2.306","Shorts":"—","Custo":"R$ 10,11"}</x:v>
      </x:c>
    </x:row>
    <x:row r="943" ht="24" customHeight="1">
      <x:c r="A943" s="32" t="str">
        <x:v>F018</x:v>
      </x:c>
      <x:c r="B943" s="32" t="str">
        <x:v>C03</x:v>
      </x:c>
      <x:c r="C943" s="32" t="n">
        <x:v>84</x:v>
      </x:c>
      <x:c r="D943" s="33" t="str">
        <x:v>{"Data":"ter., 22 de set. de 2026","Cliques":"0","Visualizações públicas do YouTube":"2.291","Shorts":"—","Custo":"R$ 9,98"}</x:v>
      </x:c>
    </x:row>
    <x:row r="944" ht="24" customHeight="1">
      <x:c r="A944" s="32" t="str">
        <x:v>F018</x:v>
      </x:c>
      <x:c r="B944" s="32" t="str">
        <x:v>C03</x:v>
      </x:c>
      <x:c r="C944" s="32" t="n">
        <x:v>85</x:v>
      </x:c>
      <x:c r="D944" s="33" t="str">
        <x:v>{"Data":"qua., 23 de set. de 2026","Cliques":"0","Visualizações públicas do YouTube":"2.306","Shorts":"—","Custo":"R$ 9,96"}</x:v>
      </x:c>
    </x:row>
    <x:row r="945" ht="24" customHeight="1">
      <x:c r="A945" s="32" t="str">
        <x:v>F018</x:v>
      </x:c>
      <x:c r="B945" s="32" t="str">
        <x:v>C03</x:v>
      </x:c>
      <x:c r="C945" s="32" t="n">
        <x:v>86</x:v>
      </x:c>
      <x:c r="D945" s="33" t="str">
        <x:v>{"Data":"qui., 24 de set. de 2026","Cliques":"0","Visualizações públicas do YouTube":"166","Shorts":"—","Custo":"R$ 0,76"}</x:v>
      </x:c>
    </x:row>
    <x:row r="946" ht="24" customHeight="1">
      <x:c r="A946" s="32" t="str">
        <x:v>F018</x:v>
      </x:c>
      <x:c r="B946" s="32" t="str">
        <x:v>C03</x:v>
      </x:c>
      <x:c r="C946" s="32" t="n">
        <x:v>87</x:v>
      </x:c>
      <x:c r="D946" s="33" t="str">
        <x:v>{"Data":"sex., 25 de set. de 2026","Cliques":"0","Visualizações públicas do YouTube":"12","Shorts":"—","Custo":"R$ 0,03"}</x:v>
      </x:c>
    </x:row>
    <x:row r="947" ht="24" customHeight="1">
      <x:c r="A947" s="32" t="str">
        <x:v>F018</x:v>
      </x:c>
      <x:c r="B947" s="32" t="str">
        <x:v>C03</x:v>
      </x:c>
      <x:c r="C947" s="32" t="n">
        <x:v>88</x:v>
      </x:c>
      <x:c r="D947" s="33" t="str">
        <x:v>{"Data":"sáb., 26 de set. de 2026","Cliques":"0","Visualizações públicas do YouTube":"0","Shorts":"—","Custo":"R$ 0,00"}</x:v>
      </x:c>
    </x:row>
    <x:row r="948" ht="24" customHeight="1">
      <x:c r="A948" s="32" t="str">
        <x:v>F018</x:v>
      </x:c>
      <x:c r="B948" s="32" t="str">
        <x:v>C03</x:v>
      </x:c>
      <x:c r="C948" s="32" t="n">
        <x:v>89</x:v>
      </x:c>
      <x:c r="D948" s="33" t="str">
        <x:v>{"Data":"dom., 27 de set. de 2026","Cliques":"0","Visualizações públicas do YouTube":"1","Shorts":"—","Custo":"R$ 0,01"}</x:v>
      </x:c>
    </x:row>
    <x:row r="949" ht="24" customHeight="1">
      <x:c r="A949" s="32" t="str">
        <x:v>F018</x:v>
      </x:c>
      <x:c r="B949" s="32" t="str">
        <x:v>C03</x:v>
      </x:c>
      <x:c r="C949" s="32" t="n">
        <x:v>90</x:v>
      </x:c>
      <x:c r="D949" s="33" t="str">
        <x:v>{"Data":"seg., 28 de set. de 2026","Cliques":"0","Visualizações públicas do YouTube":"0","Shorts":"—","Custo":"R$ 0,00"}</x:v>
      </x:c>
    </x:row>
    <x:row r="950" ht="24" customHeight="1">
      <x:c r="A950" s="32" t="str">
        <x:v>F018</x:v>
      </x:c>
      <x:c r="B950" s="32" t="str">
        <x:v>C03</x:v>
      </x:c>
      <x:c r="C950" s="32" t="n">
        <x:v>91</x:v>
      </x:c>
      <x:c r="D950" s="33" t="str">
        <x:v>{"Data":"ter., 29 de set. de 2026","Cliques":"0","Visualizações públicas do YouTube":"3","Shorts":"—","Custo":"R$ 0,02"}</x:v>
      </x:c>
    </x:row>
    <x:row r="951" ht="24" customHeight="1">
      <x:c r="A951" s="32" t="str">
        <x:v>F018</x:v>
      </x:c>
      <x:c r="B951" s="32" t="str">
        <x:v>C03</x:v>
      </x:c>
      <x:c r="C951" s="32" t="n">
        <x:v>92</x:v>
      </x:c>
      <x:c r="D951" s="33" t="str">
        <x:v>{"Data":"qua., 30 de set. de 2026","Cliques":"0","Visualizações públicas do YouTube":"0","Shorts":"—","Custo":"R$ 0,00"}</x:v>
      </x:c>
    </x:row>
    <x:row r="952" ht="24" customHeight="1">
      <x:c r="A952" s="32" t="str">
        <x:v>F018</x:v>
      </x:c>
      <x:c r="B952" s="32" t="str">
        <x:v>C03</x:v>
      </x:c>
      <x:c r="C952" s="32" t="n">
        <x:v>93</x:v>
      </x:c>
      <x:c r="D952" s="33" t="str">
        <x:v>{"Data":"qui., 1 de out. de 2026","Cliques":"0","Visualizações públicas do YouTube":"2.307","Shorts":"—","Custo":"R$ 9,80"}</x:v>
      </x:c>
    </x:row>
    <x:row r="953" ht="24" customHeight="1">
      <x:c r="A953" s="32" t="str">
        <x:v>F018</x:v>
      </x:c>
      <x:c r="B953" s="32" t="str">
        <x:v>C03</x:v>
      </x:c>
      <x:c r="C953" s="32" t="n">
        <x:v>94</x:v>
      </x:c>
      <x:c r="D953" s="33" t="str">
        <x:v>{"Data":"sex., 2 de out. de 2026","Cliques":"0","Visualizações públicas do YouTube":"2.969","Shorts":"—","Custo":"R$ 10,30"}</x:v>
      </x:c>
    </x:row>
    <x:row r="954" ht="24" customHeight="1">
      <x:c r="A954" s="32" t="str">
        <x:v>F018</x:v>
      </x:c>
      <x:c r="B954" s="32" t="str">
        <x:v>C03</x:v>
      </x:c>
      <x:c r="C954" s="32" t="n">
        <x:v>95</x:v>
      </x:c>
      <x:c r="D954" s="33" t="str">
        <x:v>{"Data":"sáb., 3 de out. de 2026","Cliques":"2","Visualizações públicas do YouTube":"2.748","Shorts":"—","Custo":"R$ 10,28"}</x:v>
      </x:c>
    </x:row>
    <x:row r="955" ht="24" customHeight="1">
      <x:c r="A955" s="32" t="str">
        <x:v>F018</x:v>
      </x:c>
      <x:c r="B955" s="32" t="str">
        <x:v>C03</x:v>
      </x:c>
      <x:c r="C955" s="32" t="n">
        <x:v>96</x:v>
      </x:c>
      <x:c r="D955" s="33" t="str">
        <x:v>{"Data":"dom., 4 de out. de 2026","Cliques":"1","Visualizações públicas do YouTube":"2.592","Shorts":"—","Custo":"R$ 10,29"}</x:v>
      </x:c>
    </x:row>
    <x:row r="956" ht="24" customHeight="1">
      <x:c r="A956" s="32" t="str">
        <x:v>F018</x:v>
      </x:c>
      <x:c r="B956" s="32" t="str">
        <x:v>C03</x:v>
      </x:c>
      <x:c r="C956" s="32" t="n">
        <x:v>97</x:v>
      </x:c>
      <x:c r="D956" s="33" t="str">
        <x:v>{"Data":"seg., 5 de out. de 2026","Cliques":"0","Visualizações públicas do YouTube":"2.907","Shorts":"—","Custo":"R$ 10,23"}</x:v>
      </x:c>
    </x:row>
    <x:row r="957" ht="24" customHeight="1">
      <x:c r="A957" s="32" t="str">
        <x:v>F018</x:v>
      </x:c>
      <x:c r="B957" s="32" t="str">
        <x:v>C03</x:v>
      </x:c>
      <x:c r="C957" s="32" t="n">
        <x:v>98</x:v>
      </x:c>
      <x:c r="D957" s="33" t="str">
        <x:v>{"Data":"ter., 6 de out. de 2026","Cliques":"0","Visualizações públicas do YouTube":"2.814","Shorts":"—","Custo":"R$ 10,14"}</x:v>
      </x:c>
    </x:row>
    <x:row r="958" ht="24" customHeight="1">
      <x:c r="A958" s="32" t="str">
        <x:v>F018</x:v>
      </x:c>
      <x:c r="B958" s="32" t="str">
        <x:v>C03</x:v>
      </x:c>
      <x:c r="C958" s="32" t="n">
        <x:v>99</x:v>
      </x:c>
      <x:c r="D958" s="33" t="str">
        <x:v>{"Data":"qua., 7 de out. de 2026","Cliques":"0","Visualizações públicas do YouTube":"2.787","Shorts":"—","Custo":"R$ 10,21"}</x:v>
      </x:c>
    </x:row>
    <x:row r="959" ht="24" customHeight="1">
      <x:c r="A959" s="32" t="str">
        <x:v>F018</x:v>
      </x:c>
      <x:c r="B959" s="32" t="str">
        <x:v>C03</x:v>
      </x:c>
      <x:c r="C959" s="32" t="n">
        <x:v>100</x:v>
      </x:c>
      <x:c r="D959" s="33" t="str">
        <x:v>{"Data":"qui., 8 de out. de 2026","Cliques":"1","Visualizações públicas do YouTube":"2.656","Shorts":"—","Custo":"R$ 10,41"}</x:v>
      </x:c>
    </x:row>
    <x:row r="960" ht="24" customHeight="1">
      <x:c r="A960" s="32" t="str">
        <x:v>F018</x:v>
      </x:c>
      <x:c r="B960" s="32" t="str">
        <x:v>C03</x:v>
      </x:c>
      <x:c r="C960" s="32" t="n">
        <x:v>101</x:v>
      </x:c>
      <x:c r="D960" s="33" t="str">
        <x:v>{"Data":"sex., 9 de out. de 2026","Cliques":"0","Visualizações públicas do YouTube":"2.748","Shorts":"—","Custo":"R$ 10,27"}</x:v>
      </x:c>
    </x:row>
    <x:row r="961" ht="24" customHeight="1">
      <x:c r="A961" s="32" t="str">
        <x:v>F018</x:v>
      </x:c>
      <x:c r="B961" s="32" t="str">
        <x:v>C03</x:v>
      </x:c>
      <x:c r="C961" s="32" t="n">
        <x:v>102</x:v>
      </x:c>
      <x:c r="D961" s="33" t="str">
        <x:v>{"Data":"sáb., 10 de out. de 2026","Cliques":"0","Visualizações públicas do YouTube":"2.465","Shorts":"—","Custo":"R$ 10,18"}</x:v>
      </x:c>
    </x:row>
    <x:row r="962" ht="24" customHeight="1">
      <x:c r="A962" s="32" t="str">
        <x:v>F018</x:v>
      </x:c>
      <x:c r="B962" s="32" t="str">
        <x:v>C03</x:v>
      </x:c>
      <x:c r="C962" s="32" t="n">
        <x:v>103</x:v>
      </x:c>
      <x:c r="D962" s="33" t="str">
        <x:v>{"Data":"dom., 11 de out. de 2026","Cliques":"0","Visualizações públicas do YouTube":"2.588","Shorts":"—","Custo":"R$ 10,07"}</x:v>
      </x:c>
    </x:row>
    <x:row r="963" ht="24" customHeight="1">
      <x:c r="A963" s="32" t="str">
        <x:v>F018</x:v>
      </x:c>
      <x:c r="B963" s="32" t="str">
        <x:v>C03</x:v>
      </x:c>
      <x:c r="C963" s="32" t="n">
        <x:v>104</x:v>
      </x:c>
      <x:c r="D963" s="33" t="str">
        <x:v>{"Data":"seg., 12 de out. de 2026","Cliques":"0","Visualizações públicas do YouTube":"2.721","Shorts":"—","Custo":"R$ 10,10"}</x:v>
      </x:c>
    </x:row>
    <x:row r="964" ht="24" customHeight="1">
      <x:c r="A964" s="32" t="str">
        <x:v>F018</x:v>
      </x:c>
      <x:c r="B964" s="32" t="str">
        <x:v>C03</x:v>
      </x:c>
      <x:c r="C964" s="32" t="n">
        <x:v>105</x:v>
      </x:c>
      <x:c r="D964" s="33" t="str">
        <x:v>{"Data":"ter., 13 de out. de 2026","Cliques":"0","Visualizações públicas do YouTube":"3.008","Shorts":"—","Custo":"R$ 10,07"}</x:v>
      </x:c>
    </x:row>
    <x:row r="965" ht="24" customHeight="1">
      <x:c r="A965" s="32" t="str">
        <x:v>F019</x:v>
      </x:c>
      <x:c r="B965" s="32" t="str">
        <x:v>C03</x:v>
      </x:c>
      <x:c r="C965" s="32" t="n">
        <x:v>1</x:v>
      </x:c>
      <x:c r="D965" s="33" t="str">
        <x:v>{"Data":"qua., 1 de jul. de 2026","Impr.":"0","Visualizações públicas do YouTube":"0","Custo":"R$ 0,00","Cliques":"0"}</x:v>
      </x:c>
    </x:row>
    <x:row r="966" ht="24" customHeight="1">
      <x:c r="A966" s="32" t="str">
        <x:v>F019</x:v>
      </x:c>
      <x:c r="B966" s="32" t="str">
        <x:v>C03</x:v>
      </x:c>
      <x:c r="C966" s="32" t="n">
        <x:v>2</x:v>
      </x:c>
      <x:c r="D966" s="33" t="str">
        <x:v>{"Data":"qui., 2 de jul. de 2026","Impr.":"0","Visualizações públicas do YouTube":"0","Custo":"R$ 0,00","Cliques":"0"}</x:v>
      </x:c>
    </x:row>
    <x:row r="967" ht="24" customHeight="1">
      <x:c r="A967" s="32" t="str">
        <x:v>F019</x:v>
      </x:c>
      <x:c r="B967" s="32" t="str">
        <x:v>C03</x:v>
      </x:c>
      <x:c r="C967" s="32" t="n">
        <x:v>3</x:v>
      </x:c>
      <x:c r="D967" s="33" t="str">
        <x:v>{"Data":"sex., 3 de jul. de 2026","Impr.":"0","Visualizações públicas do YouTube":"0","Custo":"R$ 0,00","Cliques":"0"}</x:v>
      </x:c>
    </x:row>
    <x:row r="968" ht="24" customHeight="1">
      <x:c r="A968" s="32" t="str">
        <x:v>F019</x:v>
      </x:c>
      <x:c r="B968" s="32" t="str">
        <x:v>C03</x:v>
      </x:c>
      <x:c r="C968" s="32" t="n">
        <x:v>4</x:v>
      </x:c>
      <x:c r="D968" s="33" t="str">
        <x:v>{"Data":"sáb., 4 de jul. de 2026","Impr.":"0","Visualizações públicas do YouTube":"0","Custo":"R$ 0,00","Cliques":"0"}</x:v>
      </x:c>
    </x:row>
    <x:row r="969" ht="24" customHeight="1">
      <x:c r="A969" s="32" t="str">
        <x:v>F019</x:v>
      </x:c>
      <x:c r="B969" s="32" t="str">
        <x:v>C03</x:v>
      </x:c>
      <x:c r="C969" s="32" t="n">
        <x:v>5</x:v>
      </x:c>
      <x:c r="D969" s="33" t="str">
        <x:v>{"Data":"dom., 5 de jul. de 2026","Impr.":"0","Visualizações públicas do YouTube":"0","Custo":"R$ 0,00","Cliques":"0"}</x:v>
      </x:c>
    </x:row>
    <x:row r="970" ht="24" customHeight="1">
      <x:c r="A970" s="32" t="str">
        <x:v>F019</x:v>
      </x:c>
      <x:c r="B970" s="32" t="str">
        <x:v>C03</x:v>
      </x:c>
      <x:c r="C970" s="32" t="n">
        <x:v>6</x:v>
      </x:c>
      <x:c r="D970" s="33" t="str">
        <x:v>{"Data":"seg., 6 de jul. de 2026","Impr.":"0","Visualizações públicas do YouTube":"0","Custo":"R$ 0,00","Cliques":"0"}</x:v>
      </x:c>
    </x:row>
    <x:row r="971" ht="24" customHeight="1">
      <x:c r="A971" s="32" t="str">
        <x:v>F019</x:v>
      </x:c>
      <x:c r="B971" s="32" t="str">
        <x:v>C03</x:v>
      </x:c>
      <x:c r="C971" s="32" t="n">
        <x:v>7</x:v>
      </x:c>
      <x:c r="D971" s="33" t="str">
        <x:v>{"Data":"ter., 7 de jul. de 2026","Impr.":"0","Visualizações públicas do YouTube":"0","Custo":"R$ 0,00","Cliques":"0"}</x:v>
      </x:c>
    </x:row>
    <x:row r="972" ht="24" customHeight="1">
      <x:c r="A972" s="32" t="str">
        <x:v>F019</x:v>
      </x:c>
      <x:c r="B972" s="32" t="str">
        <x:v>C03</x:v>
      </x:c>
      <x:c r="C972" s="32" t="n">
        <x:v>8</x:v>
      </x:c>
      <x:c r="D972" s="33" t="str">
        <x:v>{"Data":"qua., 8 de jul. de 2026","Impr.":"0","Visualizações públicas do YouTube":"0","Custo":"R$ 0,00","Cliques":"0"}</x:v>
      </x:c>
    </x:row>
    <x:row r="973" ht="24" customHeight="1">
      <x:c r="A973" s="32" t="str">
        <x:v>F019</x:v>
      </x:c>
      <x:c r="B973" s="32" t="str">
        <x:v>C03</x:v>
      </x:c>
      <x:c r="C973" s="32" t="n">
        <x:v>9</x:v>
      </x:c>
      <x:c r="D973" s="33" t="str">
        <x:v>{"Data":"qui., 9 de jul. de 2026","Impr.":"0","Visualizações públicas do YouTube":"0","Custo":"R$ 0,00","Cliques":"0"}</x:v>
      </x:c>
    </x:row>
    <x:row r="974" ht="24" customHeight="1">
      <x:c r="A974" s="32" t="str">
        <x:v>F019</x:v>
      </x:c>
      <x:c r="B974" s="32" t="str">
        <x:v>C03</x:v>
      </x:c>
      <x:c r="C974" s="32" t="n">
        <x:v>10</x:v>
      </x:c>
      <x:c r="D974" s="33" t="str">
        <x:v>{"Data":"sex., 10 de jul. de 2026","Impr.":"0","Visualizações públicas do YouTube":"0","Custo":"R$ 0,00","Cliques":"0"}</x:v>
      </x:c>
    </x:row>
    <x:row r="975" ht="24" customHeight="1">
      <x:c r="A975" s="32" t="str">
        <x:v>F019</x:v>
      </x:c>
      <x:c r="B975" s="32" t="str">
        <x:v>C03</x:v>
      </x:c>
      <x:c r="C975" s="32" t="n">
        <x:v>11</x:v>
      </x:c>
      <x:c r="D975" s="33" t="str">
        <x:v>{"Data":"sáb., 11 de jul. de 2026","Impr.":"0","Visualizações públicas do YouTube":"0","Custo":"R$ 0,00","Cliques":"0"}</x:v>
      </x:c>
    </x:row>
    <x:row r="976" ht="24" customHeight="1">
      <x:c r="A976" s="32" t="str">
        <x:v>F019</x:v>
      </x:c>
      <x:c r="B976" s="32" t="str">
        <x:v>C03</x:v>
      </x:c>
      <x:c r="C976" s="32" t="n">
        <x:v>12</x:v>
      </x:c>
      <x:c r="D976" s="33" t="str">
        <x:v>{"Data":"dom., 12 de jul. de 2026","Impr.":"0","Visualizações públicas do YouTube":"0","Custo":"R$ 0,00","Cliques":"0"}</x:v>
      </x:c>
    </x:row>
    <x:row r="977" ht="24" customHeight="1">
      <x:c r="A977" s="32" t="str">
        <x:v>F019</x:v>
      </x:c>
      <x:c r="B977" s="32" t="str">
        <x:v>C03</x:v>
      </x:c>
      <x:c r="C977" s="32" t="n">
        <x:v>13</x:v>
      </x:c>
      <x:c r="D977" s="33" t="str">
        <x:v>{"Data":"seg., 13 de jul. de 2026","Impr.":"0","Visualizações públicas do YouTube":"0","Custo":"R$ 0,00","Cliques":"0"}</x:v>
      </x:c>
    </x:row>
    <x:row r="978" ht="24" customHeight="1">
      <x:c r="A978" s="32" t="str">
        <x:v>F019</x:v>
      </x:c>
      <x:c r="B978" s="32" t="str">
        <x:v>C03</x:v>
      </x:c>
      <x:c r="C978" s="32" t="n">
        <x:v>14</x:v>
      </x:c>
      <x:c r="D978" s="33" t="str">
        <x:v>{"Data":"ter., 14 de jul. de 2026","Impr.":"0","Visualizações públicas do YouTube":"0","Custo":"R$ 0,00","Cliques":"0"}</x:v>
      </x:c>
    </x:row>
    <x:row r="979" ht="24" customHeight="1">
      <x:c r="A979" s="32" t="str">
        <x:v>F019</x:v>
      </x:c>
      <x:c r="B979" s="32" t="str">
        <x:v>C03</x:v>
      </x:c>
      <x:c r="C979" s="32" t="n">
        <x:v>15</x:v>
      </x:c>
      <x:c r="D979" s="33" t="str">
        <x:v>{"Data":"qua., 15 de jul. de 2026","Impr.":"0","Visualizações públicas do YouTube":"0","Custo":"R$ 0,00","Cliques":"0"}</x:v>
      </x:c>
    </x:row>
    <x:row r="980" ht="24" customHeight="1">
      <x:c r="A980" s="32" t="str">
        <x:v>F019</x:v>
      </x:c>
      <x:c r="B980" s="32" t="str">
        <x:v>C03</x:v>
      </x:c>
      <x:c r="C980" s="32" t="n">
        <x:v>16</x:v>
      </x:c>
      <x:c r="D980" s="33" t="str">
        <x:v>{"Data":"qui., 16 de jul. de 2026","Impr.":"0","Visualizações públicas do YouTube":"0","Custo":"R$ 0,00","Cliques":"0"}</x:v>
      </x:c>
    </x:row>
    <x:row r="981" ht="24" customHeight="1">
      <x:c r="A981" s="32" t="str">
        <x:v>F019</x:v>
      </x:c>
      <x:c r="B981" s="32" t="str">
        <x:v>C03</x:v>
      </x:c>
      <x:c r="C981" s="32" t="n">
        <x:v>17</x:v>
      </x:c>
      <x:c r="D981" s="33" t="str">
        <x:v>{"Data":"sex., 17 de jul. de 2026","Impr.":"0","Visualizações públicas do YouTube":"0","Custo":"R$ 0,00","Cliques":"0"}</x:v>
      </x:c>
    </x:row>
    <x:row r="982" ht="24" customHeight="1">
      <x:c r="A982" s="32" t="str">
        <x:v>F019</x:v>
      </x:c>
      <x:c r="B982" s="32" t="str">
        <x:v>C03</x:v>
      </x:c>
      <x:c r="C982" s="32" t="n">
        <x:v>18</x:v>
      </x:c>
      <x:c r="D982" s="33" t="str">
        <x:v>{"Data":"sáb., 18 de jul. de 2026","Impr.":"0","Visualizações públicas do YouTube":"0","Custo":"R$ 0,00","Cliques":"0"}</x:v>
      </x:c>
    </x:row>
    <x:row r="983" ht="24" customHeight="1">
      <x:c r="A983" s="32" t="str">
        <x:v>F019</x:v>
      </x:c>
      <x:c r="B983" s="32" t="str">
        <x:v>C03</x:v>
      </x:c>
      <x:c r="C983" s="32" t="n">
        <x:v>19</x:v>
      </x:c>
      <x:c r="D983" s="33" t="str">
        <x:v>{"Data":"dom., 19 de jul. de 2026","Impr.":"0","Visualizações públicas do YouTube":"0","Custo":"R$ 0,00","Cliques":"0"}</x:v>
      </x:c>
    </x:row>
    <x:row r="984" ht="24" customHeight="1">
      <x:c r="A984" s="32" t="str">
        <x:v>F019</x:v>
      </x:c>
      <x:c r="B984" s="32" t="str">
        <x:v>C03</x:v>
      </x:c>
      <x:c r="C984" s="32" t="n">
        <x:v>20</x:v>
      </x:c>
      <x:c r="D984" s="33" t="str">
        <x:v>{"Data":"seg., 20 de jul. de 2026","Impr.":"0","Visualizações públicas do YouTube":"0","Custo":"R$ 0,00","Cliques":"0"}</x:v>
      </x:c>
    </x:row>
    <x:row r="985" ht="24" customHeight="1">
      <x:c r="A985" s="32" t="str">
        <x:v>F019</x:v>
      </x:c>
      <x:c r="B985" s="32" t="str">
        <x:v>C03</x:v>
      </x:c>
      <x:c r="C985" s="32" t="n">
        <x:v>21</x:v>
      </x:c>
      <x:c r="D985" s="33" t="str">
        <x:v>{"Data":"ter., 21 de jul. de 2026","Impr.":"0","Visualizações públicas do YouTube":"0","Custo":"R$ 0,00","Cliques":"0"}</x:v>
      </x:c>
    </x:row>
    <x:row r="986" ht="24" customHeight="1">
      <x:c r="A986" s="32" t="str">
        <x:v>F019</x:v>
      </x:c>
      <x:c r="B986" s="32" t="str">
        <x:v>C03</x:v>
      </x:c>
      <x:c r="C986" s="32" t="n">
        <x:v>22</x:v>
      </x:c>
      <x:c r="D986" s="33" t="str">
        <x:v>{"Data":"qua., 22 de jul. de 2026","Impr.":"0","Visualizações públicas do YouTube":"0","Custo":"R$ 0,00","Cliques":"0"}</x:v>
      </x:c>
    </x:row>
    <x:row r="987" ht="24" customHeight="1">
      <x:c r="A987" s="32" t="str">
        <x:v>F019</x:v>
      </x:c>
      <x:c r="B987" s="32" t="str">
        <x:v>C03</x:v>
      </x:c>
      <x:c r="C987" s="32" t="n">
        <x:v>23</x:v>
      </x:c>
      <x:c r="D987" s="33" t="str">
        <x:v>{"Data":"qui., 23 de jul. de 2026","Impr.":"737","Visualizações públicas do YouTube":"727","Custo":"R$ 10,03","Cliques":"0"}</x:v>
      </x:c>
    </x:row>
    <x:row r="988" ht="24" customHeight="1">
      <x:c r="A988" s="32" t="str">
        <x:v>F019</x:v>
      </x:c>
      <x:c r="B988" s="32" t="str">
        <x:v>C03</x:v>
      </x:c>
      <x:c r="C988" s="32" t="n">
        <x:v>24</x:v>
      </x:c>
      <x:c r="D988" s="33" t="str">
        <x:v>{"Data":"sex., 24 de jul. de 2026","Impr.":"1.835","Visualizações públicas do YouTube":"1.811","Custo":"R$ 10,41","Cliques":"0"}</x:v>
      </x:c>
    </x:row>
    <x:row r="989" ht="24" customHeight="1">
      <x:c r="A989" s="32" t="str">
        <x:v>F019</x:v>
      </x:c>
      <x:c r="B989" s="32" t="str">
        <x:v>C03</x:v>
      </x:c>
      <x:c r="C989" s="32" t="n">
        <x:v>25</x:v>
      </x:c>
      <x:c r="D989" s="33" t="str">
        <x:v>{"Data":"sáb., 25 de jul. de 2026","Impr.":"2.384","Visualizações públicas do YouTube":"2.346","Custo":"R$ 10,37","Cliques":"0"}</x:v>
      </x:c>
    </x:row>
    <x:row r="990" ht="24" customHeight="1">
      <x:c r="A990" s="32" t="str">
        <x:v>F019</x:v>
      </x:c>
      <x:c r="B990" s="32" t="str">
        <x:v>C03</x:v>
      </x:c>
      <x:c r="C990" s="32" t="n">
        <x:v>26</x:v>
      </x:c>
      <x:c r="D990" s="33" t="str">
        <x:v>{"Data":"dom., 26 de jul. de 2026","Impr.":"2.233","Visualizações públicas do YouTube":"2.209","Custo":"R$ 10,27","Cliques":"0"}</x:v>
      </x:c>
    </x:row>
    <x:row r="991" ht="24" customHeight="1">
      <x:c r="A991" s="32" t="str">
        <x:v>F019</x:v>
      </x:c>
      <x:c r="B991" s="32" t="str">
        <x:v>C03</x:v>
      </x:c>
      <x:c r="C991" s="32" t="n">
        <x:v>27</x:v>
      </x:c>
      <x:c r="D991" s="33" t="str">
        <x:v>{"Data":"seg., 27 de jul. de 2026","Impr.":"2.323","Visualizações públicas do YouTube":"2.280","Custo":"R$ 10,20","Cliques":"0"}</x:v>
      </x:c>
    </x:row>
    <x:row r="992" ht="24" customHeight="1">
      <x:c r="A992" s="32" t="str">
        <x:v>F019</x:v>
      </x:c>
      <x:c r="B992" s="32" t="str">
        <x:v>C03</x:v>
      </x:c>
      <x:c r="C992" s="32" t="n">
        <x:v>28</x:v>
      </x:c>
      <x:c r="D992" s="33" t="str">
        <x:v>{"Data":"ter., 28 de jul. de 2026","Impr.":"2.120","Visualizações públicas do YouTube":"2.104","Custo":"R$ 9,95","Cliques":"0"}</x:v>
      </x:c>
    </x:row>
    <x:row r="993" ht="24" customHeight="1">
      <x:c r="A993" s="32" t="str">
        <x:v>F019</x:v>
      </x:c>
      <x:c r="B993" s="32" t="str">
        <x:v>C03</x:v>
      </x:c>
      <x:c r="C993" s="32" t="n">
        <x:v>29</x:v>
      </x:c>
      <x:c r="D993" s="33" t="str">
        <x:v>{"Data":"qua., 29 de jul. de 2026","Impr.":"2.052","Visualizações públicas do YouTube":"2.023","Custo":"R$ 10,01","Cliques":"0"}</x:v>
      </x:c>
    </x:row>
    <x:row r="994" ht="24" customHeight="1">
      <x:c r="A994" s="32" t="str">
        <x:v>F019</x:v>
      </x:c>
      <x:c r="B994" s="32" t="str">
        <x:v>C03</x:v>
      </x:c>
      <x:c r="C994" s="32" t="n">
        <x:v>30</x:v>
      </x:c>
      <x:c r="D994" s="33" t="str">
        <x:v>{"Data":"qui., 30 de jul. de 2026","Impr.":"1.844","Visualizações públicas do YouTube":"1.824","Custo":"R$ 9,65","Cliques":"0"}</x:v>
      </x:c>
    </x:row>
    <x:row r="995" ht="24" customHeight="1">
      <x:c r="A995" s="32" t="str">
        <x:v>F019</x:v>
      </x:c>
      <x:c r="B995" s="32" t="str">
        <x:v>C03</x:v>
      </x:c>
      <x:c r="C995" s="32" t="n">
        <x:v>31</x:v>
      </x:c>
      <x:c r="D995" s="33" t="str">
        <x:v>{"Data":"sex., 31 de jul. de 2026","Impr.":"1.871","Visualizações públicas do YouTube":"1.855","Custo":"R$ 9,19","Cliques":"0"}</x:v>
      </x:c>
    </x:row>
    <x:row r="996" ht="24" customHeight="1">
      <x:c r="A996" s="32" t="str">
        <x:v>F019</x:v>
      </x:c>
      <x:c r="B996" s="32" t="str">
        <x:v>C03</x:v>
      </x:c>
      <x:c r="C996" s="32" t="n">
        <x:v>32</x:v>
      </x:c>
      <x:c r="D996" s="33" t="str">
        <x:v>{"Data":"sáb., 1 de ago. de 2026","Impr.":"1.968","Visualizações públicas do YouTube":"1.943","Custo":"R$ 9,82","Cliques":"1"}</x:v>
      </x:c>
    </x:row>
    <x:row r="997" ht="24" customHeight="1">
      <x:c r="A997" s="32" t="str">
        <x:v>F019</x:v>
      </x:c>
      <x:c r="B997" s="32" t="str">
        <x:v>C03</x:v>
      </x:c>
      <x:c r="C997" s="32" t="n">
        <x:v>33</x:v>
      </x:c>
      <x:c r="D997" s="33" t="str">
        <x:v>{"Data":"dom., 2 de ago. de 2026","Impr.":"2.085","Visualizações públicas do YouTube":"2.054","Custo":"R$ 10,27","Cliques":"0"}</x:v>
      </x:c>
    </x:row>
    <x:row r="998" ht="24" customHeight="1">
      <x:c r="A998" s="32" t="str">
        <x:v>F019</x:v>
      </x:c>
      <x:c r="B998" s="32" t="str">
        <x:v>C03</x:v>
      </x:c>
      <x:c r="C998" s="32" t="n">
        <x:v>34</x:v>
      </x:c>
      <x:c r="D998" s="33" t="str">
        <x:v>{"Data":"seg., 3 de ago. de 2026","Impr.":"2.110","Visualizações públicas do YouTube":"2.054","Custo":"R$ 10,29","Cliques":"2"}</x:v>
      </x:c>
    </x:row>
    <x:row r="999" ht="24" customHeight="1">
      <x:c r="A999" s="32" t="str">
        <x:v>F019</x:v>
      </x:c>
      <x:c r="B999" s="32" t="str">
        <x:v>C03</x:v>
      </x:c>
      <x:c r="C999" s="32" t="n">
        <x:v>35</x:v>
      </x:c>
      <x:c r="D999" s="33" t="str">
        <x:v>{"Data":"ter., 4 de ago. de 2026","Impr.":"2.150","Visualizações públicas do YouTube":"2.102","Custo":"R$ 10,25","Cliques":"0"}</x:v>
      </x:c>
    </x:row>
    <x:row r="1000" ht="24" customHeight="1">
      <x:c r="A1000" s="32" t="str">
        <x:v>F019</x:v>
      </x:c>
      <x:c r="B1000" s="32" t="str">
        <x:v>C03</x:v>
      </x:c>
      <x:c r="C1000" s="32" t="n">
        <x:v>36</x:v>
      </x:c>
      <x:c r="D1000" s="33" t="str">
        <x:v>{"Data":"qua., 5 de ago. de 2026","Impr.":"1.981","Visualizações públicas do YouTube":"1.954","Custo":"R$ 10,23","Cliques":"1"}</x:v>
      </x:c>
    </x:row>
    <x:row r="1001" ht="24" customHeight="1">
      <x:c r="A1001" s="32" t="str">
        <x:v>F019</x:v>
      </x:c>
      <x:c r="B1001" s="32" t="str">
        <x:v>C03</x:v>
      </x:c>
      <x:c r="C1001" s="32" t="n">
        <x:v>37</x:v>
      </x:c>
      <x:c r="D1001" s="33" t="str">
        <x:v>{"Data":"qui., 6 de ago. de 2026","Impr.":"2.158","Visualizações públicas do YouTube":"2.124","Custo":"R$ 10,30","Cliques":"1"}</x:v>
      </x:c>
    </x:row>
    <x:row r="1002" ht="24" customHeight="1">
      <x:c r="A1002" s="32" t="str">
        <x:v>F019</x:v>
      </x:c>
      <x:c r="B1002" s="32" t="str">
        <x:v>C03</x:v>
      </x:c>
      <x:c r="C1002" s="32" t="n">
        <x:v>38</x:v>
      </x:c>
      <x:c r="D1002" s="33" t="str">
        <x:v>{"Data":"sex., 7 de ago. de 2026","Impr.":"2.080","Visualizações públicas do YouTube":"2.057","Custo":"R$ 10,08","Cliques":"0"}</x:v>
      </x:c>
    </x:row>
    <x:row r="1003" ht="24" customHeight="1">
      <x:c r="A1003" s="32" t="str">
        <x:v>F019</x:v>
      </x:c>
      <x:c r="B1003" s="32" t="str">
        <x:v>C03</x:v>
      </x:c>
      <x:c r="C1003" s="32" t="n">
        <x:v>39</x:v>
      </x:c>
      <x:c r="D1003" s="33" t="str">
        <x:v>{"Data":"sáb., 8 de ago. de 2026","Impr.":"2.144","Visualizações públicas do YouTube":"2.118","Custo":"R$ 10,16","Cliques":"1"}</x:v>
      </x:c>
    </x:row>
    <x:row r="1004" ht="24" customHeight="1">
      <x:c r="A1004" s="32" t="str">
        <x:v>F019</x:v>
      </x:c>
      <x:c r="B1004" s="32" t="str">
        <x:v>C03</x:v>
      </x:c>
      <x:c r="C1004" s="32" t="n">
        <x:v>40</x:v>
      </x:c>
      <x:c r="D1004" s="33" t="str">
        <x:v>{"Data":"dom., 9 de ago. de 2026","Impr.":"2.288","Visualizações públicas do YouTube":"2.258","Custo":"R$ 10,16","Cliques":"0"}</x:v>
      </x:c>
    </x:row>
    <x:row r="1005" ht="24" customHeight="1">
      <x:c r="A1005" s="32" t="str">
        <x:v>F019</x:v>
      </x:c>
      <x:c r="B1005" s="32" t="str">
        <x:v>C03</x:v>
      </x:c>
      <x:c r="C1005" s="32" t="n">
        <x:v>41</x:v>
      </x:c>
      <x:c r="D1005" s="33" t="str">
        <x:v>{"Data":"seg., 10 de ago. de 2026","Impr.":"2.369","Visualizações públicas do YouTube":"2.341","Custo":"R$ 10,14","Cliques":"0"}</x:v>
      </x:c>
    </x:row>
    <x:row r="1006" ht="24" customHeight="1">
      <x:c r="A1006" s="32" t="str">
        <x:v>F019</x:v>
      </x:c>
      <x:c r="B1006" s="32" t="str">
        <x:v>C03</x:v>
      </x:c>
      <x:c r="C1006" s="32" t="n">
        <x:v>42</x:v>
      </x:c>
      <x:c r="D1006" s="33" t="str">
        <x:v>{"Data":"ter., 11 de ago. de 2026","Impr.":"2.373","Visualizações públicas do YouTube":"2.344","Custo":"R$ 10,18","Cliques":"1"}</x:v>
      </x:c>
    </x:row>
    <x:row r="1007" ht="24" customHeight="1">
      <x:c r="A1007" s="32" t="str">
        <x:v>F019</x:v>
      </x:c>
      <x:c r="B1007" s="32" t="str">
        <x:v>C03</x:v>
      </x:c>
      <x:c r="C1007" s="32" t="n">
        <x:v>43</x:v>
      </x:c>
      <x:c r="D1007" s="33" t="str">
        <x:v>{"Data":"qua., 12 de ago. de 2026","Impr.":"2.205","Visualizações públicas do YouTube":"2.178","Custo":"R$ 10,07","Cliques":"0"}</x:v>
      </x:c>
    </x:row>
    <x:row r="1008" ht="24" customHeight="1">
      <x:c r="A1008" s="32" t="str">
        <x:v>F019</x:v>
      </x:c>
      <x:c r="B1008" s="32" t="str">
        <x:v>C03</x:v>
      </x:c>
      <x:c r="C1008" s="32" t="n">
        <x:v>44</x:v>
      </x:c>
      <x:c r="D1008" s="33" t="str">
        <x:v>{"Data":"qui., 13 de ago. de 2026","Impr.":"2.358","Visualizações públicas do YouTube":"2.332","Custo":"R$ 10,06","Cliques":"0"}</x:v>
      </x:c>
    </x:row>
    <x:row r="1009" ht="24" customHeight="1">
      <x:c r="A1009" s="32" t="str">
        <x:v>F019</x:v>
      </x:c>
      <x:c r="B1009" s="32" t="str">
        <x:v>C03</x:v>
      </x:c>
      <x:c r="C1009" s="32" t="n">
        <x:v>45</x:v>
      </x:c>
      <x:c r="D1009" s="33" t="str">
        <x:v>{"Data":"sex., 14 de ago. de 2026","Impr.":"2.183","Visualizações públicas do YouTube":"2.153","Custo":"R$ 10,00","Cliques":"0"}</x:v>
      </x:c>
    </x:row>
    <x:row r="1010" ht="24" customHeight="1">
      <x:c r="A1010" s="32" t="str">
        <x:v>F019</x:v>
      </x:c>
      <x:c r="B1010" s="32" t="str">
        <x:v>C03</x:v>
      </x:c>
      <x:c r="C1010" s="32" t="n">
        <x:v>46</x:v>
      </x:c>
      <x:c r="D1010" s="33" t="str">
        <x:v>{"Data":"sáb., 15 de ago. de 2026","Impr.":"2.377","Visualizações públicas do YouTube":"2.361","Custo":"R$ 9,97","Cliques":"0"}</x:v>
      </x:c>
    </x:row>
    <x:row r="1011" ht="24" customHeight="1">
      <x:c r="A1011" s="32" t="str">
        <x:v>F019</x:v>
      </x:c>
      <x:c r="B1011" s="32" t="str">
        <x:v>C03</x:v>
      </x:c>
      <x:c r="C1011" s="32" t="n">
        <x:v>47</x:v>
      </x:c>
      <x:c r="D1011" s="33" t="str">
        <x:v>{"Data":"dom., 16 de ago. de 2026","Impr.":"2.445","Visualizações públicas do YouTube":"2.416","Custo":"R$ 9,99","Cliques":"0"}</x:v>
      </x:c>
    </x:row>
    <x:row r="1012" ht="24" customHeight="1">
      <x:c r="A1012" s="32" t="str">
        <x:v>F019</x:v>
      </x:c>
      <x:c r="B1012" s="32" t="str">
        <x:v>C03</x:v>
      </x:c>
      <x:c r="C1012" s="32" t="n">
        <x:v>48</x:v>
      </x:c>
      <x:c r="D1012" s="33" t="str">
        <x:v>{"Data":"seg., 17 de ago. de 2026","Impr.":"2.292","Visualizações públicas do YouTube":"2.273","Custo":"R$ 9,91","Cliques":"0"}</x:v>
      </x:c>
    </x:row>
    <x:row r="1013" ht="24" customHeight="1">
      <x:c r="A1013" s="32" t="str">
        <x:v>F019</x:v>
      </x:c>
      <x:c r="B1013" s="32" t="str">
        <x:v>C03</x:v>
      </x:c>
      <x:c r="C1013" s="32" t="n">
        <x:v>49</x:v>
      </x:c>
      <x:c r="D1013" s="33" t="str">
        <x:v>{"Data":"ter., 18 de ago. de 2026","Impr.":"2.306","Visualizações públicas do YouTube":"2.286","Custo":"R$ 9,89","Cliques":"0"}</x:v>
      </x:c>
    </x:row>
    <x:row r="1014" ht="24" customHeight="1">
      <x:c r="A1014" s="32" t="str">
        <x:v>F019</x:v>
      </x:c>
      <x:c r="B1014" s="32" t="str">
        <x:v>C03</x:v>
      </x:c>
      <x:c r="C1014" s="32" t="n">
        <x:v>50</x:v>
      </x:c>
      <x:c r="D1014" s="33" t="str">
        <x:v>{"Data":"qua., 19 de ago. de 2026","Impr.":"2.185","Visualizações públicas do YouTube":"2.162","Custo":"R$ 9,84","Cliques":"0"}</x:v>
      </x:c>
    </x:row>
    <x:row r="1015" ht="24" customHeight="1">
      <x:c r="A1015" s="32" t="str">
        <x:v>F019</x:v>
      </x:c>
      <x:c r="B1015" s="32" t="str">
        <x:v>C03</x:v>
      </x:c>
      <x:c r="C1015" s="32" t="n">
        <x:v>51</x:v>
      </x:c>
      <x:c r="D1015" s="33" t="str">
        <x:v>{"Data":"qui., 20 de ago. de 2026","Impr.":"2.095","Visualizações públicas do YouTube":"2.065","Custo":"R$ 9,82","Cliques":"0"}</x:v>
      </x:c>
    </x:row>
    <x:row r="1016" ht="24" customHeight="1">
      <x:c r="A1016" s="32" t="str">
        <x:v>F019</x:v>
      </x:c>
      <x:c r="B1016" s="32" t="str">
        <x:v>C03</x:v>
      </x:c>
      <x:c r="C1016" s="32" t="n">
        <x:v>52</x:v>
      </x:c>
      <x:c r="D1016" s="33" t="str">
        <x:v>{"Data":"sex., 21 de ago. de 2026","Impr.":"1.883","Visualizações públicas do YouTube":"1.860","Custo":"R$ 9,83","Cliques":"0"}</x:v>
      </x:c>
    </x:row>
    <x:row r="1017" ht="24" customHeight="1">
      <x:c r="A1017" s="32" t="str">
        <x:v>F019</x:v>
      </x:c>
      <x:c r="B1017" s="32" t="str">
        <x:v>C03</x:v>
      </x:c>
      <x:c r="C1017" s="32" t="n">
        <x:v>53</x:v>
      </x:c>
      <x:c r="D1017" s="33" t="str">
        <x:v>{"Data":"sáb., 22 de ago. de 2026","Impr.":"2.044","Visualizações públicas do YouTube":"2.008","Custo":"R$ 9,66","Cliques":"0"}</x:v>
      </x:c>
    </x:row>
    <x:row r="1018" ht="24" customHeight="1">
      <x:c r="A1018" s="32" t="str">
        <x:v>F019</x:v>
      </x:c>
      <x:c r="B1018" s="32" t="str">
        <x:v>C03</x:v>
      </x:c>
      <x:c r="C1018" s="32" t="n">
        <x:v>54</x:v>
      </x:c>
      <x:c r="D1018" s="33" t="str">
        <x:v>{"Data":"dom., 23 de ago. de 2026","Impr.":"2.210","Visualizações públicas do YouTube":"2.176","Custo":"R$ 9,70","Cliques":"0"}</x:v>
      </x:c>
    </x:row>
    <x:row r="1019" ht="24" customHeight="1">
      <x:c r="A1019" s="32" t="str">
        <x:v>F019</x:v>
      </x:c>
      <x:c r="B1019" s="32" t="str">
        <x:v>C03</x:v>
      </x:c>
      <x:c r="C1019" s="32" t="n">
        <x:v>55</x:v>
      </x:c>
      <x:c r="D1019" s="33" t="str">
        <x:v>{"Data":"seg., 24 de ago. de 2026","Impr.":"1.967","Visualizações públicas do YouTube":"1.934","Custo":"R$ 9,61","Cliques":"3"}</x:v>
      </x:c>
    </x:row>
    <x:row r="1020" ht="24" customHeight="1">
      <x:c r="A1020" s="32" t="str">
        <x:v>F019</x:v>
      </x:c>
      <x:c r="B1020" s="32" t="str">
        <x:v>C03</x:v>
      </x:c>
      <x:c r="C1020" s="32" t="n">
        <x:v>56</x:v>
      </x:c>
      <x:c r="D1020" s="33" t="str">
        <x:v>{"Data":"ter., 25 de ago. de 2026","Impr.":"2.024","Visualizações públicas do YouTube":"1.999","Custo":"R$ 9,53","Cliques":"0"}</x:v>
      </x:c>
    </x:row>
    <x:row r="1021" ht="24" customHeight="1">
      <x:c r="A1021" s="32" t="str">
        <x:v>F019</x:v>
      </x:c>
      <x:c r="B1021" s="32" t="str">
        <x:v>C03</x:v>
      </x:c>
      <x:c r="C1021" s="32" t="n">
        <x:v>57</x:v>
      </x:c>
      <x:c r="D1021" s="33" t="str">
        <x:v>{"Data":"qua., 26 de ago. de 2026","Impr.":"1.357","Visualizações públicas do YouTube":"1.334","Custo":"R$ 6,79","Cliques":"1"}</x:v>
      </x:c>
    </x:row>
    <x:row r="1022" ht="24" customHeight="1">
      <x:c r="A1022" s="32" t="str">
        <x:v>F019</x:v>
      </x:c>
      <x:c r="B1022" s="32" t="str">
        <x:v>C03</x:v>
      </x:c>
      <x:c r="C1022" s="32" t="n">
        <x:v>58</x:v>
      </x:c>
      <x:c r="D1022" s="33" t="str">
        <x:v>{"Data":"qui., 27 de ago. de 2026","Impr.":"2.102","Visualizações públicas do YouTube":"1.990","Custo":"R$ 12,10","Cliques":"2"}</x:v>
      </x:c>
    </x:row>
    <x:row r="1023" ht="24" customHeight="1">
      <x:c r="A1023" s="32" t="str">
        <x:v>F019</x:v>
      </x:c>
      <x:c r="B1023" s="32" t="str">
        <x:v>C03</x:v>
      </x:c>
      <x:c r="C1023" s="32" t="n">
        <x:v>59</x:v>
      </x:c>
      <x:c r="D1023" s="33" t="str">
        <x:v>{"Data":"sex., 28 de ago. de 2026","Impr.":"1.620","Visualizações públicas do YouTube":"1.519","Custo":"R$ 9,27","Cliques":"1"}</x:v>
      </x:c>
    </x:row>
    <x:row r="1024" ht="24" customHeight="1">
      <x:c r="A1024" s="32" t="str">
        <x:v>F019</x:v>
      </x:c>
      <x:c r="B1024" s="32" t="str">
        <x:v>C03</x:v>
      </x:c>
      <x:c r="C1024" s="32" t="n">
        <x:v>60</x:v>
      </x:c>
      <x:c r="D1024" s="33" t="str">
        <x:v>{"Data":"sáb., 29 de ago. de 2026","Impr.":"1.693","Visualizações públicas do YouTube":"1.622","Custo":"R$ 9,14","Cliques":"0"}</x:v>
      </x:c>
    </x:row>
    <x:row r="1025" ht="24" customHeight="1">
      <x:c r="A1025" s="32" t="str">
        <x:v>F019</x:v>
      </x:c>
      <x:c r="B1025" s="32" t="str">
        <x:v>C03</x:v>
      </x:c>
      <x:c r="C1025" s="32" t="n">
        <x:v>61</x:v>
      </x:c>
      <x:c r="D1025" s="33" t="str">
        <x:v>{"Data":"dom., 30 de ago. de 2026","Impr.":"1.798","Visualizações públicas do YouTube":"1.686","Custo":"R$ 8,98","Cliques":"0"}</x:v>
      </x:c>
    </x:row>
    <x:row r="1026" ht="24" customHeight="1">
      <x:c r="A1026" s="32" t="str">
        <x:v>F019</x:v>
      </x:c>
      <x:c r="B1026" s="32" t="str">
        <x:v>C03</x:v>
      </x:c>
      <x:c r="C1026" s="32" t="n">
        <x:v>62</x:v>
      </x:c>
      <x:c r="D1026" s="33" t="str">
        <x:v>{"Data":"seg., 31 de ago. de 2026","Impr.":"1.667","Visualizações públicas do YouTube":"1.630","Custo":"R$ 8,33","Cliques":"0"}</x:v>
      </x:c>
    </x:row>
    <x:row r="1027" ht="24" customHeight="1">
      <x:c r="A1027" s="32" t="str">
        <x:v>F019</x:v>
      </x:c>
      <x:c r="B1027" s="32" t="str">
        <x:v>C03</x:v>
      </x:c>
      <x:c r="C1027" s="32" t="n">
        <x:v>63</x:v>
      </x:c>
      <x:c r="D1027" s="33" t="str">
        <x:v>{"Data":"ter., 1 de set. de 2026","Impr.":"2.515","Visualizações públicas do YouTube":"2.474","Custo":"R$ 10,56","Cliques":"0"}</x:v>
      </x:c>
    </x:row>
    <x:row r="1028" ht="24" customHeight="1">
      <x:c r="A1028" s="32" t="str">
        <x:v>F019</x:v>
      </x:c>
      <x:c r="B1028" s="32" t="str">
        <x:v>C03</x:v>
      </x:c>
      <x:c r="C1028" s="32" t="n">
        <x:v>64</x:v>
      </x:c>
      <x:c r="D1028" s="33" t="str">
        <x:v>{"Data":"qua., 2 de set. de 2026","Impr.":"2.091","Visualizações públicas do YouTube":"1.958","Custo":"R$ 10,62","Cliques":"0"}</x:v>
      </x:c>
    </x:row>
    <x:row r="1029" ht="24" customHeight="1">
      <x:c r="A1029" s="32" t="str">
        <x:v>F019</x:v>
      </x:c>
      <x:c r="B1029" s="32" t="str">
        <x:v>C03</x:v>
      </x:c>
      <x:c r="C1029" s="32" t="n">
        <x:v>65</x:v>
      </x:c>
      <x:c r="D1029" s="33" t="str">
        <x:v>{"Data":"qui., 3 de set. de 2026","Impr.":"2.499","Visualizações públicas do YouTube":"2.427","Custo":"R$ 10,54","Cliques":"0"}</x:v>
      </x:c>
    </x:row>
    <x:row r="1030" ht="24" customHeight="1">
      <x:c r="A1030" s="32" t="str">
        <x:v>F019</x:v>
      </x:c>
      <x:c r="B1030" s="32" t="str">
        <x:v>C03</x:v>
      </x:c>
      <x:c r="C1030" s="32" t="n">
        <x:v>66</x:v>
      </x:c>
      <x:c r="D1030" s="33" t="str">
        <x:v>{"Data":"sex., 4 de set. de 2026","Impr.":"2.413","Visualizações públicas do YouTube":"2.394","Custo":"R$ 10,26","Cliques":"0"}</x:v>
      </x:c>
    </x:row>
    <x:row r="1031" ht="24" customHeight="1">
      <x:c r="A1031" s="32" t="str">
        <x:v>F019</x:v>
      </x:c>
      <x:c r="B1031" s="32" t="str">
        <x:v>C03</x:v>
      </x:c>
      <x:c r="C1031" s="32" t="n">
        <x:v>67</x:v>
      </x:c>
      <x:c r="D1031" s="33" t="str">
        <x:v>{"Data":"sáb., 5 de set. de 2026","Impr.":"2.064","Visualizações públicas do YouTube":"1.960","Custo":"R$ 10,60","Cliques":"0"}</x:v>
      </x:c>
    </x:row>
    <x:row r="1032" ht="24" customHeight="1">
      <x:c r="A1032" s="32" t="str">
        <x:v>F019</x:v>
      </x:c>
      <x:c r="B1032" s="32" t="str">
        <x:v>C03</x:v>
      </x:c>
      <x:c r="C1032" s="32" t="n">
        <x:v>68</x:v>
      </x:c>
      <x:c r="D1032" s="33" t="str">
        <x:v>{"Data":"dom., 6 de set. de 2026","Impr.":"2.346","Visualizações públicas do YouTube":"2.229","Custo":"R$ 10,60","Cliques":"0"}</x:v>
      </x:c>
    </x:row>
    <x:row r="1033" ht="24" customHeight="1">
      <x:c r="A1033" s="32" t="str">
        <x:v>F019</x:v>
      </x:c>
      <x:c r="B1033" s="32" t="str">
        <x:v>C03</x:v>
      </x:c>
      <x:c r="C1033" s="32" t="n">
        <x:v>69</x:v>
      </x:c>
      <x:c r="D1033" s="33" t="str">
        <x:v>{"Data":"seg., 7 de set. de 2026","Impr.":"2.565","Visualizações públicas do YouTube":"2.471","Custo":"R$ 10,49","Cliques":"0"}</x:v>
      </x:c>
    </x:row>
    <x:row r="1034" ht="24" customHeight="1">
      <x:c r="A1034" s="32" t="str">
        <x:v>F019</x:v>
      </x:c>
      <x:c r="B1034" s="32" t="str">
        <x:v>C03</x:v>
      </x:c>
      <x:c r="C1034" s="32" t="n">
        <x:v>70</x:v>
      </x:c>
      <x:c r="D1034" s="33" t="str">
        <x:v>{"Data":"ter., 8 de set. de 2026","Impr.":"2.572","Visualizações públicas do YouTube":"2.481","Custo":"R$ 10,56","Cliques":"0"}</x:v>
      </x:c>
    </x:row>
    <x:row r="1035" ht="24" customHeight="1">
      <x:c r="A1035" s="32" t="str">
        <x:v>F019</x:v>
      </x:c>
      <x:c r="B1035" s="32" t="str">
        <x:v>C03</x:v>
      </x:c>
      <x:c r="C1035" s="32" t="n">
        <x:v>71</x:v>
      </x:c>
      <x:c r="D1035" s="33" t="str">
        <x:v>{"Data":"qua., 9 de set. de 2026","Impr.":"2.516","Visualizações públicas do YouTube":"2.493","Custo":"R$ 10,50","Cliques":"0"}</x:v>
      </x:c>
    </x:row>
    <x:row r="1036" ht="24" customHeight="1">
      <x:c r="A1036" s="32" t="str">
        <x:v>F019</x:v>
      </x:c>
      <x:c r="B1036" s="32" t="str">
        <x:v>C03</x:v>
      </x:c>
      <x:c r="C1036" s="32" t="n">
        <x:v>72</x:v>
      </x:c>
      <x:c r="D1036" s="33" t="str">
        <x:v>{"Data":"qui., 10 de set. de 2026","Impr.":"2.393","Visualizações públicas do YouTube":"2.379","Custo":"R$ 10,51","Cliques":"0"}</x:v>
      </x:c>
    </x:row>
    <x:row r="1037" ht="24" customHeight="1">
      <x:c r="A1037" s="32" t="str">
        <x:v>F019</x:v>
      </x:c>
      <x:c r="B1037" s="32" t="str">
        <x:v>C03</x:v>
      </x:c>
      <x:c r="C1037" s="32" t="n">
        <x:v>73</x:v>
      </x:c>
      <x:c r="D1037" s="33" t="str">
        <x:v>{"Data":"sex., 11 de set. de 2026","Impr.":"2.414","Visualizações públicas do YouTube":"2.388","Custo":"R$ 10,47","Cliques":"0"}</x:v>
      </x:c>
    </x:row>
    <x:row r="1038" ht="24" customHeight="1">
      <x:c r="A1038" s="32" t="str">
        <x:v>F019</x:v>
      </x:c>
      <x:c r="B1038" s="32" t="str">
        <x:v>C03</x:v>
      </x:c>
      <x:c r="C1038" s="32" t="n">
        <x:v>74</x:v>
      </x:c>
      <x:c r="D1038" s="33" t="str">
        <x:v>{"Data":"sáb., 12 de set. de 2026","Impr.":"2.411","Visualizações públicas do YouTube":"2.404","Custo":"R$ 10,42","Cliques":"0"}</x:v>
      </x:c>
    </x:row>
    <x:row r="1039" ht="24" customHeight="1">
      <x:c r="A1039" s="32" t="str">
        <x:v>F019</x:v>
      </x:c>
      <x:c r="B1039" s="32" t="str">
        <x:v>C03</x:v>
      </x:c>
      <x:c r="C1039" s="32" t="n">
        <x:v>75</x:v>
      </x:c>
      <x:c r="D1039" s="33" t="str">
        <x:v>{"Data":"dom., 13 de set. de 2026","Impr.":"2.491","Visualizações públicas do YouTube":"2.484","Custo":"R$ 10,41","Cliques":"1"}</x:v>
      </x:c>
    </x:row>
    <x:row r="1040" ht="24" customHeight="1">
      <x:c r="A1040" s="32" t="str">
        <x:v>F019</x:v>
      </x:c>
      <x:c r="B1040" s="32" t="str">
        <x:v>C03</x:v>
      </x:c>
      <x:c r="C1040" s="32" t="n">
        <x:v>76</x:v>
      </x:c>
      <x:c r="D1040" s="33" t="str">
        <x:v>{"Data":"seg., 14 de set. de 2026","Impr.":"2.354","Visualizações públicas do YouTube":"2.350","Custo":"R$ 10,36","Cliques":"0"}</x:v>
      </x:c>
    </x:row>
    <x:row r="1041" ht="24" customHeight="1">
      <x:c r="A1041" s="32" t="str">
        <x:v>F019</x:v>
      </x:c>
      <x:c r="B1041" s="32" t="str">
        <x:v>C03</x:v>
      </x:c>
      <x:c r="C1041" s="32" t="n">
        <x:v>77</x:v>
      </x:c>
      <x:c r="D1041" s="33" t="str">
        <x:v>{"Data":"ter., 15 de set. de 2026","Impr.":"2.491","Visualizações públicas do YouTube":"2.483","Custo":"R$ 10,30","Cliques":"0"}</x:v>
      </x:c>
    </x:row>
    <x:row r="1042" ht="24" customHeight="1">
      <x:c r="A1042" s="32" t="str">
        <x:v>F019</x:v>
      </x:c>
      <x:c r="B1042" s="32" t="str">
        <x:v>C03</x:v>
      </x:c>
      <x:c r="C1042" s="32" t="n">
        <x:v>78</x:v>
      </x:c>
      <x:c r="D1042" s="33" t="str">
        <x:v>{"Data":"qua., 16 de set. de 2026","Impr.":"2.450","Visualizações públicas do YouTube":"2.445","Custo":"R$ 10,28","Cliques":"0"}</x:v>
      </x:c>
    </x:row>
    <x:row r="1043" ht="24" customHeight="1">
      <x:c r="A1043" s="32" t="str">
        <x:v>F019</x:v>
      </x:c>
      <x:c r="B1043" s="32" t="str">
        <x:v>C03</x:v>
      </x:c>
      <x:c r="C1043" s="32" t="n">
        <x:v>79</x:v>
      </x:c>
      <x:c r="D1043" s="33" t="str">
        <x:v>{"Data":"qui., 17 de set. de 2026","Impr.":"2.337","Visualizações públicas do YouTube":"2.333","Custo":"R$ 10,27","Cliques":"0"}</x:v>
      </x:c>
    </x:row>
    <x:row r="1044" ht="24" customHeight="1">
      <x:c r="A1044" s="32" t="str">
        <x:v>F019</x:v>
      </x:c>
      <x:c r="B1044" s="32" t="str">
        <x:v>C03</x:v>
      </x:c>
      <x:c r="C1044" s="32" t="n">
        <x:v>80</x:v>
      </x:c>
      <x:c r="D1044" s="33" t="str">
        <x:v>{"Data":"sex., 18 de set. de 2026","Impr.":"2.289","Visualizações públicas do YouTube":"2.287","Custo":"R$ 10,18","Cliques":"0"}</x:v>
      </x:c>
    </x:row>
    <x:row r="1045" ht="24" customHeight="1">
      <x:c r="A1045" s="32" t="str">
        <x:v>F019</x:v>
      </x:c>
      <x:c r="B1045" s="32" t="str">
        <x:v>C03</x:v>
      </x:c>
      <x:c r="C1045" s="32" t="n">
        <x:v>81</x:v>
      </x:c>
      <x:c r="D1045" s="33" t="str">
        <x:v>{"Data":"sáb., 19 de set. de 2026","Impr.":"2.462","Visualizações públicas do YouTube":"2.458","Custo":"R$ 10,19","Cliques":"0"}</x:v>
      </x:c>
    </x:row>
    <x:row r="1046" ht="24" customHeight="1">
      <x:c r="A1046" s="32" t="str">
        <x:v>F019</x:v>
      </x:c>
      <x:c r="B1046" s="32" t="str">
        <x:v>C03</x:v>
      </x:c>
      <x:c r="C1046" s="32" t="n">
        <x:v>82</x:v>
      </x:c>
      <x:c r="D1046" s="33" t="str">
        <x:v>{"Data":"dom., 20 de set. de 2026","Impr.":"2.378","Visualizações públicas do YouTube":"2.374","Custo":"R$ 10,16","Cliques":"0"}</x:v>
      </x:c>
    </x:row>
    <x:row r="1047" ht="24" customHeight="1">
      <x:c r="A1047" s="32" t="str">
        <x:v>F019</x:v>
      </x:c>
      <x:c r="B1047" s="32" t="str">
        <x:v>C03</x:v>
      </x:c>
      <x:c r="C1047" s="32" t="n">
        <x:v>83</x:v>
      </x:c>
      <x:c r="D1047" s="33" t="str">
        <x:v>{"Data":"seg., 21 de set. de 2026","Impr.":"2.315","Visualizações públicas do YouTube":"2.306","Custo":"R$ 10,11","Cliques":"0"}</x:v>
      </x:c>
    </x:row>
    <x:row r="1048" ht="24" customHeight="1">
      <x:c r="A1048" s="32" t="str">
        <x:v>F019</x:v>
      </x:c>
      <x:c r="B1048" s="32" t="str">
        <x:v>C03</x:v>
      </x:c>
      <x:c r="C1048" s="32" t="n">
        <x:v>84</x:v>
      </x:c>
      <x:c r="D1048" s="33" t="str">
        <x:v>{"Data":"ter., 22 de set. de 2026","Impr.":"2.294","Visualizações públicas do YouTube":"2.291","Custo":"R$ 9,98","Cliques":"0"}</x:v>
      </x:c>
    </x:row>
    <x:row r="1049" ht="24" customHeight="1">
      <x:c r="A1049" s="32" t="str">
        <x:v>F019</x:v>
      </x:c>
      <x:c r="B1049" s="32" t="str">
        <x:v>C03</x:v>
      </x:c>
      <x:c r="C1049" s="32" t="n">
        <x:v>85</x:v>
      </x:c>
      <x:c r="D1049" s="33" t="str">
        <x:v>{"Data":"qua., 23 de set. de 2026","Impr.":"2.316","Visualizações públicas do YouTube":"2.306","Custo":"R$ 9,96","Cliques":"0"}</x:v>
      </x:c>
    </x:row>
    <x:row r="1050" ht="24" customHeight="1">
      <x:c r="A1050" s="32" t="str">
        <x:v>F019</x:v>
      </x:c>
      <x:c r="B1050" s="32" t="str">
        <x:v>C03</x:v>
      </x:c>
      <x:c r="C1050" s="32" t="n">
        <x:v>86</x:v>
      </x:c>
      <x:c r="D1050" s="33" t="str">
        <x:v>{"Data":"qui., 24 de set. de 2026","Impr.":"166","Visualizações públicas do YouTube":"166","Custo":"R$ 0,76","Cliques":"0"}</x:v>
      </x:c>
    </x:row>
    <x:row r="1051" ht="24" customHeight="1">
      <x:c r="A1051" s="32" t="str">
        <x:v>F019</x:v>
      </x:c>
      <x:c r="B1051" s="32" t="str">
        <x:v>C03</x:v>
      </x:c>
      <x:c r="C1051" s="32" t="n">
        <x:v>87</x:v>
      </x:c>
      <x:c r="D1051" s="33" t="str">
        <x:v>{"Data":"sex., 25 de set. de 2026","Impr.":"12","Visualizações públicas do YouTube":"12","Custo":"R$ 0,03","Cliques":"0"}</x:v>
      </x:c>
    </x:row>
    <x:row r="1052" ht="24" customHeight="1">
      <x:c r="A1052" s="32" t="str">
        <x:v>F019</x:v>
      </x:c>
      <x:c r="B1052" s="32" t="str">
        <x:v>C03</x:v>
      </x:c>
      <x:c r="C1052" s="32" t="n">
        <x:v>88</x:v>
      </x:c>
      <x:c r="D1052" s="33" t="str">
        <x:v>{"Data":"sáb., 26 de set. de 2026","Impr.":"0","Visualizações públicas do YouTube":"0","Custo":"R$ 0,00","Cliques":"0"}</x:v>
      </x:c>
    </x:row>
    <x:row r="1053" ht="24" customHeight="1">
      <x:c r="A1053" s="32" t="str">
        <x:v>F019</x:v>
      </x:c>
      <x:c r="B1053" s="32" t="str">
        <x:v>C03</x:v>
      </x:c>
      <x:c r="C1053" s="32" t="n">
        <x:v>89</x:v>
      </x:c>
      <x:c r="D1053" s="33" t="str">
        <x:v>{"Data":"dom., 27 de set. de 2026","Impr.":"1","Visualizações públicas do YouTube":"1","Custo":"R$ 0,01","Cliques":"0"}</x:v>
      </x:c>
    </x:row>
    <x:row r="1054" ht="24" customHeight="1">
      <x:c r="A1054" s="32" t="str">
        <x:v>F019</x:v>
      </x:c>
      <x:c r="B1054" s="32" t="str">
        <x:v>C03</x:v>
      </x:c>
      <x:c r="C1054" s="32" t="n">
        <x:v>90</x:v>
      </x:c>
      <x:c r="D1054" s="33" t="str">
        <x:v>{"Data":"seg., 28 de set. de 2026","Impr.":"0","Visualizações públicas do YouTube":"0","Custo":"R$ 0,00","Cliques":"0"}</x:v>
      </x:c>
    </x:row>
    <x:row r="1055" ht="24" customHeight="1">
      <x:c r="A1055" s="32" t="str">
        <x:v>F019</x:v>
      </x:c>
      <x:c r="B1055" s="32" t="str">
        <x:v>C03</x:v>
      </x:c>
      <x:c r="C1055" s="32" t="n">
        <x:v>91</x:v>
      </x:c>
      <x:c r="D1055" s="33" t="str">
        <x:v>{"Data":"ter., 29 de set. de 2026","Impr.":"3","Visualizações públicas do YouTube":"3","Custo":"R$ 0,02","Cliques":"0"}</x:v>
      </x:c>
    </x:row>
    <x:row r="1056" ht="24" customHeight="1">
      <x:c r="A1056" s="32" t="str">
        <x:v>F019</x:v>
      </x:c>
      <x:c r="B1056" s="32" t="str">
        <x:v>C03</x:v>
      </x:c>
      <x:c r="C1056" s="32" t="n">
        <x:v>92</x:v>
      </x:c>
      <x:c r="D1056" s="33" t="str">
        <x:v>{"Data":"qua., 30 de set. de 2026","Impr.":"0","Visualizações públicas do YouTube":"0","Custo":"R$ 0,00","Cliques":"0"}</x:v>
      </x:c>
    </x:row>
    <x:row r="1057" ht="24" customHeight="1">
      <x:c r="A1057" s="32" t="str">
        <x:v>F019</x:v>
      </x:c>
      <x:c r="B1057" s="32" t="str">
        <x:v>C03</x:v>
      </x:c>
      <x:c r="C1057" s="32" t="n">
        <x:v>93</x:v>
      </x:c>
      <x:c r="D1057" s="33" t="str">
        <x:v>{"Data":"qui., 1 de out. de 2026","Impr.":"2.310","Visualizações públicas do YouTube":"2.307","Custo":"R$ 9,80","Cliques":"0"}</x:v>
      </x:c>
    </x:row>
    <x:row r="1058" ht="24" customHeight="1">
      <x:c r="A1058" s="32" t="str">
        <x:v>F019</x:v>
      </x:c>
      <x:c r="B1058" s="32" t="str">
        <x:v>C03</x:v>
      </x:c>
      <x:c r="C1058" s="32" t="n">
        <x:v>94</x:v>
      </x:c>
      <x:c r="D1058" s="33" t="str">
        <x:v>{"Data":"sex., 2 de out. de 2026","Impr.":"2.979","Visualizações públicas do YouTube":"2.969","Custo":"R$ 10,30","Cliques":"0"}</x:v>
      </x:c>
    </x:row>
    <x:row r="1059" ht="24" customHeight="1">
      <x:c r="A1059" s="32" t="str">
        <x:v>F019</x:v>
      </x:c>
      <x:c r="B1059" s="32" t="str">
        <x:v>C03</x:v>
      </x:c>
      <x:c r="C1059" s="32" t="n">
        <x:v>95</x:v>
      </x:c>
      <x:c r="D1059" s="33" t="str">
        <x:v>{"Data":"sáb., 3 de out. de 2026","Impr.":"2.763","Visualizações públicas do YouTube":"2.748","Custo":"R$ 10,28","Cliques":"2"}</x:v>
      </x:c>
    </x:row>
    <x:row r="1060" ht="24" customHeight="1">
      <x:c r="A1060" s="32" t="str">
        <x:v>F019</x:v>
      </x:c>
      <x:c r="B1060" s="32" t="str">
        <x:v>C03</x:v>
      </x:c>
      <x:c r="C1060" s="32" t="n">
        <x:v>96</x:v>
      </x:c>
      <x:c r="D1060" s="33" t="str">
        <x:v>{"Data":"dom., 4 de out. de 2026","Impr.":"2.660","Visualizações públicas do YouTube":"2.592","Custo":"R$ 10,29","Cliques":"1"}</x:v>
      </x:c>
    </x:row>
    <x:row r="1061" ht="24" customHeight="1">
      <x:c r="A1061" s="32" t="str">
        <x:v>F019</x:v>
      </x:c>
      <x:c r="B1061" s="32" t="str">
        <x:v>C03</x:v>
      </x:c>
      <x:c r="C1061" s="32" t="n">
        <x:v>97</x:v>
      </x:c>
      <x:c r="D1061" s="33" t="str">
        <x:v>{"Data":"seg., 5 de out. de 2026","Impr.":"2.934","Visualizações públicas do YouTube":"2.907","Custo":"R$ 10,23","Cliques":"0"}</x:v>
      </x:c>
    </x:row>
    <x:row r="1062" ht="24" customHeight="1">
      <x:c r="A1062" s="32" t="str">
        <x:v>F019</x:v>
      </x:c>
      <x:c r="B1062" s="32" t="str">
        <x:v>C03</x:v>
      </x:c>
      <x:c r="C1062" s="32" t="n">
        <x:v>98</x:v>
      </x:c>
      <x:c r="D1062" s="33" t="str">
        <x:v>{"Data":"ter., 6 de out. de 2026","Impr.":"2.853","Visualizações públicas do YouTube":"2.814","Custo":"R$ 10,14","Cliques":"0"}</x:v>
      </x:c>
    </x:row>
    <x:row r="1063" ht="24" customHeight="1">
      <x:c r="A1063" s="32" t="str">
        <x:v>F019</x:v>
      </x:c>
      <x:c r="B1063" s="32" t="str">
        <x:v>C03</x:v>
      </x:c>
      <x:c r="C1063" s="32" t="n">
        <x:v>99</x:v>
      </x:c>
      <x:c r="D1063" s="33" t="str">
        <x:v>{"Data":"qua., 7 de out. de 2026","Impr.":"2.801","Visualizações públicas do YouTube":"2.787","Custo":"R$ 10,21","Cliques":"0"}</x:v>
      </x:c>
    </x:row>
    <x:row r="1064" ht="24" customHeight="1">
      <x:c r="A1064" s="32" t="str">
        <x:v>F019</x:v>
      </x:c>
      <x:c r="B1064" s="32" t="str">
        <x:v>C03</x:v>
      </x:c>
      <x:c r="C1064" s="32" t="n">
        <x:v>100</x:v>
      </x:c>
      <x:c r="D1064" s="33" t="str">
        <x:v>{"Data":"qui., 8 de out. de 2026","Impr.":"2.663","Visualizações públicas do YouTube":"2.656","Custo":"R$ 10,41","Cliques":"1"}</x:v>
      </x:c>
    </x:row>
    <x:row r="1065" ht="24" customHeight="1">
      <x:c r="A1065" s="32" t="str">
        <x:v>F019</x:v>
      </x:c>
      <x:c r="B1065" s="32" t="str">
        <x:v>C03</x:v>
      </x:c>
      <x:c r="C1065" s="32" t="n">
        <x:v>101</x:v>
      </x:c>
      <x:c r="D1065" s="33" t="str">
        <x:v>{"Data":"sex., 9 de out. de 2026","Impr.":"2.758","Visualizações públicas do YouTube":"2.748","Custo":"R$ 10,27","Cliques":"0"}</x:v>
      </x:c>
    </x:row>
    <x:row r="1066" ht="24" customHeight="1">
      <x:c r="A1066" s="32" t="str">
        <x:v>F019</x:v>
      </x:c>
      <x:c r="B1066" s="32" t="str">
        <x:v>C03</x:v>
      </x:c>
      <x:c r="C1066" s="32" t="n">
        <x:v>102</x:v>
      </x:c>
      <x:c r="D1066" s="33" t="str">
        <x:v>{"Data":"sáb., 10 de out. de 2026","Impr.":"2.470","Visualizações públicas do YouTube":"2.465","Custo":"R$ 10,18","Cliques":"0"}</x:v>
      </x:c>
    </x:row>
    <x:row r="1067" ht="24" customHeight="1">
      <x:c r="A1067" s="32" t="str">
        <x:v>F019</x:v>
      </x:c>
      <x:c r="B1067" s="32" t="str">
        <x:v>C03</x:v>
      </x:c>
      <x:c r="C1067" s="32" t="n">
        <x:v>103</x:v>
      </x:c>
      <x:c r="D1067" s="33" t="str">
        <x:v>{"Data":"dom., 11 de out. de 2026","Impr.":"2.611","Visualizações públicas do YouTube":"2.588","Custo":"R$ 10,07","Cliques":"0"}</x:v>
      </x:c>
    </x:row>
    <x:row r="1068" ht="24" customHeight="1">
      <x:c r="A1068" s="32" t="str">
        <x:v>F019</x:v>
      </x:c>
      <x:c r="B1068" s="32" t="str">
        <x:v>C03</x:v>
      </x:c>
      <x:c r="C1068" s="32" t="n">
        <x:v>104</x:v>
      </x:c>
      <x:c r="D1068" s="33" t="str">
        <x:v>{"Data":"seg., 12 de out. de 2026","Impr.":"2.742","Visualizações públicas do YouTube":"2.721","Custo":"R$ 10,10","Cliques":"0"}</x:v>
      </x:c>
    </x:row>
    <x:row r="1069" ht="24" customHeight="1">
      <x:c r="A1069" s="32" t="str">
        <x:v>F019</x:v>
      </x:c>
      <x:c r="B1069" s="32" t="str">
        <x:v>C03</x:v>
      </x:c>
      <x:c r="C1069" s="32" t="n">
        <x:v>105</x:v>
      </x:c>
      <x:c r="D1069" s="33" t="str">
        <x:v>{"Data":"ter., 13 de out. de 2026","Impr.":"3.025","Visualizações públicas do YouTube":"3.008","Custo":"R$ 10,07","Cliques":"0"}</x:v>
      </x:c>
    </x:row>
    <x:row r="1070" ht="159" customHeight="1">
      <x:c r="A1070" s="32" t="str">
        <x:v>F020</x:v>
      </x:c>
      <x:c r="B1070" s="32" t="str">
        <x:v>C03</x:v>
      </x:c>
      <x:c r="C1070" s="32" t="n">
        <x:v>1</x:v>
      </x:c>
      <x:c r="D1070" s="33" t="str">
        <x:v>{"Status do anúncio":"Ativado","URL final":"https://www.instagram.com/alimentoscacarola/","URLs de beacon":" --","Título":" --","Título longo 1":"Feito por Famílias do Campo","Título longo 2":" --","Título longo 3":" --","Título longo 4":" --","Título longo 5":" --","Título 1":" --","Título 2":" --","Título 3":" --","Título 4":" --","Título 5":" --","Descrição 1":"A origem do amor","Descrição 2":" --","Descrição 3":" --","Descrição 4":" --","Descrição 5":" --","Código do logotipo":"397701685159","Nome da empresa":"Alimentos Caçarola","Texto de call-to-action":" --","Texto de call-to-action 1":" --","Texto de call-to-action 2":" --","Texto de call-to-action 3":" --","Texto de call-to-action 4":" --","Texto de call-to-action 5":" --","Título da call-to-action":" --","ID do vídeo":"397701676795","Banner complementar":" --","Nome do anúncio":"A origem do amor","ad.display_url":" --","Caminho 1":" --","Caminho 2":" --","URL final para dispositivos móveis":"","Modelo de rastreamento":" --","Sufixo do URL final":" --","Parâmetro personalizado":"","Grupo de anúncios":"Vídeo 01","Status":"Qualificado","Motivos do status":"","Tipo de anúncio":"Anúncio responsivo em vídeo","Impr.":"172.643","Visualizações do TrueView":"100.755","Código da moeda":"BRL","CPV médio do TrueView":"0,01","Custo":"765,94","Vídeo":"https://www.youtube.com/watch?v=1OC1sZmtrXk","Taxa de conv.":"0,00%","Conversões":"0,00","Custo / conv.":"0,00"}</x:v>
      </x:c>
    </x:row>
    <x:row r="1071" ht="144" customHeight="1">
      <x:c r="A1071" s="32" t="str">
        <x:v>F020</x:v>
      </x:c>
      <x:c r="B1071" s="32" t="str">
        <x:v>C03</x:v>
      </x:c>
      <x:c r="C1071" s="32" t="n">
        <x:v>2</x:v>
      </x:c>
      <x:c r="D1071" s="33" t="str">
        <x:v>{"Status do anúncio":"Total: Todos os anúncios, exceto os removidos","URL final":"","URLs de beacon":" --","Título":" --","Título longo 1":" --","Título longo 2":" --","Título longo 3":" --","Título longo 4":" --","Título longo 5":" --","Título 1":" --","Título 2":" --","Título 3":" --","Título 4":" --","Título 5":" --","Descrição 1":" --","Descrição 2":" --","Descrição 3":" --","Descrição 4":" --","Descrição 5":" --","Código do logotipo":" --","Nome da empresa":" --","Texto de call-to-action":" --","Texto de call-to-action 1":" --","Texto de call-to-action 2":" --","Texto de call-to-action 3":" --","Texto de call-to-action 4":" --","Texto de call-to-action 5":" --","Título da call-to-action":" --","ID do vídeo":" --","Banner complementar":" --","Nome do anúncio":" --","ad.display_url":" --","Caminho 1":" --","Caminho 2":" --","URL final para dispositivos móveis":"","Modelo de rastreamento":" --","Sufixo do URL final":" --","Parâmetro personalizado":" --","Grupo de anúncios":" --","Status":" --","Motivos do status":"","Tipo de anúncio":" --","Impr.":"172.643","Visualizações do TrueView":"100.755","Código da moeda":"BRL","CPV médio do TrueView":"0,01","Custo":"765,94","Vídeo":" --","Taxa de conv.":"0,00%","Conversões":"0,00","Custo / conv.":"0,00"}</x:v>
      </x:c>
    </x:row>
    <x:row r="1072" ht="129" customHeight="1">
      <x:c r="A1072" s="32" t="str">
        <x:v>F020</x:v>
      </x:c>
      <x:c r="B1072" s="32" t="str">
        <x:v>C03</x:v>
      </x:c>
      <x:c r="C1072" s="32" t="n">
        <x:v>3</x:v>
      </x:c>
      <x:c r="D1072" s="33" t="str">
        <x:v>{"Status do anúncio":"Total: Campanha","URL final":"","URLs de beacon":"","Título":"","Título longo 1":"","Título longo 2":"","Título longo 3":"","Título longo 4":"","Título longo 5":"","Título 1":"","Título 2":"","Título 3":"","Título 4":"","Título 5":"","Descrição 1":"","Descrição 2":"","Descrição 3":"","Descrição 4":"","Descrição 5":"","Código do logotipo":"","Nome da empresa":"","Texto de call-to-action":"","Texto de call-to-action 1":"","Texto de call-to-action 2":"","Texto de call-to-action 3":"","Texto de call-to-action 4":"","Texto de call-to-action 5":"","Título da call-to-action":"","ID do vídeo":"","Banner complementar":"","Nome do anúncio":"","ad.display_url":"","Caminho 1":"","Caminho 2":"","URL final para dispositivos móveis":"","Modelo de rastreamento":"","Sufixo do URL final":"","Parâmetro personalizado":"","Grupo de anúncios":"","Status":"","Motivos do status":"","Tipo de anúncio":"","Impr.":"172.643","Visualizações do TrueView":"100.755","Código da moeda":"BRL","CPV médio do TrueView":"0,01","Custo":"765,94","Vídeo":"","Taxa de conv.":"0,00%","Conversões":"0,00","Custo / conv.":"0,00"}</x:v>
      </x:c>
    </x:row>
    <x:row r="1073" ht="69" customHeight="1">
      <x:c r="A1073" s="32" t="str">
        <x:v>F021</x:v>
      </x:c>
      <x:c r="B1073" s="32" t="str">
        <x:v>C03</x:v>
      </x:c>
      <x:c r="C1073" s="32" t="n">
        <x:v>1</x:v>
      </x:c>
      <x:c r="D1073" s="33" t="str">
        <x:v>{"Status da campanha":"Ativada","Campanha":"YT - Arrozes especiais Bahia 03","Orçamento":"10,00","Nome do orçamento":" --","Tipo de orçamento":"Diário","Código da moeda":"BRL","Status":"Qualificado (limitado)","Motivos do status":"limitado pelo orçamento","Pontuação de otimização":"59,42","Subtipo da campanha":"Exibições de vídeos","Tipo de campanha":"Vídeo","Usuários exclusivos":"","Impr.":"172.643","Visualizações do TrueView":"100.755","CPM médio":"4,44","CPV médio do TrueView":"0,01","Custo":"765,94","Marcações com \"Gostei\"":"0","Comentários":"0","Shares":"0"}</x:v>
      </x:c>
    </x:row>
    <x:row r="1074" ht="69" customHeight="1">
      <x:c r="A1074" s="32" t="str">
        <x:v>F021</x:v>
      </x:c>
      <x:c r="B1074" s="32" t="str">
        <x:v>C03</x:v>
      </x:c>
      <x:c r="C1074" s="32" t="n">
        <x:v>2</x:v>
      </x:c>
      <x:c r="D1074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exclusivos":"","Impr.":"172.643","Visualizações do TrueView":"100.755","CPM médio":"4,44","CPV médio do TrueView":"0,01","Custo":"765,94","Marcações com \"Gostei\"":"0","Comentários":"0","Shares":"0"}</x:v>
      </x:c>
    </x:row>
    <x:row r="1075" ht="54" customHeight="1">
      <x:c r="A1075" s="32" t="str">
        <x:v>F021</x:v>
      </x:c>
      <x:c r="B1075" s="32" t="str">
        <x:v>C03</x:v>
      </x:c>
      <x:c r="C1075" s="32" t="n">
        <x:v>3</x:v>
      </x:c>
      <x:c r="D1075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exclusivos":"","Impr.":"172.643","Visualizações do TrueView":"100.755","CPM médio":"4,44","CPV médio do TrueView":"0,01","Custo":"765,94","Marcações com \"Gostei\"":"0","Comentários":"0","Shares":"0"}</x:v>
      </x:c>
    </x:row>
    <x:row r="1076" ht="54" customHeight="1">
      <x:c r="A1076" s="32" t="str">
        <x:v>F022</x:v>
      </x:c>
      <x:c r="B1076" s="32" t="str">
        <x:v>C03</x:v>
      </x:c>
      <x:c r="C1076" s="32" t="n">
        <x:v>1</x:v>
      </x:c>
      <x:c r="D1076" s="33" t="str">
        <x:v>{"Dispositivo":"Smartphones","Nível":"Campanha","Campanha":"YT - Arrozes especiais Bahia 03","Grupo de anúncios":" --","Ajuste de lance":" --","Aj. de lance do grupo de anúncios":"Nenhum","Impr.":"11.594","Visualizações do TrueView":"4.021","Taxa de visualização do TrueView":"34,68%","Código da moeda":"BRL","CPV médio do TrueView":"0,02","Custo":"68,43","Taxa de conv.":"0,00%","Conversões":"0,00","Custo / conv.":"0,00"}</x:v>
      </x:c>
    </x:row>
    <x:row r="1077" ht="54" customHeight="1">
      <x:c r="A1077" s="32" t="str">
        <x:v>F022</x:v>
      </x:c>
      <x:c r="B1077" s="32" t="str">
        <x:v>C03</x:v>
      </x:c>
      <x:c r="C1077" s="32" t="n">
        <x:v>2</x:v>
      </x:c>
      <x:c r="D1077" s="33" t="str">
        <x:v>{"Dispositivo":"Tablets","Nível":"Campanha","Campanha":"YT - Arrozes especiais Bahia 03","Grupo de anúncios":" --","Ajuste de lance":" --","Aj. de lance do grupo de anúncios":"Nenhum","Impr.":"973","Visualizações do TrueView":"446","Taxa de visualização do TrueView":"45,84%","Código da moeda":"BRL","CPV médio do TrueView":"0,01","Custo":"5,29","Taxa de conv.":"0,00%","Conversões":"0,00","Custo / conv.":"0,00"}</x:v>
      </x:c>
    </x:row>
    <x:row r="1078" ht="54" customHeight="1">
      <x:c r="A1078" s="32" t="str">
        <x:v>F022</x:v>
      </x:c>
      <x:c r="B1078" s="32" t="str">
        <x:v>C03</x:v>
      </x:c>
      <x:c r="C1078" s="32" t="n">
        <x:v>3</x:v>
      </x:c>
      <x:c r="D1078" s="33" t="str">
        <x:v>{"Dispositivo":"Telas de TV","Nível":"Campanha","Campanha":"YT - Arrozes especiais Bahia 03","Grupo de anúncios":" --","Ajuste de lance":" --","Aj. de lance do grupo de anúncios":"Nenhum","Impr.":"156.952","Visualizações do TrueView":"94.235","Taxa de visualização do TrueView":"60,04%","Código da moeda":"BRL","CPV médio do TrueView":"0,01","Custo":"672,53","Taxa de conv.":"0,00%","Conversões":"0,00","Custo / conv.":"0,00"}</x:v>
      </x:c>
    </x:row>
    <x:row r="1079" ht="54" customHeight="1">
      <x:c r="A1079" s="32" t="str">
        <x:v>F022</x:v>
      </x:c>
      <x:c r="B1079" s="32" t="str">
        <x:v>C03</x:v>
      </x:c>
      <x:c r="C1079" s="32" t="n">
        <x:v>4</x:v>
      </x:c>
      <x:c r="D1079" s="33" t="str">
        <x:v>{"Dispositivo":"Computadores","Nível":"Campanha","Campanha":"YT - Arrozes especiais Bahia 03","Grupo de anúncios":" --","Ajuste de lance":" --","Aj. de lance do grupo de anúncios":"Nenhum","Impr.":"3.124","Visualizações do TrueView":"2.053","Taxa de visualização do TrueView":"65,72%","Código da moeda":"BRL","CPV médio do TrueView":"0,01","Custo":"19,70","Taxa de conv.":"0,00%","Conversões":"0,00","Custo / conv.":"0,00"}</x:v>
      </x:c>
    </x:row>
    <x:row r="1080" ht="54" customHeight="1">
      <x:c r="A1080" s="32" t="str">
        <x:v>F022</x:v>
      </x:c>
      <x:c r="B1080" s="32" t="str">
        <x:v>C03</x:v>
      </x:c>
      <x:c r="C1080" s="32" t="n">
        <x:v>5</x:v>
      </x:c>
      <x:c r="D1080" s="33" t="str">
        <x:v>{"Dispositivo":"Total: Campanha","Nível":"","Campanha":"","Grupo de anúncios":"","Ajuste de lance":"","Aj. de lance do grupo de anúncios":"","Impr.":"172.643","Visualizações do TrueView":"100.755","Taxa de visualização do TrueView":"58,36%","Código da moeda":"BRL","CPV médio do TrueView":"0,01","Custo":"765,94","Taxa de conv.":"0,00%","Conversões":"0,00","Custo / conv.":"0,00"}</x:v>
      </x:c>
    </x:row>
    <x:row r="1081" ht="39" customHeight="1">
      <x:c r="A1081" s="32" t="str">
        <x:v>F023</x:v>
      </x:c>
      <x:c r="B1081" s="32" t="str">
        <x:v>C03</x:v>
      </x:c>
      <x:c r="C1081" s="32" t="n">
        <x:v>1</x:v>
      </x:c>
      <x:c r="D1081" s="33" t="str">
        <x:v>{"Local":"20,0|mi|Uruçuca, BA","Ajuste de lance":" --","Impr.":"50.752","Visualizações do TrueView":"29.426","Taxa de visualização do TrueView":"57,98%","Código da moeda":"BRL","Custo":"226,90","CPM médio":"4,47","Taxa de conv.":"0,00%","Conversões":"0,00","Custo / conv.":"0,00"}</x:v>
      </x:c>
    </x:row>
    <x:row r="1082" ht="39" customHeight="1">
      <x:c r="A1082" s="32" t="str">
        <x:v>F023</x:v>
      </x:c>
      <x:c r="B1082" s="32" t="str">
        <x:v>C03</x:v>
      </x:c>
      <x:c r="C1082" s="32" t="n">
        <x:v>2</x:v>
      </x:c>
      <x:c r="D1082" s="33" t="str">
        <x:v>{"Local":"15,0|km|Wenceslau Guimarães, BA","Ajuste de lance":" --","Impr.":"2.451","Visualizações do TrueView":"1.420","Taxa de visualização do TrueView":"57,94%","Código da moeda":"BRL","Custo":"11,35","CPM médio":"4,63","Taxa de conv.":"0,00%","Conversões":"0,00","Custo / conv.":"0,00"}</x:v>
      </x:c>
    </x:row>
    <x:row r="1083" ht="39" customHeight="1">
      <x:c r="A1083" s="32" t="str">
        <x:v>F023</x:v>
      </x:c>
      <x:c r="B1083" s="32" t="str">
        <x:v>C03</x:v>
      </x:c>
      <x:c r="C1083" s="32" t="n">
        <x:v>3</x:v>
      </x:c>
      <x:c r="D1083" s="33" t="str">
        <x:v>{"Local":"Prado, Bahia, Brasil","Ajuste de lance":" --","Impr.":"3.537","Visualizações do TrueView":"2.120","Taxa de visualização do TrueView":"59,94%","Código da moeda":"BRL","Custo":"15,00","CPM médio":"4,24","Taxa de conv.":"0,00%","Conversões":"0,00","Custo / conv.":"0,00"}</x:v>
      </x:c>
    </x:row>
    <x:row r="1084" ht="39" customHeight="1">
      <x:c r="A1084" s="32" t="str">
        <x:v>F023</x:v>
      </x:c>
      <x:c r="B1084" s="32" t="str">
        <x:v>C03</x:v>
      </x:c>
      <x:c r="C1084" s="32" t="n">
        <x:v>4</x:v>
      </x:c>
      <x:c r="D1084" s="33" t="str">
        <x:v>{"Local":"15,0|km|Medeiros Neto, BA","Ajuste de lance":" --","Impr.":"35","Visualizações do TrueView":"12","Taxa de visualização do TrueView":"34,29%","Código da moeda":"BRL","Custo":"0,12","CPM médio":"3,48","Taxa de conv.":"0,00%","Conversões":"0,00","Custo / conv.":"0,00"}</x:v>
      </x:c>
    </x:row>
    <x:row r="1085" ht="39" customHeight="1">
      <x:c r="A1085" s="32" t="str">
        <x:v>F023</x:v>
      </x:c>
      <x:c r="B1085" s="32" t="str">
        <x:v>C03</x:v>
      </x:c>
      <x:c r="C1085" s="32" t="n">
        <x:v>5</x:v>
      </x:c>
      <x:c r="D1085" s="33" t="str">
        <x:v>{"Local":"15,0|km|Ibirapuã, BA","Ajuste de lance":" --","Impr.":"3","Visualizações do TrueView":"0","Taxa de visualização do TrueView":"0,00%","Código da moeda":"BRL","Custo":"0,00","CPM médio":"0,00","Taxa de conv.":"0,00%","Conversões":"0,00","Custo / conv.":"0,00"}</x:v>
      </x:c>
    </x:row>
    <x:row r="1086" ht="39" customHeight="1">
      <x:c r="A1086" s="32" t="str">
        <x:v>F023</x:v>
      </x:c>
      <x:c r="B1086" s="32" t="str">
        <x:v>C03</x:v>
      </x:c>
      <x:c r="C1086" s="32" t="n">
        <x:v>6</x:v>
      </x:c>
      <x:c r="D1086" s="33" t="str">
        <x:v>{"Local":"20,0|mi|Teolândia, BA","Ajuste de lance":" --","Impr.":"4.409","Visualizações do TrueView":"2.609","Taxa de visualização do TrueView":"59,17%","Código da moeda":"BRL","Custo":"20,72","CPM médio":"4,70","Taxa de conv.":"0,00%","Conversões":"0,00","Custo / conv.":"0,00"}</x:v>
      </x:c>
    </x:row>
    <x:row r="1087" ht="39" customHeight="1">
      <x:c r="A1087" s="32" t="str">
        <x:v>F023</x:v>
      </x:c>
      <x:c r="B1087" s="32" t="str">
        <x:v>C03</x:v>
      </x:c>
      <x:c r="C1087" s="32" t="n">
        <x:v>7</x:v>
      </x:c>
      <x:c r="D1087" s="33" t="str">
        <x:v>{"Local":"Itamaraju, Bahia, Brasil","Ajuste de lance":" --","Impr.":"7.558","Visualizações do TrueView":"4.270","Taxa de visualização do TrueView":"56,50%","Código da moeda":"BRL","Custo":"32,84","CPM médio":"4,34","Taxa de conv.":"0,00%","Conversões":"0,00","Custo / conv.":"0,00"}</x:v>
      </x:c>
    </x:row>
    <x:row r="1088" ht="39" customHeight="1">
      <x:c r="A1088" s="32" t="str">
        <x:v>F023</x:v>
      </x:c>
      <x:c r="B1088" s="32" t="str">
        <x:v>C03</x:v>
      </x:c>
      <x:c r="C1088" s="32" t="n">
        <x:v>8</x:v>
      </x:c>
      <x:c r="D1088" s="33" t="str">
        <x:v>{"Local":"Eunápolis, Bahia, Brasil","Ajuste de lance":" --","Impr.":"18.193","Visualizações do TrueView":"10.540","Taxa de visualização do TrueView":"57,93%","Código da moeda":"BRL","Custo":"81,30","CPM médio":"4,47","Taxa de conv.":"0,00%","Conversões":"0,00","Custo / conv.":"0,00"}</x:v>
      </x:c>
    </x:row>
    <x:row r="1089" ht="39" customHeight="1">
      <x:c r="A1089" s="32" t="str">
        <x:v>F023</x:v>
      </x:c>
      <x:c r="B1089" s="32" t="str">
        <x:v>C03</x:v>
      </x:c>
      <x:c r="C1089" s="32" t="n">
        <x:v>9</x:v>
      </x:c>
      <x:c r="D1089" s="33" t="str">
        <x:v>{"Local":"Nova Viçosa, Bahia, Brasil","Ajuste de lance":" --","Impr.":"9.508","Visualizações do TrueView":"5.752","Taxa de visualização do TrueView":"60,50%","Código da moeda":"BRL","Custo":"40,46","CPM médio":"4,26","Taxa de conv.":"0,00%","Conversões":"0,00","Custo / conv.":"0,00"}</x:v>
      </x:c>
    </x:row>
    <x:row r="1090" ht="39" customHeight="1">
      <x:c r="A1090" s="32" t="str">
        <x:v>F023</x:v>
      </x:c>
      <x:c r="B1090" s="32" t="str">
        <x:v>C03</x:v>
      </x:c>
      <x:c r="C1090" s="32" t="n">
        <x:v>10</x:v>
      </x:c>
      <x:c r="D1090" s="33" t="str">
        <x:v>{"Local":"20,0|mi|Ubaitaba, BA","Ajuste de lance":" --","Impr.":"2.414","Visualizações do TrueView":"1.315","Taxa de visualização do TrueView":"54,47%","Código da moeda":"BRL","Custo":"10,28","CPM médio":"4,26","Taxa de conv.":"0,00%","Conversões":"0,00","Custo / conv.":"0,00"}</x:v>
      </x:c>
    </x:row>
    <x:row r="1091" ht="39" customHeight="1">
      <x:c r="A1091" s="32" t="str">
        <x:v>F023</x:v>
      </x:c>
      <x:c r="B1091" s="32" t="str">
        <x:v>C03</x:v>
      </x:c>
      <x:c r="C1091" s="32" t="n">
        <x:v>11</x:v>
      </x:c>
      <x:c r="D1091" s="33" t="str">
        <x:v>{"Local":"Itabela, Bahia, Brasil","Ajuste de lance":" --","Impr.":"1.274","Visualizações do TrueView":"729","Taxa de visualização do TrueView":"57,22%","Código da moeda":"BRL","Custo":"5,54","CPM médio":"4,35","Taxa de conv.":"0,00%","Conversões":"0,00","Custo / conv.":"0,00"}</x:v>
      </x:c>
    </x:row>
    <x:row r="1092" ht="39" customHeight="1">
      <x:c r="A1092" s="32" t="str">
        <x:v>F023</x:v>
      </x:c>
      <x:c r="B1092" s="32" t="str">
        <x:v>C03</x:v>
      </x:c>
      <x:c r="C1092" s="32" t="n">
        <x:v>12</x:v>
      </x:c>
      <x:c r="D1092" s="33" t="str">
        <x:v>{"Local":"20,0|mi|Ubatã, BA","Ajuste de lance":" --","Impr.":"8.844","Visualizações do TrueView":"5.056","Taxa de visualização do TrueView":"57,17%","Código da moeda":"BRL","Custo":"42,23","CPM médio":"4,78","Taxa de conv.":"0,00%","Conversões":"0,00","Custo / conv.":"0,00"}</x:v>
      </x:c>
    </x:row>
    <x:row r="1093" ht="39" customHeight="1">
      <x:c r="A1093" s="32" t="str">
        <x:v>F023</x:v>
      </x:c>
      <x:c r="B1093" s="32" t="str">
        <x:v>C03</x:v>
      </x:c>
      <x:c r="C1093" s="32" t="n">
        <x:v>13</x:v>
      </x:c>
      <x:c r="D1093" s="33" t="str">
        <x:v>{"Local":"15,0|km|Vereda, BA","Ajuste de lance":" --","Impr.":"10","Visualizações do TrueView":"5","Taxa de visualização do TrueView":"50,00%","Código da moeda":"BRL","Custo":"0,12","CPM médio":"12,19","Taxa de conv.":"0,00%","Conversões":"0,00","Custo / conv.":"0,00"}</x:v>
      </x:c>
    </x:row>
    <x:row r="1094" ht="39" customHeight="1">
      <x:c r="A1094" s="32" t="str">
        <x:v>F023</x:v>
      </x:c>
      <x:c r="B1094" s="32" t="str">
        <x:v>C03</x:v>
      </x:c>
      <x:c r="C1094" s="32" t="n">
        <x:v>14</x:v>
      </x:c>
      <x:c r="D1094" s="33" t="str">
        <x:v>{"Local":"Teixeira de Freitas, Bahia, Brasil","Ajuste de lance":" --","Impr.":"1.167","Visualizações do TrueView":"628","Taxa de visualização do TrueView":"53,81%","Código da moeda":"BRL","Custo":"4,98","CPM médio":"4,27","Taxa de conv.":"0,00%","Conversões":"0,00","Custo / conv.":"0,00"}</x:v>
      </x:c>
    </x:row>
    <x:row r="1095" ht="39" customHeight="1">
      <x:c r="A1095" s="32" t="str">
        <x:v>F023</x:v>
      </x:c>
      <x:c r="B1095" s="32" t="str">
        <x:v>C03</x:v>
      </x:c>
      <x:c r="C1095" s="32" t="n">
        <x:v>15</x:v>
      </x:c>
      <x:c r="D1095" s="33" t="str">
        <x:v>{"Local":"Itamaraju, Bahia, Brasil","Ajuste de lance":" --","Impr.":"395","Visualizações do TrueView":"188","Taxa de visualização do TrueView":"47,59%","Código da moeda":"BRL","Custo":"1,88","CPM médio":"4,75","Taxa de conv.":"0,00%","Conversões":"0,00","Custo / conv.":"0,00"}</x:v>
      </x:c>
    </x:row>
    <x:row r="1096" ht="39" customHeight="1">
      <x:c r="A1096" s="32" t="str">
        <x:v>F023</x:v>
      </x:c>
      <x:c r="B1096" s="32" t="str">
        <x:v>C03</x:v>
      </x:c>
      <x:c r="C1096" s="32" t="n">
        <x:v>16</x:v>
      </x:c>
      <x:c r="D1096" s="33" t="str">
        <x:v>{"Local":"15,0|km|Lajedão, BA","Ajuste de lance":" --","Impr.":"2","Visualizações do TrueView":"0","Taxa de visualização do TrueView":"0,00%","Código da moeda":"BRL","Custo":"0,00","CPM médio":"0,00","Taxa de conv.":"0,00%","Conversões":"0,00","Custo / conv.":"0,00"}</x:v>
      </x:c>
    </x:row>
    <x:row r="1097" ht="39" customHeight="1">
      <x:c r="A1097" s="32" t="str">
        <x:v>F023</x:v>
      </x:c>
      <x:c r="B1097" s="32" t="str">
        <x:v>C03</x:v>
      </x:c>
      <x:c r="C1097" s="32" t="n">
        <x:v>17</x:v>
      </x:c>
      <x:c r="D1097" s="33" t="str">
        <x:v>{"Local":"15,0|km|Teixeira de Freitas, BA","Ajuste de lance":" --","Impr.":"20.309","Visualizações do TrueView":"11.599","Taxa de visualização do TrueView":"57,11%","Código da moeda":"BRL","Custo":"88,52","CPM médio":"4,36","Taxa de conv.":"0,00%","Conversões":"0,00","Custo / conv.":"0,00"}</x:v>
      </x:c>
    </x:row>
    <x:row r="1098" ht="39" customHeight="1">
      <x:c r="A1098" s="32" t="str">
        <x:v>F023</x:v>
      </x:c>
      <x:c r="B1098" s="32" t="str">
        <x:v>C03</x:v>
      </x:c>
      <x:c r="C1098" s="32" t="n">
        <x:v>18</x:v>
      </x:c>
      <x:c r="D1098" s="33" t="str">
        <x:v>{"Local":"15,0|km|Caravelas, BA","Ajuste de lance":" --","Impr.":"16","Visualizações do TrueView":"6","Taxa de visualização do TrueView":"37,50%","Código da moeda":"BRL","Custo":"0,21","CPM médio":"13,05","Taxa de conv.":"0,00%","Conversões":"0,00","Custo / conv.":"0,00"}</x:v>
      </x:c>
    </x:row>
    <x:row r="1099" ht="39" customHeight="1">
      <x:c r="A1099" s="32" t="str">
        <x:v>F023</x:v>
      </x:c>
      <x:c r="B1099" s="32" t="str">
        <x:v>C03</x:v>
      </x:c>
      <x:c r="C1099" s="32" t="n">
        <x:v>19</x:v>
      </x:c>
      <x:c r="D1099" s="33" t="str">
        <x:v>{"Local":"20,0|km|São José da Vitória, BA","Ajuste de lance":" --","Impr.":"2.229","Visualizações do TrueView":"1.211","Taxa de visualização do TrueView":"54,33%","Código da moeda":"BRL","Custo":"9,53","CPM médio":"4,28","Taxa de conv.":"0,00%","Conversões":"0,00","Custo / conv.":"0,00"}</x:v>
      </x:c>
    </x:row>
    <x:row r="1100" ht="39" customHeight="1">
      <x:c r="A1100" s="32" t="str">
        <x:v>F023</x:v>
      </x:c>
      <x:c r="B1100" s="32" t="str">
        <x:v>C03</x:v>
      </x:c>
      <x:c r="C1100" s="32" t="n">
        <x:v>20</x:v>
      </x:c>
      <x:c r="D1100" s="33" t="str">
        <x:v>{"Local":"15,0|km|Itabela, BA","Ajuste de lance":" --","Impr.":"113","Visualizações do TrueView":"43","Taxa de visualização do TrueView":"38,05%","Código da moeda":"BRL","Custo":"0,98","CPM médio":"8,65","Taxa de conv.":"0,00%","Conversões":"0,00","Custo / conv.":"0,00"}</x:v>
      </x:c>
    </x:row>
    <x:row r="1101" ht="39" customHeight="1">
      <x:c r="A1101" s="32" t="str">
        <x:v>F023</x:v>
      </x:c>
      <x:c r="B1101" s="32" t="str">
        <x:v>C03</x:v>
      </x:c>
      <x:c r="C1101" s="32" t="n">
        <x:v>21</x:v>
      </x:c>
      <x:c r="D1101" s="33" t="str">
        <x:v>{"Local":"15,0|km|Santa Cruz Cabrália, BA","Ajuste de lance":" --","Impr.":"6.624","Visualizações do TrueView":"3.883","Taxa de visualização do TrueView":"58,62%","Código da moeda":"BRL","Custo":"30,50","CPM médio":"4,60","Taxa de conv.":"0,00%","Conversões":"0,00","Custo / conv.":"0,00"}</x:v>
      </x:c>
    </x:row>
    <x:row r="1102" ht="39" customHeight="1">
      <x:c r="A1102" s="32" t="str">
        <x:v>F023</x:v>
      </x:c>
      <x:c r="B1102" s="32" t="str">
        <x:v>C03</x:v>
      </x:c>
      <x:c r="C1102" s="32" t="n">
        <x:v>22</x:v>
      </x:c>
      <x:c r="D1102" s="33" t="str">
        <x:v>{"Local":"15,0|km|Alcobaça, BA","Ajuste de lance":" --","Impr.":"21","Visualizações do TrueView":"2","Taxa de visualização do TrueView":"9,52%","Código da moeda":"BRL","Custo":"0,05","CPM médio":"2,36","Taxa de conv.":"0,00%","Conversões":"0,00","Custo / conv.":"0,00"}</x:v>
      </x:c>
    </x:row>
    <x:row r="1103" ht="39" customHeight="1">
      <x:c r="A1103" s="32" t="str">
        <x:v>F023</x:v>
      </x:c>
      <x:c r="B1103" s="32" t="str">
        <x:v>C03</x:v>
      </x:c>
      <x:c r="C1103" s="32" t="n">
        <x:v>23</x:v>
      </x:c>
      <x:c r="D1103" s="33" t="str">
        <x:v>{"Local":"20,0|mi|Una, BA","Ajuste de lance":" --","Impr.":"60","Visualizações do TrueView":"10","Taxa de visualização do TrueView":"16,67%","Código da moeda":"BRL","Custo":"0,31","CPM médio":"5,22","Taxa de conv.":"0,00%","Conversões":"0,00","Custo / conv.":"0,00"}</x:v>
      </x:c>
    </x:row>
    <x:row r="1104" ht="39" customHeight="1">
      <x:c r="A1104" s="32" t="str">
        <x:v>F023</x:v>
      </x:c>
      <x:c r="B1104" s="32" t="str">
        <x:v>C03</x:v>
      </x:c>
      <x:c r="C1104" s="32" t="n">
        <x:v>24</x:v>
      </x:c>
      <x:c r="D1104" s="33" t="str">
        <x:v>{"Local":"15,0|km|Itanhém, BA","Ajuste de lance":" --","Impr.":"27","Visualizações do TrueView":"4","Taxa de visualização do TrueView":"14,81%","Código da moeda":"BRL","Custo":"0,10","CPM médio":"3,69","Taxa de conv.":"0,00%","Conversões":"0,00","Custo / conv.":"0,00"}</x:v>
      </x:c>
    </x:row>
    <x:row r="1105" ht="39" customHeight="1">
      <x:c r="A1105" s="32" t="str">
        <x:v>F023</x:v>
      </x:c>
      <x:c r="B1105" s="32" t="str">
        <x:v>C03</x:v>
      </x:c>
      <x:c r="C1105" s="32" t="n">
        <x:v>25</x:v>
      </x:c>
      <x:c r="D1105" s="33" t="str">
        <x:v>{"Local":"15,0|km|Mucuri, BA","Ajuste de lance":" --","Impr.":"11","Visualizações do TrueView":"7","Taxa de visualização do TrueView":"63,64%","Código da moeda":"BRL","Custo":"0,31","CPM médio":"28,08","Taxa de conv.":"0,00%","Conversões":"0,00","Custo / conv.":"0,00"}</x:v>
      </x:c>
    </x:row>
    <x:row r="1106" ht="39" customHeight="1">
      <x:c r="A1106" s="32" t="str">
        <x:v>F023</x:v>
      </x:c>
      <x:c r="B1106" s="32" t="str">
        <x:v>C03</x:v>
      </x:c>
      <x:c r="C1106" s="32" t="n">
        <x:v>26</x:v>
      </x:c>
      <x:c r="D1106" s="33" t="str">
        <x:v>{"Local":"15,0|km|Jucuruçu, BA","Ajuste de lance":" --","Impr.":"9","Visualizações do TrueView":"3","Taxa de visualização do TrueView":"33,33%","Código da moeda":"BRL","Custo":"0,03","CPM médio":"3,87","Taxa de conv.":"0,00%","Conversões":"0,00","Custo / conv.":"0,00"}</x:v>
      </x:c>
    </x:row>
    <x:row r="1107" ht="39" customHeight="1">
      <x:c r="A1107" s="32" t="str">
        <x:v>F023</x:v>
      </x:c>
      <x:c r="B1107" s="32" t="str">
        <x:v>C03</x:v>
      </x:c>
      <x:c r="C1107" s="32" t="n">
        <x:v>27</x:v>
      </x:c>
      <x:c r="D1107" s="33" t="str">
        <x:v>{"Local":"15,0|km|Itagimirim, BA","Ajuste de lance":" --","Impr.":"577","Visualizações do TrueView":"340","Taxa de visualização do TrueView":"58,93%","Código da moeda":"BRL","Custo":"2,58","CPM médio":"4,47","Taxa de conv.":"0,00%","Conversões":"0,00","Custo / conv.":"0,00"}</x:v>
      </x:c>
    </x:row>
    <x:row r="1108" ht="39" customHeight="1">
      <x:c r="A1108" s="32" t="str">
        <x:v>F023</x:v>
      </x:c>
      <x:c r="B1108" s="32" t="str">
        <x:v>C03</x:v>
      </x:c>
      <x:c r="C1108" s="32" t="n">
        <x:v>28</x:v>
      </x:c>
      <x:c r="D1108" s="33" t="str">
        <x:v>{"Local":"Porto Seguro, Bahia, Brasil","Ajuste de lance":" --","Impr.":"32.095","Visualizações do TrueView":"19.577","Taxa de visualização do TrueView":"61,00%","Código da moeda":"BRL","Custo":"139,10","CPM médio":"4,33","Taxa de conv.":"0,00%","Conversões":"0,00","Custo / conv.":"0,00"}</x:v>
      </x:c>
    </x:row>
    <x:row r="1109" ht="39" customHeight="1">
      <x:c r="A1109" s="32" t="str">
        <x:v>F023</x:v>
      </x:c>
      <x:c r="B1109" s="32" t="str">
        <x:v>C03</x:v>
      </x:c>
      <x:c r="C1109" s="32" t="n">
        <x:v>29</x:v>
      </x:c>
      <x:c r="D1109" s="33" t="str">
        <x:v>{"Local":"Total: Locais","Ajuste de lance":"","Impr.":"172.643","Visualizações do TrueView":"100.755","Taxa de visualização do TrueView":"58,36%","Código da moeda":"BRL","Custo":"765,94","CPM médio":"4,44","Taxa de conv.":"0,00%","Conversões":"0,00","Custo / conv.":"0,00"}</x:v>
      </x:c>
    </x:row>
    <x:row r="1110" ht="39" customHeight="1">
      <x:c r="A1110" s="32" t="str">
        <x:v>F023</x:v>
      </x:c>
      <x:c r="B1110" s="32" t="str">
        <x:v>C03</x:v>
      </x:c>
      <x:c r="C1110" s="32" t="n">
        <x:v>30</x:v>
      </x:c>
      <x:c r="D1110" s="33" t="str">
        <x:v>{"Local":"Total: Outros locais","Ajuste de lance":"","Impr.":"0","Visualizações do TrueView":"0","Taxa de visualização do TrueView":" --","Código da moeda":"BRL","Custo":"0,00","CPM médio":"0","Taxa de conv.":"0,00%","Conversões":"0,00","Custo / conv.":"0,00"}</x:v>
      </x:c>
    </x:row>
    <x:row r="1111" ht="39" customHeight="1">
      <x:c r="A1111" s="32" t="str">
        <x:v>F023</x:v>
      </x:c>
      <x:c r="B1111" s="32" t="str">
        <x:v>C03</x:v>
      </x:c>
      <x:c r="C1111" s="32" t="n">
        <x:v>31</x:v>
      </x:c>
      <x:c r="D1111" s="33" t="str">
        <x:v>{"Local":"Total: Campanha","Ajuste de lance":"","Impr.":"172.643","Visualizações do TrueView":"100.755","Taxa de visualização do TrueView":"58,36%","Código da moeda":"BRL","Custo":"765,94","CPM médio":"4,44","Taxa de conv.":"0,00%","Conversões":"0,00","Custo / conv.":"0,00"}</x:v>
      </x:c>
    </x:row>
    <x:row r="1112" ht="69" customHeight="1">
      <x:c r="A1112" s="32" t="str">
        <x:v>F024</x:v>
      </x:c>
      <x:c r="B1112" s="32" t="str">
        <x:v>C03</x:v>
      </x:c>
      <x:c r="C1112" s="32" t="n">
        <x:v>1</x:v>
      </x:c>
      <x:c r="D1112" s="33" t="str">
        <x:v>{"Status do grupo de anúncios":"Ativado","Grupo de anúncios":"Vídeo 01","Status":"Qualificado","Motivos do status":"desconhecido","Código da moeda":"BRL","CPV desejado TrueView":"0,02","Visualizações do TrueView":"100.755","CPV médio do TrueView":"0,01","Subtipo da campanha":"Exibições de vídeos","Tipo de grupo de anúncios":"Anúncio responsivo em vídeo","Impr.":"172.643","Custo":"765,94","Inclusões de marca":"[]","Taxa de conv.":"0,00%","Conversões":"0,00","Custo / conv.":"0,00"}</x:v>
      </x:c>
    </x:row>
    <x:row r="1113" ht="54" customHeight="1">
      <x:c r="A1113" s="32" t="str">
        <x:v>F024</x:v>
      </x:c>
      <x:c r="B1113" s="32" t="str">
        <x:v>C03</x:v>
      </x:c>
      <x:c r="C1113" s="32" t="n">
        <x:v>2</x:v>
      </x:c>
      <x:c r="D1113" s="33" t="str">
        <x:v>{"Status do grupo de anúncios":"Total: Grupos de anúncios","Grupo de anúncios":"","Status":"","Motivos do status":"","Código da moeda":"BRL","CPV desejado TrueView":"","Visualizações do TrueView":"100.755","CPV médio do TrueView":"0,01","Subtipo da campanha":"","Tipo de grupo de anúncios":"","Impr.":"172.643","Custo":"765,94","Inclusões de marca":"","Taxa de conv.":"0,00%","Conversões":"0,00","Custo / conv.":"0,00"}</x:v>
      </x:c>
    </x:row>
    <x:row r="1114" ht="54" customHeight="1">
      <x:c r="A1114" s="32" t="str">
        <x:v>F024</x:v>
      </x:c>
      <x:c r="B1114" s="32" t="str">
        <x:v>C03</x:v>
      </x:c>
      <x:c r="C1114" s="32" t="n">
        <x:v>3</x:v>
      </x:c>
      <x:c r="D1114" s="33" t="str">
        <x:v>{"Status do grupo de anúncios":"Total: Campanha","Grupo de anúncios":"","Status":"","Motivos do status":"","Código da moeda":"BRL","CPV desejado TrueView":"","Visualizações do TrueView":"100.755","CPV médio do TrueView":"0,01","Subtipo da campanha":"","Tipo de grupo de anúncios":"","Impr.":"172.643","Custo":"765,94","Inclusões de marca":"","Taxa de conv.":"0,00%","Conversões":"0,00","Custo / conv.":"0,00"}</x:v>
      </x:c>
    </x:row>
    <x:row r="1115" ht="54" customHeight="1">
      <x:c r="A1115" s="32" t="str">
        <x:v>F025</x:v>
      </x:c>
      <x:c r="B1115" s="32" t="str">
        <x:v>C03</x:v>
      </x:c>
      <x:c r="C1115" s="32" t="n">
        <x:v>1</x:v>
      </x:c>
      <x:c r="D1115" s="33" t="str">
        <x:v>{"Local das lojas":"Supermercado Cooperja - Balneário Gaivota","address_line_1":"Av. Santa Catarina","address_line_2":" --","city":"Balneário Gaivota","country_code":"BR","phone_number":" +55 48 3583-0315","postal_code":"88955-000","province":"Santa Catarina","Alcance do local (impressões)":"0","Visitas à loja":"0","Cliques de chamada":"0","Como chegar":"0","Visitas ao site":"0"}</x:v>
      </x:c>
    </x:row>
    <x:row r="1116" ht="54" customHeight="1">
      <x:c r="A1116" s="32" t="str">
        <x:v>F025</x:v>
      </x:c>
      <x:c r="B1116" s="32" t="str">
        <x:v>C03</x:v>
      </x:c>
      <x:c r="C1116" s="32" t="n">
        <x:v>2</x:v>
      </x:c>
      <x:c r="D1116" s="33" t="str">
        <x:v>{"Local das lojas":"Supermercado Cooperja - Três Cachoeiras","address_line_1":"Av. Inácio José Schaefer","address_line_2":" --","city":"Três Cachoeiras","country_code":"BR","phone_number":" +55 51 99676-4364","postal_code":"95580-000","province":"Rio Grande do Sul","Alcance do local (impressões)":"0","Visitas à loja":"0","Cliques de chamada":"0","Como chegar":"0","Visitas ao site":"0"}</x:v>
      </x:c>
    </x:row>
    <x:row r="1117" ht="54" customHeight="1">
      <x:c r="A1117" s="32" t="str">
        <x:v>F025</x:v>
      </x:c>
      <x:c r="B1117" s="32" t="str">
        <x:v>C03</x:v>
      </x:c>
      <x:c r="C1117" s="32" t="n">
        <x:v>3</x:v>
      </x:c>
      <x:c r="D1117" s="33" t="str">
        <x:v>{"Local das lojas":"Supermercado Cooperja - Santa Rosa do Sul","address_line_1":"Rua Manoel Idalino Pereira, 505 - Quadra 70","address_line_2":" --","city":"Santa Rosa do Sul","country_code":"BR","phone_number":" +55 48 3534-1202","postal_code":"88965-000","province":"Santa Catarina","Alcance do local (impressões)":"0","Visitas à loja":"0","Cliques de chamada":"0","Como chegar":"0","Visitas ao site":"0"}</x:v>
      </x:c>
    </x:row>
    <x:row r="1118" ht="54" customHeight="1">
      <x:c r="A1118" s="32" t="str">
        <x:v>F025</x:v>
      </x:c>
      <x:c r="B1118" s="32" t="str">
        <x:v>C03</x:v>
      </x:c>
      <x:c r="C1118" s="32" t="n">
        <x:v>4</x:v>
      </x:c>
      <x:c r="D1118" s="33" t="str">
        <x:v>{"Local das lojas":"Centro de Distribuição Cooperja - Supermercados","address_line_1":"Rua Dr. Nereu Ramos","address_line_2":"Rod. José Tiscoski, 1162","city":"Jacinto Machado","country_code":"BR","phone_number":" +55 48 3535-1074","postal_code":"88950-000","province":"Santa Catarina","Alcance do local (impressões)":"1","Visitas à loja":"0","Cliques de chamada":"0","Como chegar":"0","Visitas ao site":"0"}</x:v>
      </x:c>
    </x:row>
    <x:row r="1119" ht="54" customHeight="1">
      <x:c r="A1119" s="32" t="str">
        <x:v>F025</x:v>
      </x:c>
      <x:c r="B1119" s="32" t="str">
        <x:v>C03</x:v>
      </x:c>
      <x:c r="C1119" s="32" t="n">
        <x:v>5</x:v>
      </x:c>
      <x:c r="D1119" s="33" t="str">
        <x:v>{"Local das lojas":"Supermercado Cooperja","address_line_1":"R. Padre Humberto Oening, 471","address_line_2":" --","city":"Praia Grande","country_code":"BR","phone_number":" +55 48 3532-6000","postal_code":"88990-000","province":"Santa Catarina","Alcance do local (impressões)":"0","Visitas à loja":"0","Cliques de chamada":"0","Como chegar":"0","Visitas ao site":"0"}</x:v>
      </x:c>
    </x:row>
    <x:row r="1120" ht="54" customHeight="1">
      <x:c r="A1120" s="32" t="str">
        <x:v>F025</x:v>
      </x:c>
      <x:c r="B1120" s="32" t="str">
        <x:v>C03</x:v>
      </x:c>
      <x:c r="C1120" s="32" t="n">
        <x:v>6</x:v>
      </x:c>
      <x:c r="D1120" s="33" t="str">
        <x:v>{"Local das lojas":"Supermercado Cooperja","address_line_1":"Avenida Padre Herval Fontanella, 1369","address_line_2":" --","city":"Jacinto Machado","country_code":"BR","phone_number":" +55 48 3535-6000","postal_code":"88950-000","province":"Santa Catarina","Alcance do local (impressões)":"0","Visitas à loja":"0","Cliques de chamada":"0","Como chegar":"0","Visitas ao site":"0"}</x:v>
      </x:c>
    </x:row>
    <x:row r="1121" ht="24" customHeight="1">
      <x:c r="A1121" s="32" t="str">
        <x:v>F026</x:v>
      </x:c>
      <x:c r="B1121" s="32" t="str">
        <x:v>C04</x:v>
      </x:c>
      <x:c r="C1121" s="32" t="n">
        <x:v>1</x:v>
      </x:c>
      <x:c r="D1121" s="33" t="str">
        <x:v>{"Date":"8/24/2026","Freq. méd. impr. / usuário (covisualizadas)":"1.112540192926045"}</x:v>
      </x:c>
    </x:row>
    <x:row r="1122" ht="24" customHeight="1">
      <x:c r="A1122" s="32" t="str">
        <x:v>F026</x:v>
      </x:c>
      <x:c r="B1122" s="32" t="str">
        <x:v>C04</x:v>
      </x:c>
      <x:c r="C1122" s="32" t="n">
        <x:v>2</x:v>
      </x:c>
      <x:c r="D1122" s="33" t="str">
        <x:v>{"Date":"8/31/2026","Freq. méd. impr. / usuário (covisualizadas)":"1.2017733564013842"}</x:v>
      </x:c>
    </x:row>
    <x:row r="1123" ht="24" customHeight="1">
      <x:c r="A1123" s="32" t="str">
        <x:v>F026</x:v>
      </x:c>
      <x:c r="B1123" s="32" t="str">
        <x:v>C04</x:v>
      </x:c>
      <x:c r="C1123" s="32" t="n">
        <x:v>3</x:v>
      </x:c>
      <x:c r="D1123" s="33" t="str">
        <x:v>{"Date":"9/7/2026","Freq. méd. impr. / usuário (covisualizadas)":"1.3310611224721653"}</x:v>
      </x:c>
    </x:row>
    <x:row r="1124" ht="24" customHeight="1">
      <x:c r="A1124" s="32" t="str">
        <x:v>F026</x:v>
      </x:c>
      <x:c r="B1124" s="32" t="str">
        <x:v>C04</x:v>
      </x:c>
      <x:c r="C1124" s="32" t="n">
        <x:v>4</x:v>
      </x:c>
      <x:c r="D1124" s="33" t="str">
        <x:v>{"Date":"9/14/2026","Freq. méd. impr. / usuário (covisualizadas)":"1.2453300124533002"}</x:v>
      </x:c>
    </x:row>
    <x:row r="1125" ht="24" customHeight="1">
      <x:c r="A1125" s="32" t="str">
        <x:v>F026</x:v>
      </x:c>
      <x:c r="B1125" s="32" t="str">
        <x:v>C04</x:v>
      </x:c>
      <x:c r="C1125" s="32" t="n">
        <x:v>5</x:v>
      </x:c>
      <x:c r="D1125" s="33" t="str">
        <x:v>{"Date":"9/21/2026","Freq. méd. impr. / usuário (covisualizadas)":"1.1508246527777777"}</x:v>
      </x:c>
    </x:row>
    <x:row r="1126" ht="24" customHeight="1">
      <x:c r="A1126" s="32" t="str">
        <x:v>F026</x:v>
      </x:c>
      <x:c r="B1126" s="32" t="str">
        <x:v>C04</x:v>
      </x:c>
      <x:c r="C1126" s="32" t="n">
        <x:v>6</x:v>
      </x:c>
      <x:c r="D1126" s="33" t="str">
        <x:v>{"Date":"9/28/2026","Freq. méd. impr. / usuário (covisualizadas)":"1.2937989163154726"}</x:v>
      </x:c>
    </x:row>
    <x:row r="1127" ht="24" customHeight="1">
      <x:c r="A1127" s="32" t="str">
        <x:v>F026</x:v>
      </x:c>
      <x:c r="B1127" s="32" t="str">
        <x:v>C04</x:v>
      </x:c>
      <x:c r="C1127" s="32" t="n">
        <x:v>7</x:v>
      </x:c>
      <x:c r="D1127" s="33" t="str">
        <x:v>{"Date":"10/5/2026","Freq. méd. impr. / usuário (covisualizadas)":"1.4194260485651213"}</x:v>
      </x:c>
    </x:row>
    <x:row r="1128" ht="24" customHeight="1">
      <x:c r="A1128" s="32" t="str">
        <x:v>F026</x:v>
      </x:c>
      <x:c r="B1128" s="32" t="str">
        <x:v>C04</x:v>
      </x:c>
      <x:c r="C1128" s="32" t="n">
        <x:v>8</x:v>
      </x:c>
      <x:c r="D1128" s="33" t="str">
        <x:v>{"Date":"10/12/2026","Freq. méd. impr. / usuário (covisualizadas)":"null"}</x:v>
      </x:c>
    </x:row>
    <x:row r="1129" ht="24" customHeight="1">
      <x:c r="A1129" s="32" t="str">
        <x:v>F027</x:v>
      </x:c>
      <x:c r="B1129" s="32" t="str">
        <x:v>C04</x:v>
      </x:c>
      <x:c r="C1129" s="32" t="n">
        <x:v>1</x:v>
      </x:c>
      <x:c r="D1129" s="33" t="str">
        <x:v>{"Formato de anúncio":"In-stream pulável","Tipo de canal de publicidade":"Total: campanhas de vídeo","Usuários únicos (covisualizados)":"26059"}</x:v>
      </x:c>
    </x:row>
    <x:row r="1130" ht="24" customHeight="1">
      <x:c r="A1130" s="32" t="str">
        <x:v>F027</x:v>
      </x:c>
      <x:c r="B1130" s="32" t="str">
        <x:v>C04</x:v>
      </x:c>
      <x:c r="C1130" s="32" t="n">
        <x:v>2</x:v>
      </x:c>
      <x:c r="D1130" s="33" t="str">
        <x:v>{"Formato de anúncio":"In-feed","Tipo de canal de publicidade":"Total: campanhas de vídeo","Usuários únicos (covisualizados)":"2587"}</x:v>
      </x:c>
    </x:row>
    <x:row r="1131" ht="24" customHeight="1">
      <x:c r="A1131" s="32" t="str">
        <x:v>F028</x:v>
      </x:c>
      <x:c r="B1131" s="32" t="str">
        <x:v>C04</x:v>
      </x:c>
      <x:c r="C1131" s="32" t="n">
        <x:v>1</x:v>
      </x:c>
      <x:c r="D1131" s="33" t="str">
        <x:v>{"Formato de anúncio":"Shorts","Freq. méd. impr. / usuário (covisualizadas)":""}</x:v>
      </x:c>
    </x:row>
    <x:row r="1132" ht="24" customHeight="1">
      <x:c r="A1132" s="32" t="str">
        <x:v>F028</x:v>
      </x:c>
      <x:c r="B1132" s="32" t="str">
        <x:v>C04</x:v>
      </x:c>
      <x:c r="C1132" s="32" t="n">
        <x:v>2</x:v>
      </x:c>
      <x:c r="D1132" s="33" t="str">
        <x:v>{"Formato de anúncio":"In-stream pulável","Freq. méd. impr. / usuário (covisualizadas)":"1.289496910856134"}</x:v>
      </x:c>
    </x:row>
    <x:row r="1133" ht="24" customHeight="1">
      <x:c r="A1133" s="32" t="str">
        <x:v>F028</x:v>
      </x:c>
      <x:c r="B1133" s="32" t="str">
        <x:v>C04</x:v>
      </x:c>
      <x:c r="C1133" s="32" t="n">
        <x:v>3</x:v>
      </x:c>
      <x:c r="D1133" s="33" t="str">
        <x:v>{"Formato de anúncio":"In-feed","Freq. méd. impr. / usuário (covisualizadas)":"1.4395052183996908"}</x:v>
      </x:c>
    </x:row>
    <x:row r="1134" ht="24" customHeight="1">
      <x:c r="A1134" s="32" t="str">
        <x:v>F029</x:v>
      </x:c>
      <x:c r="B1134" s="32" t="str">
        <x:v>C04</x:v>
      </x:c>
      <x:c r="C1134" s="32" t="n">
        <x:v>1</x:v>
      </x:c>
      <x:c r="D1134" s="33" t="str">
        <x:v>{"Dispositivo":"Tablets","Usuários únicos (covisualizados)":"399"}</x:v>
      </x:c>
    </x:row>
    <x:row r="1135" ht="24" customHeight="1">
      <x:c r="A1135" s="32" t="str">
        <x:v>F029</x:v>
      </x:c>
      <x:c r="B1135" s="32" t="str">
        <x:v>C04</x:v>
      </x:c>
      <x:c r="C1135" s="32" t="n">
        <x:v>2</x:v>
      </x:c>
      <x:c r="D1135" s="33" t="str">
        <x:v>{"Dispositivo":"Dispositivos móveis","Usuários únicos (covisualizados)":"7621"}</x:v>
      </x:c>
    </x:row>
    <x:row r="1136" ht="24" customHeight="1">
      <x:c r="A1136" s="32" t="str">
        <x:v>F029</x:v>
      </x:c>
      <x:c r="B1136" s="32" t="str">
        <x:v>C04</x:v>
      </x:c>
      <x:c r="C1136" s="32" t="n">
        <x:v>3</x:v>
      </x:c>
      <x:c r="D1136" s="33" t="str">
        <x:v>{"Dispositivo":"Computadores","Usuários únicos (covisualizados)":"1263"}</x:v>
      </x:c>
    </x:row>
    <x:row r="1137" ht="24" customHeight="1">
      <x:c r="A1137" s="32" t="str">
        <x:v>F029</x:v>
      </x:c>
      <x:c r="B1137" s="32" t="str">
        <x:v>C04</x:v>
      </x:c>
      <x:c r="C1137" s="32" t="n">
        <x:v>4</x:v>
      </x:c>
      <x:c r="D1137" s="33" t="str">
        <x:v>{"Dispositivo":"Telas de TV","Usuários únicos (covisualizados)":"19296"}</x:v>
      </x:c>
    </x:row>
    <x:row r="1138" ht="24" customHeight="1">
      <x:c r="A1138" s="32" t="str">
        <x:v>F030</x:v>
      </x:c>
      <x:c r="B1138" s="32" t="str">
        <x:v>C04</x:v>
      </x:c>
      <x:c r="C1138" s="32" t="n">
        <x:v>1</x:v>
      </x:c>
      <x:c r="D1138" s="33" t="str">
        <x:v>{"Dispositivo":"Tablets","Freq. méd. impr. / usuário (covisualizadas)":"1.5764411027568923"}</x:v>
      </x:c>
    </x:row>
    <x:row r="1139" ht="24" customHeight="1">
      <x:c r="A1139" s="32" t="str">
        <x:v>F030</x:v>
      </x:c>
      <x:c r="B1139" s="32" t="str">
        <x:v>C04</x:v>
      </x:c>
      <x:c r="C1139" s="32" t="n">
        <x:v>2</x:v>
      </x:c>
      <x:c r="D1139" s="33" t="str">
        <x:v>{"Dispositivo":"Dispositivos móveis","Freq. méd. impr. / usuário (covisualizadas)":"1.711980055110878"}</x:v>
      </x:c>
    </x:row>
    <x:row r="1140" ht="24" customHeight="1">
      <x:c r="A1140" s="32" t="str">
        <x:v>F030</x:v>
      </x:c>
      <x:c r="B1140" s="32" t="str">
        <x:v>C04</x:v>
      </x:c>
      <x:c r="C1140" s="32" t="n">
        <x:v>3</x:v>
      </x:c>
      <x:c r="D1140" s="33" t="str">
        <x:v>{"Dispositivo":"Computadores","Freq. méd. impr. / usuário (covisualizadas)":"1.6571654790182107"}</x:v>
      </x:c>
    </x:row>
    <x:row r="1141" ht="24" customHeight="1">
      <x:c r="A1141" s="32" t="str">
        <x:v>F030</x:v>
      </x:c>
      <x:c r="B1141" s="32" t="str">
        <x:v>C04</x:v>
      </x:c>
      <x:c r="C1141" s="32" t="n">
        <x:v>4</x:v>
      </x:c>
      <x:c r="D1141" s="33" t="str">
        <x:v>{"Dispositivo":"Telas de TV","Freq. méd. impr. / usuário (covisualizadas)":"1.1194029850746268"}</x:v>
      </x:c>
    </x:row>
    <x:row r="1142" ht="24" customHeight="1">
      <x:c r="A1142" s="32" t="str">
        <x:v>F031</x:v>
      </x:c>
      <x:c r="B1142" s="32" t="str">
        <x:v>C04</x:v>
      </x:c>
      <x:c r="C1142" s="32" t="n">
        <x:v>1</x:v>
      </x:c>
      <x:c r="D1142" s="33" t="str">
        <x:v>{"País":"Brazil","Usuários únicos (covisualizados)":"28532","Freq. méd. impr. / usuário (covisualizadas)":"1.3097224169353707"}</x:v>
      </x:c>
    </x:row>
    <x:row r="1143" ht="24" customHeight="1">
      <x:c r="A1143" s="32" t="str">
        <x:v>F032</x:v>
      </x:c>
      <x:c r="B1143" s="32" t="str">
        <x:v>C04</x:v>
      </x:c>
      <x:c r="C1143" s="32" t="n">
        <x:v>1</x:v>
      </x:c>
      <x:c r="D1143" s="33" t="str">
        <x:v>{"Data":"qui., 27 de ago. de 2026","Visualizações do TrueView":"0","Cliques":"0","Impr.":"0","Visualizações públicas do YouTube":"0"}</x:v>
      </x:c>
    </x:row>
    <x:row r="1144" ht="24" customHeight="1">
      <x:c r="A1144" s="32" t="str">
        <x:v>F032</x:v>
      </x:c>
      <x:c r="B1144" s="32" t="str">
        <x:v>C04</x:v>
      </x:c>
      <x:c r="C1144" s="32" t="n">
        <x:v>2</x:v>
      </x:c>
      <x:c r="D1144" s="33" t="str">
        <x:v>{"Data":"sex., 28 de ago. de 2026","Visualizações do TrueView":"2","Cliques":"0","Impr.":"12","Visualizações públicas do YouTube":"6"}</x:v>
      </x:c>
    </x:row>
    <x:row r="1145" ht="24" customHeight="1">
      <x:c r="A1145" s="32" t="str">
        <x:v>F032</x:v>
      </x:c>
      <x:c r="B1145" s="32" t="str">
        <x:v>C04</x:v>
      </x:c>
      <x:c r="C1145" s="32" t="n">
        <x:v>3</x:v>
      </x:c>
      <x:c r="D1145" s="33" t="str">
        <x:v>{"Data":"sáb., 29 de ago. de 2026","Visualizações do TrueView":"2","Cliques":"0","Impr.":"3","Visualizações públicas do YouTube":"0"}</x:v>
      </x:c>
    </x:row>
    <x:row r="1146" ht="24" customHeight="1">
      <x:c r="A1146" s="32" t="str">
        <x:v>F032</x:v>
      </x:c>
      <x:c r="B1146" s="32" t="str">
        <x:v>C04</x:v>
      </x:c>
      <x:c r="C1146" s="32" t="n">
        <x:v>4</x:v>
      </x:c>
      <x:c r="D1146" s="33" t="str">
        <x:v>{"Data":"dom., 30 de ago. de 2026","Visualizações do TrueView":"72","Cliques":"0","Impr.":"295","Visualizações públicas do YouTube":"105"}</x:v>
      </x:c>
    </x:row>
    <x:row r="1147" ht="24" customHeight="1">
      <x:c r="A1147" s="32" t="str">
        <x:v>F032</x:v>
      </x:c>
      <x:c r="B1147" s="32" t="str">
        <x:v>C04</x:v>
      </x:c>
      <x:c r="C1147" s="32" t="n">
        <x:v>5</x:v>
      </x:c>
      <x:c r="D1147" s="33" t="str">
        <x:v>{"Data":"seg., 31 de ago. de 2026","Visualizações do TrueView":"8","Cliques":"0","Impr.":"31","Visualizações públicas do YouTube":"2"}</x:v>
      </x:c>
    </x:row>
    <x:row r="1148" ht="24" customHeight="1">
      <x:c r="A1148" s="32" t="str">
        <x:v>F032</x:v>
      </x:c>
      <x:c r="B1148" s="32" t="str">
        <x:v>C04</x:v>
      </x:c>
      <x:c r="C1148" s="32" t="n">
        <x:v>6</x:v>
      </x:c>
      <x:c r="D1148" s="33" t="str">
        <x:v>{"Data":"ter., 1 de set. de 2026","Visualizações do TrueView":"54","Cliques":"2","Impr.":"115","Visualizações públicas do YouTube":"73"}</x:v>
      </x:c>
    </x:row>
    <x:row r="1149" ht="24" customHeight="1">
      <x:c r="A1149" s="32" t="str">
        <x:v>F032</x:v>
      </x:c>
      <x:c r="B1149" s="32" t="str">
        <x:v>C04</x:v>
      </x:c>
      <x:c r="C1149" s="32" t="n">
        <x:v>7</x:v>
      </x:c>
      <x:c r="D1149" s="33" t="str">
        <x:v>{"Data":"qua., 2 de set. de 2026","Visualizações do TrueView":"611","Cliques":"1","Impr.":"1.013","Visualizações públicas do YouTube":"600"}</x:v>
      </x:c>
    </x:row>
    <x:row r="1150" ht="24" customHeight="1">
      <x:c r="A1150" s="32" t="str">
        <x:v>F032</x:v>
      </x:c>
      <x:c r="B1150" s="32" t="str">
        <x:v>C04</x:v>
      </x:c>
      <x:c r="C1150" s="32" t="n">
        <x:v>8</x:v>
      </x:c>
      <x:c r="D1150" s="33" t="str">
        <x:v>{"Data":"qui., 3 de set. de 2026","Visualizações do TrueView":"241","Cliques":"2","Impr.":"470","Visualizações públicas do YouTube":"176"}</x:v>
      </x:c>
    </x:row>
    <x:row r="1151" ht="24" customHeight="1">
      <x:c r="A1151" s="32" t="str">
        <x:v>F032</x:v>
      </x:c>
      <x:c r="B1151" s="32" t="str">
        <x:v>C04</x:v>
      </x:c>
      <x:c r="C1151" s="32" t="n">
        <x:v>9</x:v>
      </x:c>
      <x:c r="D1151" s="33" t="str">
        <x:v>{"Data":"sex., 4 de set. de 2026","Visualizações do TrueView":"376","Cliques":"2","Impr.":"715","Visualizações públicas do YouTube":"260"}</x:v>
      </x:c>
    </x:row>
    <x:row r="1152" ht="24" customHeight="1">
      <x:c r="A1152" s="32" t="str">
        <x:v>F032</x:v>
      </x:c>
      <x:c r="B1152" s="32" t="str">
        <x:v>C04</x:v>
      </x:c>
      <x:c r="C1152" s="32" t="n">
        <x:v>10</x:v>
      </x:c>
      <x:c r="D1152" s="33" t="str">
        <x:v>{"Data":"sáb., 5 de set. de 2026","Visualizações do TrueView":"564","Cliques":"1","Impr.":"1.061","Visualizações públicas do YouTube":"486"}</x:v>
      </x:c>
    </x:row>
    <x:row r="1153" ht="24" customHeight="1">
      <x:c r="A1153" s="32" t="str">
        <x:v>F032</x:v>
      </x:c>
      <x:c r="B1153" s="32" t="str">
        <x:v>C04</x:v>
      </x:c>
      <x:c r="C1153" s="32" t="n">
        <x:v>11</x:v>
      </x:c>
      <x:c r="D1153" s="33" t="str">
        <x:v>{"Data":"dom., 6 de set. de 2026","Visualizações do TrueView":"659","Cliques":"0","Impr.":"1.223","Visualizações públicas do YouTube":"1.014"}</x:v>
      </x:c>
    </x:row>
    <x:row r="1154" ht="24" customHeight="1">
      <x:c r="A1154" s="32" t="str">
        <x:v>F032</x:v>
      </x:c>
      <x:c r="B1154" s="32" t="str">
        <x:v>C04</x:v>
      </x:c>
      <x:c r="C1154" s="32" t="n">
        <x:v>12</x:v>
      </x:c>
      <x:c r="D1154" s="33" t="str">
        <x:v>{"Data":"seg., 7 de set. de 2026","Visualizações do TrueView":"956","Cliques":"0","Impr.":"1.572","Visualizações públicas do YouTube":"1.099"}</x:v>
      </x:c>
    </x:row>
    <x:row r="1155" ht="24" customHeight="1">
      <x:c r="A1155" s="32" t="str">
        <x:v>F032</x:v>
      </x:c>
      <x:c r="B1155" s="32" t="str">
        <x:v>C04</x:v>
      </x:c>
      <x:c r="C1155" s="32" t="n">
        <x:v>13</x:v>
      </x:c>
      <x:c r="D1155" s="33" t="str">
        <x:v>{"Data":"ter., 8 de set. de 2026","Visualizações do TrueView":"367","Cliques":"2","Impr.":"651","Visualizações públicas do YouTube":"388"}</x:v>
      </x:c>
    </x:row>
    <x:row r="1156" ht="24" customHeight="1">
      <x:c r="A1156" s="32" t="str">
        <x:v>F032</x:v>
      </x:c>
      <x:c r="B1156" s="32" t="str">
        <x:v>C04</x:v>
      </x:c>
      <x:c r="C1156" s="32" t="n">
        <x:v>14</x:v>
      </x:c>
      <x:c r="D1156" s="33" t="str">
        <x:v>{"Data":"qua., 9 de set. de 2026","Visualizações do TrueView":"211","Cliques":"0","Impr.":"948","Visualizações públicas do YouTube":"16"}</x:v>
      </x:c>
    </x:row>
    <x:row r="1157" ht="24" customHeight="1">
      <x:c r="A1157" s="32" t="str">
        <x:v>F032</x:v>
      </x:c>
      <x:c r="B1157" s="32" t="str">
        <x:v>C04</x:v>
      </x:c>
      <x:c r="C1157" s="32" t="n">
        <x:v>15</x:v>
      </x:c>
      <x:c r="D1157" s="33" t="str">
        <x:v>{"Data":"qui., 10 de set. de 2026","Visualizações do TrueView":"185","Cliques":"0","Impr.":"414","Visualizações públicas do YouTube":"51"}</x:v>
      </x:c>
    </x:row>
    <x:row r="1158" ht="24" customHeight="1">
      <x:c r="A1158" s="32" t="str">
        <x:v>F032</x:v>
      </x:c>
      <x:c r="B1158" s="32" t="str">
        <x:v>C04</x:v>
      </x:c>
      <x:c r="C1158" s="32" t="n">
        <x:v>16</x:v>
      </x:c>
      <x:c r="D1158" s="33" t="str">
        <x:v>{"Data":"sex., 11 de set. de 2026","Visualizações do TrueView":"101","Cliques":"0","Impr.":"427","Visualizações públicas do YouTube":"364"}</x:v>
      </x:c>
    </x:row>
    <x:row r="1159" ht="24" customHeight="1">
      <x:c r="A1159" s="32" t="str">
        <x:v>F032</x:v>
      </x:c>
      <x:c r="B1159" s="32" t="str">
        <x:v>C04</x:v>
      </x:c>
      <x:c r="C1159" s="32" t="n">
        <x:v>17</x:v>
      </x:c>
      <x:c r="D1159" s="33" t="str">
        <x:v>{"Data":"sáb., 12 de set. de 2026","Visualizações do TrueView":"224","Cliques":"0","Impr.":"554","Visualizações públicas do YouTube":"518"}</x:v>
      </x:c>
    </x:row>
    <x:row r="1160" ht="24" customHeight="1">
      <x:c r="A1160" s="32" t="str">
        <x:v>F032</x:v>
      </x:c>
      <x:c r="B1160" s="32" t="str">
        <x:v>C04</x:v>
      </x:c>
      <x:c r="C1160" s="32" t="n">
        <x:v>18</x:v>
      </x:c>
      <x:c r="D1160" s="33" t="str">
        <x:v>{"Data":"dom., 13 de set. de 2026","Visualizações do TrueView":"173","Cliques":"3","Impr.":"723","Visualizações públicas do YouTube":"605"}</x:v>
      </x:c>
    </x:row>
    <x:row r="1161" ht="24" customHeight="1">
      <x:c r="A1161" s="32" t="str">
        <x:v>F032</x:v>
      </x:c>
      <x:c r="B1161" s="32" t="str">
        <x:v>C04</x:v>
      </x:c>
      <x:c r="C1161" s="32" t="n">
        <x:v>19</x:v>
      </x:c>
      <x:c r="D1161" s="33" t="str">
        <x:v>{"Data":"seg., 14 de set. de 2026","Visualizações do TrueView":"248","Cliques":"1","Impr.":"1.480","Visualizações públicas do YouTube":"1.162"}</x:v>
      </x:c>
    </x:row>
    <x:row r="1162" ht="24" customHeight="1">
      <x:c r="A1162" s="32" t="str">
        <x:v>F032</x:v>
      </x:c>
      <x:c r="B1162" s="32" t="str">
        <x:v>C04</x:v>
      </x:c>
      <x:c r="C1162" s="32" t="n">
        <x:v>20</x:v>
      </x:c>
      <x:c r="D1162" s="33" t="str">
        <x:v>{"Data":"ter., 15 de set. de 2026","Visualizações do TrueView":"981","Cliques":"1","Impr.":"1.879","Visualizações públicas do YouTube":"1.645"}</x:v>
      </x:c>
    </x:row>
    <x:row r="1163" ht="24" customHeight="1">
      <x:c r="A1163" s="32" t="str">
        <x:v>F032</x:v>
      </x:c>
      <x:c r="B1163" s="32" t="str">
        <x:v>C04</x:v>
      </x:c>
      <x:c r="C1163" s="32" t="n">
        <x:v>21</x:v>
      </x:c>
      <x:c r="D1163" s="33" t="str">
        <x:v>{"Data":"qua., 16 de set. de 2026","Visualizações do TrueView":"675","Cliques":"0","Impr.":"1.013","Visualizações públicas do YouTube":"905"}</x:v>
      </x:c>
    </x:row>
    <x:row r="1164" ht="24" customHeight="1">
      <x:c r="A1164" s="32" t="str">
        <x:v>F032</x:v>
      </x:c>
      <x:c r="B1164" s="32" t="str">
        <x:v>C04</x:v>
      </x:c>
      <x:c r="C1164" s="32" t="n">
        <x:v>22</x:v>
      </x:c>
      <x:c r="D1164" s="33" t="str">
        <x:v>{"Data":"qui., 17 de set. de 2026","Visualizações do TrueView":"419","Cliques":"0","Impr.":"992","Visualizações públicas do YouTube":"620"}</x:v>
      </x:c>
    </x:row>
    <x:row r="1165" ht="24" customHeight="1">
      <x:c r="A1165" s="32" t="str">
        <x:v>F032</x:v>
      </x:c>
      <x:c r="B1165" s="32" t="str">
        <x:v>C04</x:v>
      </x:c>
      <x:c r="C1165" s="32" t="n">
        <x:v>23</x:v>
      </x:c>
      <x:c r="D1165" s="33" t="str">
        <x:v>{"Data":"sex., 18 de set. de 2026","Visualizações do TrueView":"119","Cliques":"5","Impr.":"543","Visualizações públicas do YouTube":"447"}</x:v>
      </x:c>
    </x:row>
    <x:row r="1166" ht="24" customHeight="1">
      <x:c r="A1166" s="32" t="str">
        <x:v>F032</x:v>
      </x:c>
      <x:c r="B1166" s="32" t="str">
        <x:v>C04</x:v>
      </x:c>
      <x:c r="C1166" s="32" t="n">
        <x:v>24</x:v>
      </x:c>
      <x:c r="D1166" s="33" t="str">
        <x:v>{"Data":"sáb., 19 de set. de 2026","Visualizações do TrueView":"494","Cliques":"0","Impr.":"926","Visualizações públicas do YouTube":"795"}</x:v>
      </x:c>
    </x:row>
    <x:row r="1167" ht="24" customHeight="1">
      <x:c r="A1167" s="32" t="str">
        <x:v>F032</x:v>
      </x:c>
      <x:c r="B1167" s="32" t="str">
        <x:v>C04</x:v>
      </x:c>
      <x:c r="C1167" s="32" t="n">
        <x:v>25</x:v>
      </x:c>
      <x:c r="D1167" s="33" t="str">
        <x:v>{"Data":"dom., 20 de set. de 2026","Visualizações do TrueView":"999","Cliques":"0","Impr.":"1.530","Visualizações públicas do YouTube":"1.481"}</x:v>
      </x:c>
    </x:row>
    <x:row r="1168" ht="24" customHeight="1">
      <x:c r="A1168" s="32" t="str">
        <x:v>F032</x:v>
      </x:c>
      <x:c r="B1168" s="32" t="str">
        <x:v>C04</x:v>
      </x:c>
      <x:c r="C1168" s="32" t="n">
        <x:v>26</x:v>
      </x:c>
      <x:c r="D1168" s="33" t="str">
        <x:v>{"Data":"seg., 21 de set. de 2026","Visualizações do TrueView":"869","Cliques":"0","Impr.":"1.177","Visualizações públicas do YouTube":"1.155"}</x:v>
      </x:c>
    </x:row>
    <x:row r="1169" ht="24" customHeight="1">
      <x:c r="A1169" s="32" t="str">
        <x:v>F032</x:v>
      </x:c>
      <x:c r="B1169" s="32" t="str">
        <x:v>C04</x:v>
      </x:c>
      <x:c r="C1169" s="32" t="n">
        <x:v>27</x:v>
      </x:c>
      <x:c r="D1169" s="33" t="str">
        <x:v>{"Data":"ter., 22 de set. de 2026","Visualizações do TrueView":"446","Cliques":"0","Impr.":"726","Visualizações públicas do YouTube":"718"}</x:v>
      </x:c>
    </x:row>
    <x:row r="1170" ht="24" customHeight="1">
      <x:c r="A1170" s="32" t="str">
        <x:v>F032</x:v>
      </x:c>
      <x:c r="B1170" s="32" t="str">
        <x:v>C04</x:v>
      </x:c>
      <x:c r="C1170" s="32" t="n">
        <x:v>28</x:v>
      </x:c>
      <x:c r="D1170" s="33" t="str">
        <x:v>{"Data":"qua., 23 de set. de 2026","Visualizações do TrueView":"821","Cliques":"1","Impr.":"1.425","Visualizações públicas do YouTube":"1.378"}</x:v>
      </x:c>
    </x:row>
    <x:row r="1171" ht="24" customHeight="1">
      <x:c r="A1171" s="32" t="str">
        <x:v>F032</x:v>
      </x:c>
      <x:c r="B1171" s="32" t="str">
        <x:v>C04</x:v>
      </x:c>
      <x:c r="C1171" s="32" t="n">
        <x:v>29</x:v>
      </x:c>
      <x:c r="D1171" s="33" t="str">
        <x:v>{"Data":"qui., 24 de set. de 2026","Visualizações do TrueView":"552","Cliques":"0","Impr.":"903","Visualizações públicas do YouTube":"873"}</x:v>
      </x:c>
    </x:row>
    <x:row r="1172" ht="24" customHeight="1">
      <x:c r="A1172" s="32" t="str">
        <x:v>F032</x:v>
      </x:c>
      <x:c r="B1172" s="32" t="str">
        <x:v>C04</x:v>
      </x:c>
      <x:c r="C1172" s="32" t="n">
        <x:v>30</x:v>
      </x:c>
      <x:c r="D1172" s="33" t="str">
        <x:v>{"Data":"sex., 25 de set. de 2026","Visualizações do TrueView":"52","Cliques":"0","Impr.":"109","Visualizações públicas do YouTube":"103"}</x:v>
      </x:c>
    </x:row>
    <x:row r="1173" ht="24" customHeight="1">
      <x:c r="A1173" s="32" t="str">
        <x:v>F032</x:v>
      </x:c>
      <x:c r="B1173" s="32" t="str">
        <x:v>C04</x:v>
      </x:c>
      <x:c r="C1173" s="32" t="n">
        <x:v>31</x:v>
      </x:c>
      <x:c r="D1173" s="33" t="str">
        <x:v>{"Data":"sáb., 26 de set. de 2026","Visualizações do TrueView":"0","Cliques":"0","Impr.":"0","Visualizações públicas do YouTube":"0"}</x:v>
      </x:c>
    </x:row>
    <x:row r="1174" ht="24" customHeight="1">
      <x:c r="A1174" s="32" t="str">
        <x:v>F032</x:v>
      </x:c>
      <x:c r="B1174" s="32" t="str">
        <x:v>C04</x:v>
      </x:c>
      <x:c r="C1174" s="32" t="n">
        <x:v>32</x:v>
      </x:c>
      <x:c r="D1174" s="33" t="str">
        <x:v>{"Data":"dom., 27 de set. de 2026","Visualizações do TrueView":"3","Cliques":"0","Impr.":"4","Visualizações públicas do YouTube":"4"}</x:v>
      </x:c>
    </x:row>
    <x:row r="1175" ht="24" customHeight="1">
      <x:c r="A1175" s="32" t="str">
        <x:v>F032</x:v>
      </x:c>
      <x:c r="B1175" s="32" t="str">
        <x:v>C04</x:v>
      </x:c>
      <x:c r="C1175" s="32" t="n">
        <x:v>33</x:v>
      </x:c>
      <x:c r="D1175" s="33" t="str">
        <x:v>{"Data":"seg., 28 de set. de 2026","Visualizações do TrueView":"0","Cliques":"0","Impr.":"0","Visualizações públicas do YouTube":"0"}</x:v>
      </x:c>
    </x:row>
    <x:row r="1176" ht="24" customHeight="1">
      <x:c r="A1176" s="32" t="str">
        <x:v>F032</x:v>
      </x:c>
      <x:c r="B1176" s="32" t="str">
        <x:v>C04</x:v>
      </x:c>
      <x:c r="C1176" s="32" t="n">
        <x:v>34</x:v>
      </x:c>
      <x:c r="D1176" s="33" t="str">
        <x:v>{"Data":"ter., 29 de set. de 2026","Visualizações do TrueView":"6","Cliques":"0","Impr.":"7","Visualizações públicas do YouTube":"7"}</x:v>
      </x:c>
    </x:row>
    <x:row r="1177" ht="24" customHeight="1">
      <x:c r="A1177" s="32" t="str">
        <x:v>F032</x:v>
      </x:c>
      <x:c r="B1177" s="32" t="str">
        <x:v>C04</x:v>
      </x:c>
      <x:c r="C1177" s="32" t="n">
        <x:v>35</x:v>
      </x:c>
      <x:c r="D1177" s="33" t="str">
        <x:v>{"Data":"qua., 30 de set. de 2026","Visualizações do TrueView":"0","Cliques":"0","Impr.":"0","Visualizações públicas do YouTube":"0"}</x:v>
      </x:c>
    </x:row>
    <x:row r="1178" ht="24" customHeight="1">
      <x:c r="A1178" s="32" t="str">
        <x:v>F032</x:v>
      </x:c>
      <x:c r="B1178" s="32" t="str">
        <x:v>C04</x:v>
      </x:c>
      <x:c r="C1178" s="32" t="n">
        <x:v>36</x:v>
      </x:c>
      <x:c r="D1178" s="33" t="str">
        <x:v>{"Data":"qui., 1 de out. de 2026","Visualizações do TrueView":"315","Cliques":"0","Impr.":"546","Visualizações públicas do YouTube":"502"}</x:v>
      </x:c>
    </x:row>
    <x:row r="1179" ht="24" customHeight="1">
      <x:c r="A1179" s="32" t="str">
        <x:v>F032</x:v>
      </x:c>
      <x:c r="B1179" s="32" t="str">
        <x:v>C04</x:v>
      </x:c>
      <x:c r="C1179" s="32" t="n">
        <x:v>37</x:v>
      </x:c>
      <x:c r="D1179" s="33" t="str">
        <x:v>{"Data":"sex., 2 de out. de 2026","Visualizações do TrueView":"654","Cliques":"0","Impr.":"829","Visualizações públicas do YouTube":"822"}</x:v>
      </x:c>
    </x:row>
    <x:row r="1180" ht="24" customHeight="1">
      <x:c r="A1180" s="32" t="str">
        <x:v>F032</x:v>
      </x:c>
      <x:c r="B1180" s="32" t="str">
        <x:v>C04</x:v>
      </x:c>
      <x:c r="C1180" s="32" t="n">
        <x:v>38</x:v>
      </x:c>
      <x:c r="D1180" s="33" t="str">
        <x:v>{"Data":"sáb., 3 de out. de 2026","Visualizações do TrueView":"474","Cliques":"4","Impr.":"2.023","Visualizações públicas do YouTube":"1.577"}</x:v>
      </x:c>
    </x:row>
    <x:row r="1181" ht="24" customHeight="1">
      <x:c r="A1181" s="32" t="str">
        <x:v>F032</x:v>
      </x:c>
      <x:c r="B1181" s="32" t="str">
        <x:v>C04</x:v>
      </x:c>
      <x:c r="C1181" s="32" t="n">
        <x:v>39</x:v>
      </x:c>
      <x:c r="D1181" s="33" t="str">
        <x:v>{"Data":"dom., 4 de out. de 2026","Visualizações do TrueView":"385","Cliques":"10","Impr.":"2.320","Visualizações públicas do YouTube":"1.992"}</x:v>
      </x:c>
    </x:row>
    <x:row r="1182" ht="24" customHeight="1">
      <x:c r="A1182" s="32" t="str">
        <x:v>F032</x:v>
      </x:c>
      <x:c r="B1182" s="32" t="str">
        <x:v>C04</x:v>
      </x:c>
      <x:c r="C1182" s="32" t="n">
        <x:v>40</x:v>
      </x:c>
      <x:c r="D1182" s="33" t="str">
        <x:v>{"Data":"seg., 5 de out. de 2026","Visualizações do TrueView":"1.037","Cliques":"1","Impr.":"2.153","Visualizações públicas do YouTube":"1.695"}</x:v>
      </x:c>
    </x:row>
    <x:row r="1183" ht="24" customHeight="1">
      <x:c r="A1183" s="32" t="str">
        <x:v>F032</x:v>
      </x:c>
      <x:c r="B1183" s="32" t="str">
        <x:v>C04</x:v>
      </x:c>
      <x:c r="C1183" s="32" t="n">
        <x:v>41</x:v>
      </x:c>
      <x:c r="D1183" s="33" t="str">
        <x:v>{"Data":"ter., 6 de out. de 2026","Visualizações do TrueView":"447","Cliques":"1","Impr.":"1.364","Visualizações públicas do YouTube":"1.185"}</x:v>
      </x:c>
    </x:row>
    <x:row r="1184" ht="24" customHeight="1">
      <x:c r="A1184" s="32" t="str">
        <x:v>F032</x:v>
      </x:c>
      <x:c r="B1184" s="32" t="str">
        <x:v>C04</x:v>
      </x:c>
      <x:c r="C1184" s="32" t="n">
        <x:v>42</x:v>
      </x:c>
      <x:c r="D1184" s="33" t="str">
        <x:v>{"Data":"qua., 7 de out. de 2026","Visualizações do TrueView":"0","Cliques":"0","Impr.":"0","Visualizações públicas do YouTube":"0"}</x:v>
      </x:c>
    </x:row>
    <x:row r="1185" ht="24" customHeight="1">
      <x:c r="A1185" s="32" t="str">
        <x:v>F032</x:v>
      </x:c>
      <x:c r="B1185" s="32" t="str">
        <x:v>C04</x:v>
      </x:c>
      <x:c r="C1185" s="32" t="n">
        <x:v>43</x:v>
      </x:c>
      <x:c r="D1185" s="33" t="str">
        <x:v>{"Data":"qui., 8 de out. de 2026","Visualizações do TrueView":"0","Cliques":"0","Impr.":"0","Visualizações públicas do YouTube":"0"}</x:v>
      </x:c>
    </x:row>
    <x:row r="1186" ht="24" customHeight="1">
      <x:c r="A1186" s="32" t="str">
        <x:v>F032</x:v>
      </x:c>
      <x:c r="B1186" s="32" t="str">
        <x:v>C04</x:v>
      </x:c>
      <x:c r="C1186" s="32" t="n">
        <x:v>44</x:v>
      </x:c>
      <x:c r="D1186" s="33" t="str">
        <x:v>{"Data":"sex., 9 de out. de 2026","Visualizações do TrueView":"0","Cliques":"0","Impr.":"0","Visualizações públicas do YouTube":"0"}</x:v>
      </x:c>
    </x:row>
    <x:row r="1187" ht="24" customHeight="1">
      <x:c r="A1187" s="32" t="str">
        <x:v>F032</x:v>
      </x:c>
      <x:c r="B1187" s="32" t="str">
        <x:v>C04</x:v>
      </x:c>
      <x:c r="C1187" s="32" t="n">
        <x:v>45</x:v>
      </x:c>
      <x:c r="D1187" s="33" t="str">
        <x:v>{"Data":"sáb., 10 de out. de 2026","Visualizações do TrueView":"0","Cliques":"0","Impr.":"0","Visualizações públicas do YouTube":"0"}</x:v>
      </x:c>
    </x:row>
    <x:row r="1188" ht="24" customHeight="1">
      <x:c r="A1188" s="32" t="str">
        <x:v>F032</x:v>
      </x:c>
      <x:c r="B1188" s="32" t="str">
        <x:v>C04</x:v>
      </x:c>
      <x:c r="C1188" s="32" t="n">
        <x:v>46</x:v>
      </x:c>
      <x:c r="D1188" s="33" t="str">
        <x:v>{"Data":"dom., 11 de out. de 2026","Visualizações do TrueView":"0","Cliques":"0","Impr.":"0","Visualizações públicas do YouTube":"0"}</x:v>
      </x:c>
    </x:row>
    <x:row r="1189" ht="24" customHeight="1">
      <x:c r="A1189" s="32" t="str">
        <x:v>F032</x:v>
      </x:c>
      <x:c r="B1189" s="32" t="str">
        <x:v>C04</x:v>
      </x:c>
      <x:c r="C1189" s="32" t="n">
        <x:v>47</x:v>
      </x:c>
      <x:c r="D1189" s="33" t="str">
        <x:v>{"Data":"seg., 12 de out. de 2026","Visualizações do TrueView":"0","Cliques":"0","Impr.":"0","Visualizações públicas do YouTube":"0"}</x:v>
      </x:c>
    </x:row>
    <x:row r="1190" ht="24" customHeight="1">
      <x:c r="A1190" s="32" t="str">
        <x:v>F032</x:v>
      </x:c>
      <x:c r="B1190" s="32" t="str">
        <x:v>C04</x:v>
      </x:c>
      <x:c r="C1190" s="32" t="n">
        <x:v>48</x:v>
      </x:c>
      <x:c r="D1190" s="33" t="str">
        <x:v>{"Data":"ter., 13 de out. de 2026","Visualizações do TrueView":"0","Cliques":"0","Impr.":"0","Visualizações públicas do YouTube":"0"}</x:v>
      </x:c>
    </x:row>
    <x:row r="1191" ht="24" customHeight="1">
      <x:c r="A1191" s="32" t="str">
        <x:v>F032</x:v>
      </x:c>
      <x:c r="B1191" s="32" t="str">
        <x:v>C04</x:v>
      </x:c>
      <x:c r="C1191" s="32" t="n">
        <x:v>49</x:v>
      </x:c>
      <x:c r="D1191" s="33" t="str">
        <x:v>{"Data":"qua., 14 de out. de 2026","Visualizações do TrueView":"0","Cliques":"0","Impr.":"0","Visualizações públicas do YouTube":"0"}</x:v>
      </x:c>
    </x:row>
    <x:row r="1192" ht="24" customHeight="1">
      <x:c r="A1192" s="32" t="str">
        <x:v>F033</x:v>
      </x:c>
      <x:c r="B1192" s="32" t="str">
        <x:v>C04</x:v>
      </x:c>
      <x:c r="C1192" s="32" t="n">
        <x:v>1</x:v>
      </x:c>
      <x:c r="D1192" s="33" t="str">
        <x:v>{"Data":"qui., 27 de ago. de 2026","Cliques":"0","Visualizações públicas do YouTube":"0","Shorts":"—","Custo":"R$ 0,00"}</x:v>
      </x:c>
    </x:row>
    <x:row r="1193" ht="24" customHeight="1">
      <x:c r="A1193" s="32" t="str">
        <x:v>F033</x:v>
      </x:c>
      <x:c r="B1193" s="32" t="str">
        <x:v>C04</x:v>
      </x:c>
      <x:c r="C1193" s="32" t="n">
        <x:v>2</x:v>
      </x:c>
      <x:c r="D1193" s="33" t="str">
        <x:v>{"Data":"sex., 28 de ago. de 2026","Cliques":"0","Visualizações públicas do YouTube":"6","Shorts":"—","Custo":"R$ 14,28"}</x:v>
      </x:c>
    </x:row>
    <x:row r="1194" ht="24" customHeight="1">
      <x:c r="A1194" s="32" t="str">
        <x:v>F033</x:v>
      </x:c>
      <x:c r="B1194" s="32" t="str">
        <x:v>C04</x:v>
      </x:c>
      <x:c r="C1194" s="32" t="n">
        <x:v>3</x:v>
      </x:c>
      <x:c r="D1194" s="33" t="str">
        <x:v>{"Data":"sáb., 29 de ago. de 2026","Cliques":"0","Visualizações públicas do YouTube":"0","Shorts":"—","Custo":"R$ 10,39"}</x:v>
      </x:c>
    </x:row>
    <x:row r="1195" ht="24" customHeight="1">
      <x:c r="A1195" s="32" t="str">
        <x:v>F033</x:v>
      </x:c>
      <x:c r="B1195" s="32" t="str">
        <x:v>C04</x:v>
      </x:c>
      <x:c r="C1195" s="32" t="n">
        <x:v>4</x:v>
      </x:c>
      <x:c r="D1195" s="33" t="str">
        <x:v>{"Data":"dom., 30 de ago. de 2026","Cliques":"0","Visualizações públicas do YouTube":"105","Shorts":"0,00%","Custo":"R$ 7,82"}</x:v>
      </x:c>
    </x:row>
    <x:row r="1196" ht="24" customHeight="1">
      <x:c r="A1196" s="32" t="str">
        <x:v>F033</x:v>
      </x:c>
      <x:c r="B1196" s="32" t="str">
        <x:v>C04</x:v>
      </x:c>
      <x:c r="C1196" s="32" t="n">
        <x:v>5</x:v>
      </x:c>
      <x:c r="D1196" s="33" t="str">
        <x:v>{"Data":"seg., 31 de ago. de 2026","Cliques":"0","Visualizações públicas do YouTube":"2","Shorts":"—","Custo":"R$ 9,87"}</x:v>
      </x:c>
    </x:row>
    <x:row r="1197" ht="24" customHeight="1">
      <x:c r="A1197" s="32" t="str">
        <x:v>F033</x:v>
      </x:c>
      <x:c r="B1197" s="32" t="str">
        <x:v>C04</x:v>
      </x:c>
      <x:c r="C1197" s="32" t="n">
        <x:v>6</x:v>
      </x:c>
      <x:c r="D1197" s="33" t="str">
        <x:v>{"Data":"ter., 1 de set. de 2026","Cliques":"2","Visualizações públicas do YouTube":"73","Shorts":"—","Custo":"R$ 19,62"}</x:v>
      </x:c>
    </x:row>
    <x:row r="1198" ht="24" customHeight="1">
      <x:c r="A1198" s="32" t="str">
        <x:v>F033</x:v>
      </x:c>
      <x:c r="B1198" s="32" t="str">
        <x:v>C04</x:v>
      </x:c>
      <x:c r="C1198" s="32" t="n">
        <x:v>7</x:v>
      </x:c>
      <x:c r="D1198" s="33" t="str">
        <x:v>{"Data":"qua., 2 de set. de 2026","Cliques":"1","Visualizações públicas do YouTube":"600","Shorts":"0,00%","Custo":"R$ 10,00"}</x:v>
      </x:c>
    </x:row>
    <x:row r="1199" ht="24" customHeight="1">
      <x:c r="A1199" s="32" t="str">
        <x:v>F033</x:v>
      </x:c>
      <x:c r="B1199" s="32" t="str">
        <x:v>C04</x:v>
      </x:c>
      <x:c r="C1199" s="32" t="n">
        <x:v>8</x:v>
      </x:c>
      <x:c r="D1199" s="33" t="str">
        <x:v>{"Data":"qui., 3 de set. de 2026","Cliques":"2","Visualizações públicas do YouTube":"176","Shorts":"0,00%","Custo":"R$ 9,82"}</x:v>
      </x:c>
    </x:row>
    <x:row r="1200" ht="24" customHeight="1">
      <x:c r="A1200" s="32" t="str">
        <x:v>F033</x:v>
      </x:c>
      <x:c r="B1200" s="32" t="str">
        <x:v>C04</x:v>
      </x:c>
      <x:c r="C1200" s="32" t="n">
        <x:v>9</x:v>
      </x:c>
      <x:c r="D1200" s="33" t="str">
        <x:v>{"Data":"sex., 4 de set. de 2026","Cliques":"2","Visualizações públicas do YouTube":"260","Shorts":"0,00%","Custo":"R$ 10,72"}</x:v>
      </x:c>
    </x:row>
    <x:row r="1201" ht="24" customHeight="1">
      <x:c r="A1201" s="32" t="str">
        <x:v>F033</x:v>
      </x:c>
      <x:c r="B1201" s="32" t="str">
        <x:v>C04</x:v>
      </x:c>
      <x:c r="C1201" s="32" t="n">
        <x:v>10</x:v>
      </x:c>
      <x:c r="D1201" s="33" t="str">
        <x:v>{"Data":"sáb., 5 de set. de 2026","Cliques":"1","Visualizações públicas do YouTube":"486","Shorts":"50,00%","Custo":"R$ 9,77"}</x:v>
      </x:c>
    </x:row>
    <x:row r="1202" ht="24" customHeight="1">
      <x:c r="A1202" s="32" t="str">
        <x:v>F033</x:v>
      </x:c>
      <x:c r="B1202" s="32" t="str">
        <x:v>C04</x:v>
      </x:c>
      <x:c r="C1202" s="32" t="n">
        <x:v>11</x:v>
      </x:c>
      <x:c r="D1202" s="33" t="str">
        <x:v>{"Data":"dom., 6 de set. de 2026","Cliques":"0","Visualizações públicas do YouTube":"1.014","Shorts":"—","Custo":"R$ 9,79"}</x:v>
      </x:c>
    </x:row>
    <x:row r="1203" ht="24" customHeight="1">
      <x:c r="A1203" s="32" t="str">
        <x:v>F033</x:v>
      </x:c>
      <x:c r="B1203" s="32" t="str">
        <x:v>C04</x:v>
      </x:c>
      <x:c r="C1203" s="32" t="n">
        <x:v>12</x:v>
      </x:c>
      <x:c r="D1203" s="33" t="str">
        <x:v>{"Data":"seg., 7 de set. de 2026","Cliques":"0","Visualizações públicas do YouTube":"1.099","Shorts":"—","Custo":"R$ 9,86"}</x:v>
      </x:c>
    </x:row>
    <x:row r="1204" ht="24" customHeight="1">
      <x:c r="A1204" s="32" t="str">
        <x:v>F033</x:v>
      </x:c>
      <x:c r="B1204" s="32" t="str">
        <x:v>C04</x:v>
      </x:c>
      <x:c r="C1204" s="32" t="n">
        <x:v>13</x:v>
      </x:c>
      <x:c r="D1204" s="33" t="str">
        <x:v>{"Data":"ter., 8 de set. de 2026","Cliques":"2","Visualizações públicas do YouTube":"388","Shorts":"0,00%","Custo":"R$ 15,44"}</x:v>
      </x:c>
    </x:row>
    <x:row r="1205" ht="24" customHeight="1">
      <x:c r="A1205" s="32" t="str">
        <x:v>F033</x:v>
      </x:c>
      <x:c r="B1205" s="32" t="str">
        <x:v>C04</x:v>
      </x:c>
      <x:c r="C1205" s="32" t="n">
        <x:v>14</x:v>
      </x:c>
      <x:c r="D1205" s="33" t="str">
        <x:v>{"Data":"qua., 9 de set. de 2026","Cliques":"0","Visualizações públicas do YouTube":"16","Shorts":"—","Custo":"R$ 7,58"}</x:v>
      </x:c>
    </x:row>
    <x:row r="1206" ht="24" customHeight="1">
      <x:c r="A1206" s="32" t="str">
        <x:v>F033</x:v>
      </x:c>
      <x:c r="B1206" s="32" t="str">
        <x:v>C04</x:v>
      </x:c>
      <x:c r="C1206" s="32" t="n">
        <x:v>15</x:v>
      </x:c>
      <x:c r="D1206" s="33" t="str">
        <x:v>{"Data":"qui., 10 de set. de 2026","Cliques":"0","Visualizações públicas do YouTube":"51","Shorts":"0,00%","Custo":"R$ 10,36"}</x:v>
      </x:c>
    </x:row>
    <x:row r="1207" ht="24" customHeight="1">
      <x:c r="A1207" s="32" t="str">
        <x:v>F033</x:v>
      </x:c>
      <x:c r="B1207" s="32" t="str">
        <x:v>C04</x:v>
      </x:c>
      <x:c r="C1207" s="32" t="n">
        <x:v>16</x:v>
      </x:c>
      <x:c r="D1207" s="33" t="str">
        <x:v>{"Data":"sex., 11 de set. de 2026","Cliques":"0","Visualizações públicas do YouTube":"364","Shorts":"—","Custo":"R$ 8,95"}</x:v>
      </x:c>
    </x:row>
    <x:row r="1208" ht="24" customHeight="1">
      <x:c r="A1208" s="32" t="str">
        <x:v>F033</x:v>
      </x:c>
      <x:c r="B1208" s="32" t="str">
        <x:v>C04</x:v>
      </x:c>
      <x:c r="C1208" s="32" t="n">
        <x:v>17</x:v>
      </x:c>
      <x:c r="D1208" s="33" t="str">
        <x:v>{"Data":"sáb., 12 de set. de 2026","Cliques":"0","Visualizações públicas do YouTube":"518","Shorts":"—","Custo":"R$ 9,54"}</x:v>
      </x:c>
    </x:row>
    <x:row r="1209" ht="24" customHeight="1">
      <x:c r="A1209" s="32" t="str">
        <x:v>F033</x:v>
      </x:c>
      <x:c r="B1209" s="32" t="str">
        <x:v>C04</x:v>
      </x:c>
      <x:c r="C1209" s="32" t="n">
        <x:v>18</x:v>
      </x:c>
      <x:c r="D1209" s="33" t="str">
        <x:v>{"Data":"dom., 13 de set. de 2026","Cliques":"3","Visualizações públicas do YouTube":"605","Shorts":"—","Custo":"R$ 9,95"}</x:v>
      </x:c>
    </x:row>
    <x:row r="1210" ht="24" customHeight="1">
      <x:c r="A1210" s="32" t="str">
        <x:v>F033</x:v>
      </x:c>
      <x:c r="B1210" s="32" t="str">
        <x:v>C04</x:v>
      </x:c>
      <x:c r="C1210" s="32" t="n">
        <x:v>19</x:v>
      </x:c>
      <x:c r="D1210" s="33" t="str">
        <x:v>{"Data":"seg., 14 de set. de 2026","Cliques":"1","Visualizações públicas do YouTube":"1.162","Shorts":"0,00%","Custo":"R$ 10,45"}</x:v>
      </x:c>
    </x:row>
    <x:row r="1211" ht="24" customHeight="1">
      <x:c r="A1211" s="32" t="str">
        <x:v>F033</x:v>
      </x:c>
      <x:c r="B1211" s="32" t="str">
        <x:v>C04</x:v>
      </x:c>
      <x:c r="C1211" s="32" t="n">
        <x:v>20</x:v>
      </x:c>
      <x:c r="D1211" s="33" t="str">
        <x:v>{"Data":"ter., 15 de set. de 2026","Cliques":"1","Visualizações públicas do YouTube":"1.645","Shorts":"0,00%","Custo":"R$ 9,53"}</x:v>
      </x:c>
    </x:row>
    <x:row r="1212" ht="24" customHeight="1">
      <x:c r="A1212" s="32" t="str">
        <x:v>F033</x:v>
      </x:c>
      <x:c r="B1212" s="32" t="str">
        <x:v>C04</x:v>
      </x:c>
      <x:c r="C1212" s="32" t="n">
        <x:v>21</x:v>
      </x:c>
      <x:c r="D1212" s="33" t="str">
        <x:v>{"Data":"qua., 16 de set. de 2026","Cliques":"0","Visualizações públicas do YouTube":"905","Shorts":"0,00%","Custo":"R$ 9,57"}</x:v>
      </x:c>
    </x:row>
    <x:row r="1213" ht="24" customHeight="1">
      <x:c r="A1213" s="32" t="str">
        <x:v>F033</x:v>
      </x:c>
      <x:c r="B1213" s="32" t="str">
        <x:v>C04</x:v>
      </x:c>
      <x:c r="C1213" s="32" t="n">
        <x:v>22</x:v>
      </x:c>
      <x:c r="D1213" s="33" t="str">
        <x:v>{"Data":"qui., 17 de set. de 2026","Cliques":"0","Visualizações públicas do YouTube":"620","Shorts":"0,00%","Custo":"R$ 11,49"}</x:v>
      </x:c>
    </x:row>
    <x:row r="1214" ht="24" customHeight="1">
      <x:c r="A1214" s="32" t="str">
        <x:v>F033</x:v>
      </x:c>
      <x:c r="B1214" s="32" t="str">
        <x:v>C04</x:v>
      </x:c>
      <x:c r="C1214" s="32" t="n">
        <x:v>23</x:v>
      </x:c>
      <x:c r="D1214" s="33" t="str">
        <x:v>{"Data":"sex., 18 de set. de 2026","Cliques":"5","Visualizações públicas do YouTube":"447","Shorts":"—","Custo":"R$ 9,23"}</x:v>
      </x:c>
    </x:row>
    <x:row r="1215" ht="24" customHeight="1">
      <x:c r="A1215" s="32" t="str">
        <x:v>F033</x:v>
      </x:c>
      <x:c r="B1215" s="32" t="str">
        <x:v>C04</x:v>
      </x:c>
      <x:c r="C1215" s="32" t="n">
        <x:v>24</x:v>
      </x:c>
      <x:c r="D1215" s="33" t="str">
        <x:v>{"Data":"sáb., 19 de set. de 2026","Cliques":"0","Visualizações públicas do YouTube":"795","Shorts":"0,00%","Custo":"R$ 9,34"}</x:v>
      </x:c>
    </x:row>
    <x:row r="1216" ht="24" customHeight="1">
      <x:c r="A1216" s="32" t="str">
        <x:v>F033</x:v>
      </x:c>
      <x:c r="B1216" s="32" t="str">
        <x:v>C04</x:v>
      </x:c>
      <x:c r="C1216" s="32" t="n">
        <x:v>25</x:v>
      </x:c>
      <x:c r="D1216" s="33" t="str">
        <x:v>{"Data":"dom., 20 de set. de 2026","Cliques":"0","Visualizações públicas do YouTube":"1.481","Shorts":"0,00%","Custo":"R$ 9,46"}</x:v>
      </x:c>
    </x:row>
    <x:row r="1217" ht="24" customHeight="1">
      <x:c r="A1217" s="32" t="str">
        <x:v>F033</x:v>
      </x:c>
      <x:c r="B1217" s="32" t="str">
        <x:v>C04</x:v>
      </x:c>
      <x:c r="C1217" s="32" t="n">
        <x:v>26</x:v>
      </x:c>
      <x:c r="D1217" s="33" t="str">
        <x:v>{"Data":"seg., 21 de set. de 2026","Cliques":"0","Visualizações públicas do YouTube":"1.155","Shorts":"—","Custo":"R$ 9,46"}</x:v>
      </x:c>
    </x:row>
    <x:row r="1218" ht="24" customHeight="1">
      <x:c r="A1218" s="32" t="str">
        <x:v>F033</x:v>
      </x:c>
      <x:c r="B1218" s="32" t="str">
        <x:v>C04</x:v>
      </x:c>
      <x:c r="C1218" s="32" t="n">
        <x:v>27</x:v>
      </x:c>
      <x:c r="D1218" s="33" t="str">
        <x:v>{"Data":"ter., 22 de set. de 2026","Cliques":"0","Visualizações públicas do YouTube":"718","Shorts":"100,00%","Custo":"R$ 9,87"}</x:v>
      </x:c>
    </x:row>
    <x:row r="1219" ht="24" customHeight="1">
      <x:c r="A1219" s="32" t="str">
        <x:v>F033</x:v>
      </x:c>
      <x:c r="B1219" s="32" t="str">
        <x:v>C04</x:v>
      </x:c>
      <x:c r="C1219" s="32" t="n">
        <x:v>28</x:v>
      </x:c>
      <x:c r="D1219" s="33" t="str">
        <x:v>{"Data":"qua., 23 de set. de 2026","Cliques":"1","Visualizações públicas do YouTube":"1.378","Shorts":"—","Custo":"R$ 9,48"}</x:v>
      </x:c>
    </x:row>
    <x:row r="1220" ht="24" customHeight="1">
      <x:c r="A1220" s="32" t="str">
        <x:v>F033</x:v>
      </x:c>
      <x:c r="B1220" s="32" t="str">
        <x:v>C04</x:v>
      </x:c>
      <x:c r="C1220" s="32" t="n">
        <x:v>29</x:v>
      </x:c>
      <x:c r="D1220" s="33" t="str">
        <x:v>{"Data":"qui., 24 de set. de 2026","Cliques":"0","Visualizações públicas do YouTube":"873","Shorts":"—","Custo":"R$ 4,48"}</x:v>
      </x:c>
    </x:row>
    <x:row r="1221" ht="24" customHeight="1">
      <x:c r="A1221" s="32" t="str">
        <x:v>F033</x:v>
      </x:c>
      <x:c r="B1221" s="32" t="str">
        <x:v>C04</x:v>
      </x:c>
      <x:c r="C1221" s="32" t="n">
        <x:v>30</x:v>
      </x:c>
      <x:c r="D1221" s="33" t="str">
        <x:v>{"Data":"sex., 25 de set. de 2026","Cliques":"0","Visualizações públicas do YouTube":"103","Shorts":"—","Custo":"R$ 0,64"}</x:v>
      </x:c>
    </x:row>
    <x:row r="1222" ht="24" customHeight="1">
      <x:c r="A1222" s="32" t="str">
        <x:v>F033</x:v>
      </x:c>
      <x:c r="B1222" s="32" t="str">
        <x:v>C04</x:v>
      </x:c>
      <x:c r="C1222" s="32" t="n">
        <x:v>31</x:v>
      </x:c>
      <x:c r="D1222" s="33" t="str">
        <x:v>{"Data":"sáb., 26 de set. de 2026","Cliques":"0","Visualizações públicas do YouTube":"0","Shorts":"—","Custo":"R$ 0,00"}</x:v>
      </x:c>
    </x:row>
    <x:row r="1223" ht="24" customHeight="1">
      <x:c r="A1223" s="32" t="str">
        <x:v>F033</x:v>
      </x:c>
      <x:c r="B1223" s="32" t="str">
        <x:v>C04</x:v>
      </x:c>
      <x:c r="C1223" s="32" t="n">
        <x:v>32</x:v>
      </x:c>
      <x:c r="D1223" s="33" t="str">
        <x:v>{"Data":"dom., 27 de set. de 2026","Cliques":"0","Visualizações públicas do YouTube":"4","Shorts":"—","Custo":"R$ 0,04"}</x:v>
      </x:c>
    </x:row>
    <x:row r="1224" ht="24" customHeight="1">
      <x:c r="A1224" s="32" t="str">
        <x:v>F033</x:v>
      </x:c>
      <x:c r="B1224" s="32" t="str">
        <x:v>C04</x:v>
      </x:c>
      <x:c r="C1224" s="32" t="n">
        <x:v>33</x:v>
      </x:c>
      <x:c r="D1224" s="33" t="str">
        <x:v>{"Data":"seg., 28 de set. de 2026","Cliques":"0","Visualizações públicas do YouTube":"0","Shorts":"—","Custo":"R$ 0,00"}</x:v>
      </x:c>
    </x:row>
    <x:row r="1225" ht="24" customHeight="1">
      <x:c r="A1225" s="32" t="str">
        <x:v>F033</x:v>
      </x:c>
      <x:c r="B1225" s="32" t="str">
        <x:v>C04</x:v>
      </x:c>
      <x:c r="C1225" s="32" t="n">
        <x:v>34</x:v>
      </x:c>
      <x:c r="D1225" s="33" t="str">
        <x:v>{"Data":"ter., 29 de set. de 2026","Cliques":"0","Visualizações públicas do YouTube":"7","Shorts":"—","Custo":"R$ 0,07"}</x:v>
      </x:c>
    </x:row>
    <x:row r="1226" ht="24" customHeight="1">
      <x:c r="A1226" s="32" t="str">
        <x:v>F033</x:v>
      </x:c>
      <x:c r="B1226" s="32" t="str">
        <x:v>C04</x:v>
      </x:c>
      <x:c r="C1226" s="32" t="n">
        <x:v>35</x:v>
      </x:c>
      <x:c r="D1226" s="33" t="str">
        <x:v>{"Data":"qua., 30 de set. de 2026","Cliques":"0","Visualizações públicas do YouTube":"0","Shorts":"—","Custo":"R$ 0,00"}</x:v>
      </x:c>
    </x:row>
    <x:row r="1227" ht="24" customHeight="1">
      <x:c r="A1227" s="32" t="str">
        <x:v>F033</x:v>
      </x:c>
      <x:c r="B1227" s="32" t="str">
        <x:v>C04</x:v>
      </x:c>
      <x:c r="C1227" s="32" t="n">
        <x:v>36</x:v>
      </x:c>
      <x:c r="D1227" s="33" t="str">
        <x:v>{"Data":"qui., 1 de out. de 2026","Cliques":"0","Visualizações públicas do YouTube":"502","Shorts":"0,00%","Custo":"R$ 9,81"}</x:v>
      </x:c>
    </x:row>
    <x:row r="1228" ht="24" customHeight="1">
      <x:c r="A1228" s="32" t="str">
        <x:v>F033</x:v>
      </x:c>
      <x:c r="B1228" s="32" t="str">
        <x:v>C04</x:v>
      </x:c>
      <x:c r="C1228" s="32" t="n">
        <x:v>37</x:v>
      </x:c>
      <x:c r="D1228" s="33" t="str">
        <x:v>{"Data":"sex., 2 de out. de 2026","Cliques":"0","Visualizações públicas do YouTube":"822","Shorts":"—","Custo":"R$ 10,51"}</x:v>
      </x:c>
    </x:row>
    <x:row r="1229" ht="24" customHeight="1">
      <x:c r="A1229" s="32" t="str">
        <x:v>F033</x:v>
      </x:c>
      <x:c r="B1229" s="32" t="str">
        <x:v>C04</x:v>
      </x:c>
      <x:c r="C1229" s="32" t="n">
        <x:v>38</x:v>
      </x:c>
      <x:c r="D1229" s="33" t="str">
        <x:v>{"Data":"sáb., 3 de out. de 2026","Cliques":"4","Visualizações públicas do YouTube":"1.577","Shorts":"0,00%","Custo":"R$ 10,16"}</x:v>
      </x:c>
    </x:row>
    <x:row r="1230" ht="24" customHeight="1">
      <x:c r="A1230" s="32" t="str">
        <x:v>F033</x:v>
      </x:c>
      <x:c r="B1230" s="32" t="str">
        <x:v>C04</x:v>
      </x:c>
      <x:c r="C1230" s="32" t="n">
        <x:v>39</x:v>
      </x:c>
      <x:c r="D1230" s="33" t="str">
        <x:v>{"Data":"dom., 4 de out. de 2026","Cliques":"10","Visualizações públicas do YouTube":"1.992","Shorts":"—","Custo":"R$ 10,17"}</x:v>
      </x:c>
    </x:row>
    <x:row r="1231" ht="24" customHeight="1">
      <x:c r="A1231" s="32" t="str">
        <x:v>F033</x:v>
      </x:c>
      <x:c r="B1231" s="32" t="str">
        <x:v>C04</x:v>
      </x:c>
      <x:c r="C1231" s="32" t="n">
        <x:v>40</x:v>
      </x:c>
      <x:c r="D1231" s="33" t="str">
        <x:v>{"Data":"seg., 5 de out. de 2026","Cliques":"1","Visualizações públicas do YouTube":"1.695","Shorts":"0,00%","Custo":"R$ 10,10"}</x:v>
      </x:c>
    </x:row>
    <x:row r="1232" ht="24" customHeight="1">
      <x:c r="A1232" s="32" t="str">
        <x:v>F033</x:v>
      </x:c>
      <x:c r="B1232" s="32" t="str">
        <x:v>C04</x:v>
      </x:c>
      <x:c r="C1232" s="32" t="n">
        <x:v>41</x:v>
      </x:c>
      <x:c r="D1232" s="33" t="str">
        <x:v>{"Data":"ter., 6 de out. de 2026","Cliques":"1","Visualizações públicas do YouTube":"1.185","Shorts":"0,00%","Custo":"R$ 5,88"}</x:v>
      </x:c>
    </x:row>
    <x:row r="1233" ht="24" customHeight="1">
      <x:c r="A1233" s="32" t="str">
        <x:v>F033</x:v>
      </x:c>
      <x:c r="B1233" s="32" t="str">
        <x:v>C04</x:v>
      </x:c>
      <x:c r="C1233" s="32" t="n">
        <x:v>42</x:v>
      </x:c>
      <x:c r="D1233" s="33" t="str">
        <x:v>{"Data":"qua., 7 de out. de 2026","Cliques":"0","Visualizações públicas do YouTube":"0","Shorts":"—","Custo":"R$ 0,00"}</x:v>
      </x:c>
    </x:row>
    <x:row r="1234" ht="24" customHeight="1">
      <x:c r="A1234" s="32" t="str">
        <x:v>F033</x:v>
      </x:c>
      <x:c r="B1234" s="32" t="str">
        <x:v>C04</x:v>
      </x:c>
      <x:c r="C1234" s="32" t="n">
        <x:v>43</x:v>
      </x:c>
      <x:c r="D1234" s="33" t="str">
        <x:v>{"Data":"qui., 8 de out. de 2026","Cliques":"0","Visualizações públicas do YouTube":"0","Shorts":"—","Custo":"R$ 0,00"}</x:v>
      </x:c>
    </x:row>
    <x:row r="1235" ht="24" customHeight="1">
      <x:c r="A1235" s="32" t="str">
        <x:v>F033</x:v>
      </x:c>
      <x:c r="B1235" s="32" t="str">
        <x:v>C04</x:v>
      </x:c>
      <x:c r="C1235" s="32" t="n">
        <x:v>44</x:v>
      </x:c>
      <x:c r="D1235" s="33" t="str">
        <x:v>{"Data":"sex., 9 de out. de 2026","Cliques":"0","Visualizações públicas do YouTube":"0","Shorts":"—","Custo":"R$ 0,00"}</x:v>
      </x:c>
    </x:row>
    <x:row r="1236" ht="24" customHeight="1">
      <x:c r="A1236" s="32" t="str">
        <x:v>F033</x:v>
      </x:c>
      <x:c r="B1236" s="32" t="str">
        <x:v>C04</x:v>
      </x:c>
      <x:c r="C1236" s="32" t="n">
        <x:v>45</x:v>
      </x:c>
      <x:c r="D1236" s="33" t="str">
        <x:v>{"Data":"sáb., 10 de out. de 2026","Cliques":"0","Visualizações públicas do YouTube":"0","Shorts":"—","Custo":"R$ 0,00"}</x:v>
      </x:c>
    </x:row>
    <x:row r="1237" ht="24" customHeight="1">
      <x:c r="A1237" s="32" t="str">
        <x:v>F033</x:v>
      </x:c>
      <x:c r="B1237" s="32" t="str">
        <x:v>C04</x:v>
      </x:c>
      <x:c r="C1237" s="32" t="n">
        <x:v>46</x:v>
      </x:c>
      <x:c r="D1237" s="33" t="str">
        <x:v>{"Data":"dom., 11 de out. de 2026","Cliques":"0","Visualizações públicas do YouTube":"0","Shorts":"—","Custo":"R$ 0,00"}</x:v>
      </x:c>
    </x:row>
    <x:row r="1238" ht="24" customHeight="1">
      <x:c r="A1238" s="32" t="str">
        <x:v>F033</x:v>
      </x:c>
      <x:c r="B1238" s="32" t="str">
        <x:v>C04</x:v>
      </x:c>
      <x:c r="C1238" s="32" t="n">
        <x:v>47</x:v>
      </x:c>
      <x:c r="D1238" s="33" t="str">
        <x:v>{"Data":"seg., 12 de out. de 2026","Cliques":"0","Visualizações públicas do YouTube":"0","Shorts":"—","Custo":"R$ 0,00"}</x:v>
      </x:c>
    </x:row>
    <x:row r="1239" ht="24" customHeight="1">
      <x:c r="A1239" s="32" t="str">
        <x:v>F033</x:v>
      </x:c>
      <x:c r="B1239" s="32" t="str">
        <x:v>C04</x:v>
      </x:c>
      <x:c r="C1239" s="32" t="n">
        <x:v>48</x:v>
      </x:c>
      <x:c r="D1239" s="33" t="str">
        <x:v>{"Data":"ter., 13 de out. de 2026","Cliques":"0","Visualizações públicas do YouTube":"0","Shorts":"—","Custo":"R$ 0,00"}</x:v>
      </x:c>
    </x:row>
    <x:row r="1240" ht="24" customHeight="1">
      <x:c r="A1240" s="32" t="str">
        <x:v>F033</x:v>
      </x:c>
      <x:c r="B1240" s="32" t="str">
        <x:v>C04</x:v>
      </x:c>
      <x:c r="C1240" s="32" t="n">
        <x:v>49</x:v>
      </x:c>
      <x:c r="D1240" s="33" t="str">
        <x:v>{"Data":"qua., 14 de out. de 2026","Cliques":"0","Visualizações públicas do YouTube":"0","Shorts":"—","Custo":"R$ 0,00"}</x:v>
      </x:c>
    </x:row>
    <x:row r="1241" ht="24" customHeight="1">
      <x:c r="A1241" s="32" t="str">
        <x:v>F034</x:v>
      </x:c>
      <x:c r="B1241" s="32" t="str">
        <x:v>C04</x:v>
      </x:c>
      <x:c r="C1241" s="32" t="n">
        <x:v>1</x:v>
      </x:c>
      <x:c r="D1241" s="33" t="str">
        <x:v>{"Data":"qui., 27 de ago. de 2026","Impr.":"0","Visualizações públicas do YouTube":"0","Custo":"R$ 0,00","Cliques":"0"}</x:v>
      </x:c>
    </x:row>
    <x:row r="1242" ht="24" customHeight="1">
      <x:c r="A1242" s="32" t="str">
        <x:v>F034</x:v>
      </x:c>
      <x:c r="B1242" s="32" t="str">
        <x:v>C04</x:v>
      </x:c>
      <x:c r="C1242" s="32" t="n">
        <x:v>2</x:v>
      </x:c>
      <x:c r="D1242" s="33" t="str">
        <x:v>{"Data":"sex., 28 de ago. de 2026","Impr.":"12","Visualizações públicas do YouTube":"6","Custo":"R$ 14,28","Cliques":"0"}</x:v>
      </x:c>
    </x:row>
    <x:row r="1243" ht="24" customHeight="1">
      <x:c r="A1243" s="32" t="str">
        <x:v>F034</x:v>
      </x:c>
      <x:c r="B1243" s="32" t="str">
        <x:v>C04</x:v>
      </x:c>
      <x:c r="C1243" s="32" t="n">
        <x:v>3</x:v>
      </x:c>
      <x:c r="D1243" s="33" t="str">
        <x:v>{"Data":"sáb., 29 de ago. de 2026","Impr.":"3","Visualizações públicas do YouTube":"0","Custo":"R$ 10,39","Cliques":"0"}</x:v>
      </x:c>
    </x:row>
    <x:row r="1244" ht="24" customHeight="1">
      <x:c r="A1244" s="32" t="str">
        <x:v>F034</x:v>
      </x:c>
      <x:c r="B1244" s="32" t="str">
        <x:v>C04</x:v>
      </x:c>
      <x:c r="C1244" s="32" t="n">
        <x:v>4</x:v>
      </x:c>
      <x:c r="D1244" s="33" t="str">
        <x:v>{"Data":"dom., 30 de ago. de 2026","Impr.":"295","Visualizações públicas do YouTube":"105","Custo":"R$ 7,82","Cliques":"0"}</x:v>
      </x:c>
    </x:row>
    <x:row r="1245" ht="24" customHeight="1">
      <x:c r="A1245" s="32" t="str">
        <x:v>F034</x:v>
      </x:c>
      <x:c r="B1245" s="32" t="str">
        <x:v>C04</x:v>
      </x:c>
      <x:c r="C1245" s="32" t="n">
        <x:v>5</x:v>
      </x:c>
      <x:c r="D1245" s="33" t="str">
        <x:v>{"Data":"seg., 31 de ago. de 2026","Impr.":"31","Visualizações públicas do YouTube":"2","Custo":"R$ 9,87","Cliques":"0"}</x:v>
      </x:c>
    </x:row>
    <x:row r="1246" ht="24" customHeight="1">
      <x:c r="A1246" s="32" t="str">
        <x:v>F034</x:v>
      </x:c>
      <x:c r="B1246" s="32" t="str">
        <x:v>C04</x:v>
      </x:c>
      <x:c r="C1246" s="32" t="n">
        <x:v>6</x:v>
      </x:c>
      <x:c r="D1246" s="33" t="str">
        <x:v>{"Data":"ter., 1 de set. de 2026","Impr.":"115","Visualizações públicas do YouTube":"73","Custo":"R$ 19,62","Cliques":"2"}</x:v>
      </x:c>
    </x:row>
    <x:row r="1247" ht="24" customHeight="1">
      <x:c r="A1247" s="32" t="str">
        <x:v>F034</x:v>
      </x:c>
      <x:c r="B1247" s="32" t="str">
        <x:v>C04</x:v>
      </x:c>
      <x:c r="C1247" s="32" t="n">
        <x:v>7</x:v>
      </x:c>
      <x:c r="D1247" s="33" t="str">
        <x:v>{"Data":"qua., 2 de set. de 2026","Impr.":"1.013","Visualizações públicas do YouTube":"600","Custo":"R$ 10,00","Cliques":"1"}</x:v>
      </x:c>
    </x:row>
    <x:row r="1248" ht="24" customHeight="1">
      <x:c r="A1248" s="32" t="str">
        <x:v>F034</x:v>
      </x:c>
      <x:c r="B1248" s="32" t="str">
        <x:v>C04</x:v>
      </x:c>
      <x:c r="C1248" s="32" t="n">
        <x:v>8</x:v>
      </x:c>
      <x:c r="D1248" s="33" t="str">
        <x:v>{"Data":"qui., 3 de set. de 2026","Impr.":"470","Visualizações públicas do YouTube":"176","Custo":"R$ 9,82","Cliques":"2"}</x:v>
      </x:c>
    </x:row>
    <x:row r="1249" ht="24" customHeight="1">
      <x:c r="A1249" s="32" t="str">
        <x:v>F034</x:v>
      </x:c>
      <x:c r="B1249" s="32" t="str">
        <x:v>C04</x:v>
      </x:c>
      <x:c r="C1249" s="32" t="n">
        <x:v>9</x:v>
      </x:c>
      <x:c r="D1249" s="33" t="str">
        <x:v>{"Data":"sex., 4 de set. de 2026","Impr.":"715","Visualizações públicas do YouTube":"260","Custo":"R$ 10,72","Cliques":"2"}</x:v>
      </x:c>
    </x:row>
    <x:row r="1250" ht="24" customHeight="1">
      <x:c r="A1250" s="32" t="str">
        <x:v>F034</x:v>
      </x:c>
      <x:c r="B1250" s="32" t="str">
        <x:v>C04</x:v>
      </x:c>
      <x:c r="C1250" s="32" t="n">
        <x:v>10</x:v>
      </x:c>
      <x:c r="D1250" s="33" t="str">
        <x:v>{"Data":"sáb., 5 de set. de 2026","Impr.":"1.061","Visualizações públicas do YouTube":"486","Custo":"R$ 9,77","Cliques":"1"}</x:v>
      </x:c>
    </x:row>
    <x:row r="1251" ht="24" customHeight="1">
      <x:c r="A1251" s="32" t="str">
        <x:v>F034</x:v>
      </x:c>
      <x:c r="B1251" s="32" t="str">
        <x:v>C04</x:v>
      </x:c>
      <x:c r="C1251" s="32" t="n">
        <x:v>11</x:v>
      </x:c>
      <x:c r="D1251" s="33" t="str">
        <x:v>{"Data":"dom., 6 de set. de 2026","Impr.":"1.223","Visualizações públicas do YouTube":"1.014","Custo":"R$ 9,79","Cliques":"0"}</x:v>
      </x:c>
    </x:row>
    <x:row r="1252" ht="24" customHeight="1">
      <x:c r="A1252" s="32" t="str">
        <x:v>F034</x:v>
      </x:c>
      <x:c r="B1252" s="32" t="str">
        <x:v>C04</x:v>
      </x:c>
      <x:c r="C1252" s="32" t="n">
        <x:v>12</x:v>
      </x:c>
      <x:c r="D1252" s="33" t="str">
        <x:v>{"Data":"seg., 7 de set. de 2026","Impr.":"1.572","Visualizações públicas do YouTube":"1.099","Custo":"R$ 9,86","Cliques":"0"}</x:v>
      </x:c>
    </x:row>
    <x:row r="1253" ht="24" customHeight="1">
      <x:c r="A1253" s="32" t="str">
        <x:v>F034</x:v>
      </x:c>
      <x:c r="B1253" s="32" t="str">
        <x:v>C04</x:v>
      </x:c>
      <x:c r="C1253" s="32" t="n">
        <x:v>13</x:v>
      </x:c>
      <x:c r="D1253" s="33" t="str">
        <x:v>{"Data":"ter., 8 de set. de 2026","Impr.":"651","Visualizações públicas do YouTube":"388","Custo":"R$ 15,44","Cliques":"2"}</x:v>
      </x:c>
    </x:row>
    <x:row r="1254" ht="24" customHeight="1">
      <x:c r="A1254" s="32" t="str">
        <x:v>F034</x:v>
      </x:c>
      <x:c r="B1254" s="32" t="str">
        <x:v>C04</x:v>
      </x:c>
      <x:c r="C1254" s="32" t="n">
        <x:v>14</x:v>
      </x:c>
      <x:c r="D1254" s="33" t="str">
        <x:v>{"Data":"qua., 9 de set. de 2026","Impr.":"948","Visualizações públicas do YouTube":"16","Custo":"R$ 7,58","Cliques":"0"}</x:v>
      </x:c>
    </x:row>
    <x:row r="1255" ht="24" customHeight="1">
      <x:c r="A1255" s="32" t="str">
        <x:v>F034</x:v>
      </x:c>
      <x:c r="B1255" s="32" t="str">
        <x:v>C04</x:v>
      </x:c>
      <x:c r="C1255" s="32" t="n">
        <x:v>15</x:v>
      </x:c>
      <x:c r="D1255" s="33" t="str">
        <x:v>{"Data":"qui., 10 de set. de 2026","Impr.":"414","Visualizações públicas do YouTube":"51","Custo":"R$ 10,36","Cliques":"0"}</x:v>
      </x:c>
    </x:row>
    <x:row r="1256" ht="24" customHeight="1">
      <x:c r="A1256" s="32" t="str">
        <x:v>F034</x:v>
      </x:c>
      <x:c r="B1256" s="32" t="str">
        <x:v>C04</x:v>
      </x:c>
      <x:c r="C1256" s="32" t="n">
        <x:v>16</x:v>
      </x:c>
      <x:c r="D1256" s="33" t="str">
        <x:v>{"Data":"sex., 11 de set. de 2026","Impr.":"427","Visualizações públicas do YouTube":"364","Custo":"R$ 8,95","Cliques":"0"}</x:v>
      </x:c>
    </x:row>
    <x:row r="1257" ht="24" customHeight="1">
      <x:c r="A1257" s="32" t="str">
        <x:v>F034</x:v>
      </x:c>
      <x:c r="B1257" s="32" t="str">
        <x:v>C04</x:v>
      </x:c>
      <x:c r="C1257" s="32" t="n">
        <x:v>17</x:v>
      </x:c>
      <x:c r="D1257" s="33" t="str">
        <x:v>{"Data":"sáb., 12 de set. de 2026","Impr.":"554","Visualizações públicas do YouTube":"518","Custo":"R$ 9,54","Cliques":"0"}</x:v>
      </x:c>
    </x:row>
    <x:row r="1258" ht="24" customHeight="1">
      <x:c r="A1258" s="32" t="str">
        <x:v>F034</x:v>
      </x:c>
      <x:c r="B1258" s="32" t="str">
        <x:v>C04</x:v>
      </x:c>
      <x:c r="C1258" s="32" t="n">
        <x:v>18</x:v>
      </x:c>
      <x:c r="D1258" s="33" t="str">
        <x:v>{"Data":"dom., 13 de set. de 2026","Impr.":"723","Visualizações públicas do YouTube":"605","Custo":"R$ 9,95","Cliques":"3"}</x:v>
      </x:c>
    </x:row>
    <x:row r="1259" ht="24" customHeight="1">
      <x:c r="A1259" s="32" t="str">
        <x:v>F034</x:v>
      </x:c>
      <x:c r="B1259" s="32" t="str">
        <x:v>C04</x:v>
      </x:c>
      <x:c r="C1259" s="32" t="n">
        <x:v>19</x:v>
      </x:c>
      <x:c r="D1259" s="33" t="str">
        <x:v>{"Data":"seg., 14 de set. de 2026","Impr.":"1.480","Visualizações públicas do YouTube":"1.162","Custo":"R$ 10,45","Cliques":"1"}</x:v>
      </x:c>
    </x:row>
    <x:row r="1260" ht="24" customHeight="1">
      <x:c r="A1260" s="32" t="str">
        <x:v>F034</x:v>
      </x:c>
      <x:c r="B1260" s="32" t="str">
        <x:v>C04</x:v>
      </x:c>
      <x:c r="C1260" s="32" t="n">
        <x:v>20</x:v>
      </x:c>
      <x:c r="D1260" s="33" t="str">
        <x:v>{"Data":"ter., 15 de set. de 2026","Impr.":"1.879","Visualizações públicas do YouTube":"1.645","Custo":"R$ 9,53","Cliques":"1"}</x:v>
      </x:c>
    </x:row>
    <x:row r="1261" ht="24" customHeight="1">
      <x:c r="A1261" s="32" t="str">
        <x:v>F034</x:v>
      </x:c>
      <x:c r="B1261" s="32" t="str">
        <x:v>C04</x:v>
      </x:c>
      <x:c r="C1261" s="32" t="n">
        <x:v>21</x:v>
      </x:c>
      <x:c r="D1261" s="33" t="str">
        <x:v>{"Data":"qua., 16 de set. de 2026","Impr.":"1.013","Visualizações públicas do YouTube":"905","Custo":"R$ 9,57","Cliques":"0"}</x:v>
      </x:c>
    </x:row>
    <x:row r="1262" ht="24" customHeight="1">
      <x:c r="A1262" s="32" t="str">
        <x:v>F034</x:v>
      </x:c>
      <x:c r="B1262" s="32" t="str">
        <x:v>C04</x:v>
      </x:c>
      <x:c r="C1262" s="32" t="n">
        <x:v>22</x:v>
      </x:c>
      <x:c r="D1262" s="33" t="str">
        <x:v>{"Data":"qui., 17 de set. de 2026","Impr.":"992","Visualizações públicas do YouTube":"620","Custo":"R$ 11,49","Cliques":"0"}</x:v>
      </x:c>
    </x:row>
    <x:row r="1263" ht="24" customHeight="1">
      <x:c r="A1263" s="32" t="str">
        <x:v>F034</x:v>
      </x:c>
      <x:c r="B1263" s="32" t="str">
        <x:v>C04</x:v>
      </x:c>
      <x:c r="C1263" s="32" t="n">
        <x:v>23</x:v>
      </x:c>
      <x:c r="D1263" s="33" t="str">
        <x:v>{"Data":"sex., 18 de set. de 2026","Impr.":"543","Visualizações públicas do YouTube":"447","Custo":"R$ 9,23","Cliques":"5"}</x:v>
      </x:c>
    </x:row>
    <x:row r="1264" ht="24" customHeight="1">
      <x:c r="A1264" s="32" t="str">
        <x:v>F034</x:v>
      </x:c>
      <x:c r="B1264" s="32" t="str">
        <x:v>C04</x:v>
      </x:c>
      <x:c r="C1264" s="32" t="n">
        <x:v>24</x:v>
      </x:c>
      <x:c r="D1264" s="33" t="str">
        <x:v>{"Data":"sáb., 19 de set. de 2026","Impr.":"926","Visualizações públicas do YouTube":"795","Custo":"R$ 9,34","Cliques":"0"}</x:v>
      </x:c>
    </x:row>
    <x:row r="1265" ht="24" customHeight="1">
      <x:c r="A1265" s="32" t="str">
        <x:v>F034</x:v>
      </x:c>
      <x:c r="B1265" s="32" t="str">
        <x:v>C04</x:v>
      </x:c>
      <x:c r="C1265" s="32" t="n">
        <x:v>25</x:v>
      </x:c>
      <x:c r="D1265" s="33" t="str">
        <x:v>{"Data":"dom., 20 de set. de 2026","Impr.":"1.530","Visualizações públicas do YouTube":"1.481","Custo":"R$ 9,46","Cliques":"0"}</x:v>
      </x:c>
    </x:row>
    <x:row r="1266" ht="24" customHeight="1">
      <x:c r="A1266" s="32" t="str">
        <x:v>F034</x:v>
      </x:c>
      <x:c r="B1266" s="32" t="str">
        <x:v>C04</x:v>
      </x:c>
      <x:c r="C1266" s="32" t="n">
        <x:v>26</x:v>
      </x:c>
      <x:c r="D1266" s="33" t="str">
        <x:v>{"Data":"seg., 21 de set. de 2026","Impr.":"1.177","Visualizações públicas do YouTube":"1.155","Custo":"R$ 9,46","Cliques":"0"}</x:v>
      </x:c>
    </x:row>
    <x:row r="1267" ht="24" customHeight="1">
      <x:c r="A1267" s="32" t="str">
        <x:v>F034</x:v>
      </x:c>
      <x:c r="B1267" s="32" t="str">
        <x:v>C04</x:v>
      </x:c>
      <x:c r="C1267" s="32" t="n">
        <x:v>27</x:v>
      </x:c>
      <x:c r="D1267" s="33" t="str">
        <x:v>{"Data":"ter., 22 de set. de 2026","Impr.":"726","Visualizações públicas do YouTube":"718","Custo":"R$ 9,87","Cliques":"0"}</x:v>
      </x:c>
    </x:row>
    <x:row r="1268" ht="24" customHeight="1">
      <x:c r="A1268" s="32" t="str">
        <x:v>F034</x:v>
      </x:c>
      <x:c r="B1268" s="32" t="str">
        <x:v>C04</x:v>
      </x:c>
      <x:c r="C1268" s="32" t="n">
        <x:v>28</x:v>
      </x:c>
      <x:c r="D1268" s="33" t="str">
        <x:v>{"Data":"qua., 23 de set. de 2026","Impr.":"1.425","Visualizações públicas do YouTube":"1.378","Custo":"R$ 9,48","Cliques":"1"}</x:v>
      </x:c>
    </x:row>
    <x:row r="1269" ht="24" customHeight="1">
      <x:c r="A1269" s="32" t="str">
        <x:v>F034</x:v>
      </x:c>
      <x:c r="B1269" s="32" t="str">
        <x:v>C04</x:v>
      </x:c>
      <x:c r="C1269" s="32" t="n">
        <x:v>29</x:v>
      </x:c>
      <x:c r="D1269" s="33" t="str">
        <x:v>{"Data":"qui., 24 de set. de 2026","Impr.":"903","Visualizações públicas do YouTube":"873","Custo":"R$ 4,48","Cliques":"0"}</x:v>
      </x:c>
    </x:row>
    <x:row r="1270" ht="24" customHeight="1">
      <x:c r="A1270" s="32" t="str">
        <x:v>F034</x:v>
      </x:c>
      <x:c r="B1270" s="32" t="str">
        <x:v>C04</x:v>
      </x:c>
      <x:c r="C1270" s="32" t="n">
        <x:v>30</x:v>
      </x:c>
      <x:c r="D1270" s="33" t="str">
        <x:v>{"Data":"sex., 25 de set. de 2026","Impr.":"109","Visualizações públicas do YouTube":"103","Custo":"R$ 0,64","Cliques":"0"}</x:v>
      </x:c>
    </x:row>
    <x:row r="1271" ht="24" customHeight="1">
      <x:c r="A1271" s="32" t="str">
        <x:v>F034</x:v>
      </x:c>
      <x:c r="B1271" s="32" t="str">
        <x:v>C04</x:v>
      </x:c>
      <x:c r="C1271" s="32" t="n">
        <x:v>31</x:v>
      </x:c>
      <x:c r="D1271" s="33" t="str">
        <x:v>{"Data":"sáb., 26 de set. de 2026","Impr.":"0","Visualizações públicas do YouTube":"0","Custo":"R$ 0,00","Cliques":"0"}</x:v>
      </x:c>
    </x:row>
    <x:row r="1272" ht="24" customHeight="1">
      <x:c r="A1272" s="32" t="str">
        <x:v>F034</x:v>
      </x:c>
      <x:c r="B1272" s="32" t="str">
        <x:v>C04</x:v>
      </x:c>
      <x:c r="C1272" s="32" t="n">
        <x:v>32</x:v>
      </x:c>
      <x:c r="D1272" s="33" t="str">
        <x:v>{"Data":"dom., 27 de set. de 2026","Impr.":"4","Visualizações públicas do YouTube":"4","Custo":"R$ 0,04","Cliques":"0"}</x:v>
      </x:c>
    </x:row>
    <x:row r="1273" ht="24" customHeight="1">
      <x:c r="A1273" s="32" t="str">
        <x:v>F034</x:v>
      </x:c>
      <x:c r="B1273" s="32" t="str">
        <x:v>C04</x:v>
      </x:c>
      <x:c r="C1273" s="32" t="n">
        <x:v>33</x:v>
      </x:c>
      <x:c r="D1273" s="33" t="str">
        <x:v>{"Data":"seg., 28 de set. de 2026","Impr.":"0","Visualizações públicas do YouTube":"0","Custo":"R$ 0,00","Cliques":"0"}</x:v>
      </x:c>
    </x:row>
    <x:row r="1274" ht="24" customHeight="1">
      <x:c r="A1274" s="32" t="str">
        <x:v>F034</x:v>
      </x:c>
      <x:c r="B1274" s="32" t="str">
        <x:v>C04</x:v>
      </x:c>
      <x:c r="C1274" s="32" t="n">
        <x:v>34</x:v>
      </x:c>
      <x:c r="D1274" s="33" t="str">
        <x:v>{"Data":"ter., 29 de set. de 2026","Impr.":"7","Visualizações públicas do YouTube":"7","Custo":"R$ 0,07","Cliques":"0"}</x:v>
      </x:c>
    </x:row>
    <x:row r="1275" ht="24" customHeight="1">
      <x:c r="A1275" s="32" t="str">
        <x:v>F034</x:v>
      </x:c>
      <x:c r="B1275" s="32" t="str">
        <x:v>C04</x:v>
      </x:c>
      <x:c r="C1275" s="32" t="n">
        <x:v>35</x:v>
      </x:c>
      <x:c r="D1275" s="33" t="str">
        <x:v>{"Data":"qua., 30 de set. de 2026","Impr.":"0","Visualizações públicas do YouTube":"0","Custo":"R$ 0,00","Cliques":"0"}</x:v>
      </x:c>
    </x:row>
    <x:row r="1276" ht="24" customHeight="1">
      <x:c r="A1276" s="32" t="str">
        <x:v>F034</x:v>
      </x:c>
      <x:c r="B1276" s="32" t="str">
        <x:v>C04</x:v>
      </x:c>
      <x:c r="C1276" s="32" t="n">
        <x:v>36</x:v>
      </x:c>
      <x:c r="D1276" s="33" t="str">
        <x:v>{"Data":"qui., 1 de out. de 2026","Impr.":"546","Visualizações públicas do YouTube":"502","Custo":"R$ 9,81","Cliques":"0"}</x:v>
      </x:c>
    </x:row>
    <x:row r="1277" ht="24" customHeight="1">
      <x:c r="A1277" s="32" t="str">
        <x:v>F034</x:v>
      </x:c>
      <x:c r="B1277" s="32" t="str">
        <x:v>C04</x:v>
      </x:c>
      <x:c r="C1277" s="32" t="n">
        <x:v>37</x:v>
      </x:c>
      <x:c r="D1277" s="33" t="str">
        <x:v>{"Data":"sex., 2 de out. de 2026","Impr.":"829","Visualizações públicas do YouTube":"822","Custo":"R$ 10,51","Cliques":"0"}</x:v>
      </x:c>
    </x:row>
    <x:row r="1278" ht="24" customHeight="1">
      <x:c r="A1278" s="32" t="str">
        <x:v>F034</x:v>
      </x:c>
      <x:c r="B1278" s="32" t="str">
        <x:v>C04</x:v>
      </x:c>
      <x:c r="C1278" s="32" t="n">
        <x:v>38</x:v>
      </x:c>
      <x:c r="D1278" s="33" t="str">
        <x:v>{"Data":"sáb., 3 de out. de 2026","Impr.":"2.023","Visualizações públicas do YouTube":"1.577","Custo":"R$ 10,16","Cliques":"4"}</x:v>
      </x:c>
    </x:row>
    <x:row r="1279" ht="24" customHeight="1">
      <x:c r="A1279" s="32" t="str">
        <x:v>F034</x:v>
      </x:c>
      <x:c r="B1279" s="32" t="str">
        <x:v>C04</x:v>
      </x:c>
      <x:c r="C1279" s="32" t="n">
        <x:v>39</x:v>
      </x:c>
      <x:c r="D1279" s="33" t="str">
        <x:v>{"Data":"dom., 4 de out. de 2026","Impr.":"2.320","Visualizações públicas do YouTube":"1.992","Custo":"R$ 10,17","Cliques":"10"}</x:v>
      </x:c>
    </x:row>
    <x:row r="1280" ht="24" customHeight="1">
      <x:c r="A1280" s="32" t="str">
        <x:v>F034</x:v>
      </x:c>
      <x:c r="B1280" s="32" t="str">
        <x:v>C04</x:v>
      </x:c>
      <x:c r="C1280" s="32" t="n">
        <x:v>40</x:v>
      </x:c>
      <x:c r="D1280" s="33" t="str">
        <x:v>{"Data":"seg., 5 de out. de 2026","Impr.":"2.153","Visualizações públicas do YouTube":"1.695","Custo":"R$ 10,10","Cliques":"1"}</x:v>
      </x:c>
    </x:row>
    <x:row r="1281" ht="24" customHeight="1">
      <x:c r="A1281" s="32" t="str">
        <x:v>F034</x:v>
      </x:c>
      <x:c r="B1281" s="32" t="str">
        <x:v>C04</x:v>
      </x:c>
      <x:c r="C1281" s="32" t="n">
        <x:v>41</x:v>
      </x:c>
      <x:c r="D1281" s="33" t="str">
        <x:v>{"Data":"ter., 6 de out. de 2026","Impr.":"1.364","Visualizações públicas do YouTube":"1.185","Custo":"R$ 5,88","Cliques":"1"}</x:v>
      </x:c>
    </x:row>
    <x:row r="1282" ht="24" customHeight="1">
      <x:c r="A1282" s="32" t="str">
        <x:v>F034</x:v>
      </x:c>
      <x:c r="B1282" s="32" t="str">
        <x:v>C04</x:v>
      </x:c>
      <x:c r="C1282" s="32" t="n">
        <x:v>42</x:v>
      </x:c>
      <x:c r="D1282" s="33" t="str">
        <x:v>{"Data":"qua., 7 de out. de 2026","Impr.":"0","Visualizações públicas do YouTube":"0","Custo":"R$ 0,00","Cliques":"0"}</x:v>
      </x:c>
    </x:row>
    <x:row r="1283" ht="24" customHeight="1">
      <x:c r="A1283" s="32" t="str">
        <x:v>F034</x:v>
      </x:c>
      <x:c r="B1283" s="32" t="str">
        <x:v>C04</x:v>
      </x:c>
      <x:c r="C1283" s="32" t="n">
        <x:v>43</x:v>
      </x:c>
      <x:c r="D1283" s="33" t="str">
        <x:v>{"Data":"qui., 8 de out. de 2026","Impr.":"0","Visualizações públicas do YouTube":"0","Custo":"R$ 0,00","Cliques":"0"}</x:v>
      </x:c>
    </x:row>
    <x:row r="1284" ht="24" customHeight="1">
      <x:c r="A1284" s="32" t="str">
        <x:v>F034</x:v>
      </x:c>
      <x:c r="B1284" s="32" t="str">
        <x:v>C04</x:v>
      </x:c>
      <x:c r="C1284" s="32" t="n">
        <x:v>44</x:v>
      </x:c>
      <x:c r="D1284" s="33" t="str">
        <x:v>{"Data":"sex., 9 de out. de 2026","Impr.":"0","Visualizações públicas do YouTube":"0","Custo":"R$ 0,00","Cliques":"0"}</x:v>
      </x:c>
    </x:row>
    <x:row r="1285" ht="24" customHeight="1">
      <x:c r="A1285" s="32" t="str">
        <x:v>F034</x:v>
      </x:c>
      <x:c r="B1285" s="32" t="str">
        <x:v>C04</x:v>
      </x:c>
      <x:c r="C1285" s="32" t="n">
        <x:v>45</x:v>
      </x:c>
      <x:c r="D1285" s="33" t="str">
        <x:v>{"Data":"sáb., 10 de out. de 2026","Impr.":"0","Visualizações públicas do YouTube":"0","Custo":"R$ 0,00","Cliques":"0"}</x:v>
      </x:c>
    </x:row>
    <x:row r="1286" ht="24" customHeight="1">
      <x:c r="A1286" s="32" t="str">
        <x:v>F034</x:v>
      </x:c>
      <x:c r="B1286" s="32" t="str">
        <x:v>C04</x:v>
      </x:c>
      <x:c r="C1286" s="32" t="n">
        <x:v>46</x:v>
      </x:c>
      <x:c r="D1286" s="33" t="str">
        <x:v>{"Data":"dom., 11 de out. de 2026","Impr.":"0","Visualizações públicas do YouTube":"0","Custo":"R$ 0,00","Cliques":"0"}</x:v>
      </x:c>
    </x:row>
    <x:row r="1287" ht="24" customHeight="1">
      <x:c r="A1287" s="32" t="str">
        <x:v>F034</x:v>
      </x:c>
      <x:c r="B1287" s="32" t="str">
        <x:v>C04</x:v>
      </x:c>
      <x:c r="C1287" s="32" t="n">
        <x:v>47</x:v>
      </x:c>
      <x:c r="D1287" s="33" t="str">
        <x:v>{"Data":"seg., 12 de out. de 2026","Impr.":"0","Visualizações públicas do YouTube":"0","Custo":"R$ 0,00","Cliques":"0"}</x:v>
      </x:c>
    </x:row>
    <x:row r="1288" ht="24" customHeight="1">
      <x:c r="A1288" s="32" t="str">
        <x:v>F034</x:v>
      </x:c>
      <x:c r="B1288" s="32" t="str">
        <x:v>C04</x:v>
      </x:c>
      <x:c r="C1288" s="32" t="n">
        <x:v>48</x:v>
      </x:c>
      <x:c r="D1288" s="33" t="str">
        <x:v>{"Data":"ter., 13 de out. de 2026","Impr.":"0","Visualizações públicas do YouTube":"0","Custo":"R$ 0,00","Cliques":"0"}</x:v>
      </x:c>
    </x:row>
    <x:row r="1289" ht="24" customHeight="1">
      <x:c r="A1289" s="32" t="str">
        <x:v>F034</x:v>
      </x:c>
      <x:c r="B1289" s="32" t="str">
        <x:v>C04</x:v>
      </x:c>
      <x:c r="C1289" s="32" t="n">
        <x:v>49</x:v>
      </x:c>
      <x:c r="D1289" s="33" t="str">
        <x:v>{"Data":"qua., 14 de out. de 2026","Impr.":"0","Visualizações públicas do YouTube":"0","Custo":"R$ 0,00","Cliques":"0"}</x:v>
      </x:c>
    </x:row>
    <x:row r="1290" ht="174" customHeight="1">
      <x:c r="A1290" s="32" t="str">
        <x:v>F035</x:v>
      </x:c>
      <x:c r="B1290" s="32" t="str">
        <x:v>C04</x:v>
      </x:c>
      <x:c r="C1290" s="32" t="n">
        <x:v>1</x:v>
      </x:c>
      <x:c r="D1290" s="33" t="str">
        <x:v>{"Status do anúncio":"Ativado","URL final":"https://www.cooperja.com.br/cacarola","URLs de beacon":" --","Título":" --","Título longo 1":"Arroz Caçarola | Do campo para a sua mesa","Título longo 2":" --","Título longo 3":" --","Título longo 4":" --","Título longo 5":" --","Título 1":" --","Título 2":" --","Título 3":" --","Título 4":" --","Título 5":" --","Descrição 1":"Arroz Caçarola: qualidade e amor cultivado para a sua família. Acesse e confira!","Descrição 2":" --","Descrição 3":" --","Descrição 4":" --","Descrição 5":" --","Código do logotipo":"397701685159","Nome da empresa":"Alimentos Caçarola","Texto de call-to-action":" --","Texto de call-to-action 1":" --","Texto de call-to-action 2":" --","Texto de call-to-action 3":" --","Texto de call-to-action 4":" --","Texto de call-to-action 5":" --","Título da call-to-action":" --","ID do vídeo":"397701676795","Banner complementar":" --","Nome do anúncio":"Remarketing 90D - Pessoas que interagiram com os videos","ad.display_url":" --","Caminho 1":" --","Caminho 2":" --","URL final para dispositivos móveis":"","Modelo de rastreamento":" --","Sufixo do URL final":" --","Parâmetro personalizado":"","Grupo de anúncios":"Remarketing 90D - Interagiram com os videos","Status":"Não qualificado","Motivos do status":"campanha pausada","Tipo de anúncio":"Anúncio responsivo em vídeo","Impr.":"32.176","Visualizações do TrueView":"14.802","Código da moeda":"BRL","CPV médio do TrueView":"0,02","Custo":"343,48","Vídeo":"https://www.youtube.com/watch?v=1OC1sZmtrXk","Taxa de conv.":"0,00%","Conversões":"0,00","Custo / conv.":"0,00"}</x:v>
      </x:c>
    </x:row>
    <x:row r="1291" ht="144" customHeight="1">
      <x:c r="A1291" s="32" t="str">
        <x:v>F035</x:v>
      </x:c>
      <x:c r="B1291" s="32" t="str">
        <x:v>C04</x:v>
      </x:c>
      <x:c r="C1291" s="32" t="n">
        <x:v>2</x:v>
      </x:c>
      <x:c r="D1291" s="33" t="str">
        <x:v>{"Status do anúncio":"Total: Todos os anúncios, exceto os removidos","URL final":"","URLs de beacon":" --","Título":" --","Título longo 1":" --","Título longo 2":" --","Título longo 3":" --","Título longo 4":" --","Título longo 5":" --","Título 1":" --","Título 2":" --","Título 3":" --","Título 4":" --","Título 5":" --","Descrição 1":" --","Descrição 2":" --","Descrição 3":" --","Descrição 4":" --","Descrição 5":" --","Código do logotipo":" --","Nome da empresa":" --","Texto de call-to-action":" --","Texto de call-to-action 1":" --","Texto de call-to-action 2":" --","Texto de call-to-action 3":" --","Texto de call-to-action 4":" --","Texto de call-to-action 5":" --","Título da call-to-action":" --","ID do vídeo":" --","Banner complementar":" --","Nome do anúncio":" --","ad.display_url":" --","Caminho 1":" --","Caminho 2":" --","URL final para dispositivos móveis":"","Modelo de rastreamento":" --","Sufixo do URL final":" --","Parâmetro personalizado":" --","Grupo de anúncios":" --","Status":" --","Motivos do status":"","Tipo de anúncio":" --","Impr.":"32.176","Visualizações do TrueView":"14.802","Código da moeda":"BRL","CPV médio do TrueView":"0,02","Custo":"343,48","Vídeo":" --","Taxa de conv.":"0,00%","Conversões":"0,00","Custo / conv.":"0,00"}</x:v>
      </x:c>
    </x:row>
    <x:row r="1292" ht="129" customHeight="1">
      <x:c r="A1292" s="32" t="str">
        <x:v>F035</x:v>
      </x:c>
      <x:c r="B1292" s="32" t="str">
        <x:v>C04</x:v>
      </x:c>
      <x:c r="C1292" s="32" t="n">
        <x:v>3</x:v>
      </x:c>
      <x:c r="D1292" s="33" t="str">
        <x:v>{"Status do anúncio":"Total: Campanha","URL final":"","URLs de beacon":"","Título":"","Título longo 1":"","Título longo 2":"","Título longo 3":"","Título longo 4":"","Título longo 5":"","Título 1":"","Título 2":"","Título 3":"","Título 4":"","Título 5":"","Descrição 1":"","Descrição 2":"","Descrição 3":"","Descrição 4":"","Descrição 5":"","Código do logotipo":"","Nome da empresa":"","Texto de call-to-action":"","Texto de call-to-action 1":"","Texto de call-to-action 2":"","Texto de call-to-action 3":"","Texto de call-to-action 4":"","Texto de call-to-action 5":"","Título da call-to-action":"","ID do vídeo":"","Banner complementar":"","Nome do anúncio":"","ad.display_url":"","Caminho 1":"","Caminho 2":"","URL final para dispositivos móveis":"","Modelo de rastreamento":"","Sufixo do URL final":"","Parâmetro personalizado":"","Grupo de anúncios":"","Status":"","Motivos do status":"","Tipo de anúncio":"","Impr.":"32.176","Visualizações do TrueView":"14.802","Código da moeda":"BRL","CPV médio do TrueView":"0,02","Custo":"343,48","Vídeo":"","Taxa de conv.":"0,00%","Conversões":"0,00","Custo / conv.":"0,00"}</x:v>
      </x:c>
    </x:row>
    <x:row r="1293" ht="69" customHeight="1">
      <x:c r="A1293" s="32" t="str">
        <x:v>F036</x:v>
      </x:c>
      <x:c r="B1293" s="32" t="str">
        <x:v>C04</x:v>
      </x:c>
      <x:c r="C1293" s="32" t="n">
        <x:v>1</x:v>
      </x:c>
      <x:c r="D1293" s="33" t="str">
        <x:v>{"Status da campanha":"Pausada","Campanha":"Remarketing Caçarola","Orçamento":"10,00","Nome do orçamento":" --","Tipo de orçamento":"Diário","Código da moeda":"BRL","Status":"Pausado","Motivos do status":"campanha pausada; limitado pelo orçamento","Pontuação de otimização":" --","Subtipo da campanha":"Exibições de vídeos","Tipo de campanha":"Vídeo","Usuários exclusivos":"28.532","Impr.":"32.176","Visualizações do TrueView":"14.802","CPM médio":"10,68","CPV médio do TrueView":"0,02","Custo":"343,48","Marcações com \"Gostei\"":"0","Comentários":"0","Shares":"0"}</x:v>
      </x:c>
    </x:row>
    <x:row r="1294" ht="69" customHeight="1">
      <x:c r="A1294" s="32" t="str">
        <x:v>F036</x:v>
      </x:c>
      <x:c r="B1294" s="32" t="str">
        <x:v>C04</x:v>
      </x:c>
      <x:c r="C1294" s="32" t="n">
        <x:v>2</x:v>
      </x:c>
      <x:c r="D1294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exclusivos":"28.532","Impr.":"32.176","Visualizações do TrueView":"14.802","CPM médio":"10,68","CPV médio do TrueView":"0,02","Custo":"343,48","Marcações com \"Gostei\"":"0","Comentários":"0","Shares":"0"}</x:v>
      </x:c>
    </x:row>
    <x:row r="1295" ht="69" customHeight="1">
      <x:c r="A1295" s="32" t="str">
        <x:v>F036</x:v>
      </x:c>
      <x:c r="B1295" s="32" t="str">
        <x:v>C04</x:v>
      </x:c>
      <x:c r="C1295" s="32" t="n">
        <x:v>3</x:v>
      </x:c>
      <x:c r="D1295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exclusivos":"28.532","Impr.":"32.176","Visualizações do TrueView":"14.802","CPM médio":"10,68","CPV médio do TrueView":"0,02","Custo":"343,48","Marcações com \"Gostei\"":"0","Comentários":"0","Shares":"0"}</x:v>
      </x:c>
    </x:row>
    <x:row r="1296" ht="54" customHeight="1">
      <x:c r="A1296" s="32" t="str">
        <x:v>F037</x:v>
      </x:c>
      <x:c r="B1296" s="32" t="str">
        <x:v>C04</x:v>
      </x:c>
      <x:c r="C1296" s="32" t="n">
        <x:v>1</x:v>
      </x:c>
      <x:c r="D1296" s="33" t="str">
        <x:v>{"Dispositivo":"Computadores","Nível":"Campanha","Campanha":"Remarketing Caçarola","Grupo de anúncios":" --","Ajuste de lance":" --","Aj. de lance do grupo de anúncios":"Nenhum","Impr.":"2.093","Visualizações do TrueView":"972","Taxa de visualização do TrueView":"46,44%","Código da moeda":"BRL","CPV médio do TrueView":"0,02","Custo":"19,35","Taxa de conv.":"0,00%","Conversões":"0,00","Custo / conv.":"0,00"}</x:v>
      </x:c>
    </x:row>
    <x:row r="1297" ht="54" customHeight="1">
      <x:c r="A1297" s="32" t="str">
        <x:v>F037</x:v>
      </x:c>
      <x:c r="B1297" s="32" t="str">
        <x:v>C04</x:v>
      </x:c>
      <x:c r="C1297" s="32" t="n">
        <x:v>2</x:v>
      </x:c>
      <x:c r="D1297" s="33" t="str">
        <x:v>{"Dispositivo":"Tablets","Nível":"Campanha","Campanha":"Remarketing Caçarola","Grupo de anúncios":" --","Ajuste de lance":" --","Aj. de lance do grupo de anúncios":"Nenhum","Impr.":"629","Visualizações do TrueView":"137","Taxa de visualização do TrueView":"21,78%","Código da moeda":"BRL","CPV médio do TrueView":"0,02","Custo":"3,09","Taxa de conv.":"0,00%","Conversões":"0,00","Custo / conv.":"0,00"}</x:v>
      </x:c>
    </x:row>
    <x:row r="1298" ht="54" customHeight="1">
      <x:c r="A1298" s="32" t="str">
        <x:v>F037</x:v>
      </x:c>
      <x:c r="B1298" s="32" t="str">
        <x:v>C04</x:v>
      </x:c>
      <x:c r="C1298" s="32" t="n">
        <x:v>3</x:v>
      </x:c>
      <x:c r="D1298" s="33" t="str">
        <x:v>{"Dispositivo":"Smartphones","Nível":"Campanha","Campanha":"Remarketing Caçarola","Grupo de anúncios":" --","Ajuste de lance":" --","Aj. de lance do grupo de anúncios":"Nenhum","Impr.":"13.047","Visualizações do TrueView":"3.199","Taxa de visualização do TrueView":"24,52%","Código da moeda":"BRL","CPV médio do TrueView":"0,06","Custo":"201,26","Taxa de conv.":"0,00%","Conversões":"0,00","Custo / conv.":"0,00"}</x:v>
      </x:c>
    </x:row>
    <x:row r="1299" ht="54" customHeight="1">
      <x:c r="A1299" s="32" t="str">
        <x:v>F037</x:v>
      </x:c>
      <x:c r="B1299" s="32" t="str">
        <x:v>C04</x:v>
      </x:c>
      <x:c r="C1299" s="32" t="n">
        <x:v>4</x:v>
      </x:c>
      <x:c r="D1299" s="33" t="str">
        <x:v>{"Dispositivo":"Telas de TV","Nível":"Campanha","Campanha":"Remarketing Caçarola","Grupo de anúncios":" --","Ajuste de lance":" --","Aj. de lance do grupo de anúncios":"Nenhum","Impr.":"16.407","Visualizações do TrueView":"10.494","Taxa de visualização do TrueView":"63,96%","Código da moeda":"BRL","CPV médio do TrueView":"0,01","Custo":"119,79","Taxa de conv.":"0,00%","Conversões":"0,00","Custo / conv.":"0,00"}</x:v>
      </x:c>
    </x:row>
    <x:row r="1300" ht="54" customHeight="1">
      <x:c r="A1300" s="32" t="str">
        <x:v>F037</x:v>
      </x:c>
      <x:c r="B1300" s="32" t="str">
        <x:v>C04</x:v>
      </x:c>
      <x:c r="C1300" s="32" t="n">
        <x:v>5</x:v>
      </x:c>
      <x:c r="D1300" s="33" t="str">
        <x:v>{"Dispositivo":"Total: Campanha","Nível":"","Campanha":"","Grupo de anúncios":"","Ajuste de lance":"","Aj. de lance do grupo de anúncios":"","Impr.":"32.176","Visualizações do TrueView":"14.802","Taxa de visualização do TrueView":"46,00%","Código da moeda":"BRL","CPV médio do TrueView":"0,02","Custo":"343,48","Taxa de conv.":"0,00%","Conversões":"0,00","Custo / conv.":"0,00"}</x:v>
      </x:c>
    </x:row>
    <x:row r="1301" ht="39" customHeight="1">
      <x:c r="A1301" s="32" t="str">
        <x:v>F038</x:v>
      </x:c>
      <x:c r="B1301" s="32" t="str">
        <x:v>C04</x:v>
      </x:c>
      <x:c r="C1301" s="32" t="n">
        <x:v>1</x:v>
      </x:c>
      <x:c r="D1301" s="33" t="str">
        <x:v>{"Local":"15,0|km|Terra Nova, BA","Ajuste de lance":" --","Impr.":"14","Visualizações do TrueView":"4","Taxa de visualização do TrueView":"28,57%","Código da moeda":"BRL","Custo":"0,03","CPM médio":"1,92","Taxa de conv.":"0,00%","Conversões":"0,00","Custo / conv.":"0,00"}</x:v>
      </x:c>
    </x:row>
    <x:row r="1302" ht="39" customHeight="1">
      <x:c r="A1302" s="32" t="str">
        <x:v>F038</x:v>
      </x:c>
      <x:c r="B1302" s="32" t="str">
        <x:v>C04</x:v>
      </x:c>
      <x:c r="C1302" s="32" t="n">
        <x:v>2</x:v>
      </x:c>
      <x:c r="D1302" s="33" t="str">
        <x:v>{"Local":"15,0|km|Rua Cidade de Nazaré - Maraú, Bahia","Ajuste de lance":" --","Impr.":"38","Visualizações do TrueView":"12","Taxa de visualização do TrueView":"31,58%","Código da moeda":"BRL","Custo":"0,14","CPM médio":"3,74","Taxa de conv.":"0,00%","Conversões":"0,00","Custo / conv.":"0,00"}</x:v>
      </x:c>
    </x:row>
    <x:row r="1303" ht="39" customHeight="1">
      <x:c r="A1303" s="32" t="str">
        <x:v>F038</x:v>
      </x:c>
      <x:c r="B1303" s="32" t="str">
        <x:v>C04</x:v>
      </x:c>
      <x:c r="C1303" s="32" t="n">
        <x:v>3</x:v>
      </x:c>
      <x:c r="D1303" s="33" t="str">
        <x:v>{"Local":"15,0|km|Santo Amaro, BA","Ajuste de lance":" --","Impr.":"393","Visualizações do TrueView":"215","Taxa de visualização do TrueView":"54,71%","Código da moeda":"BRL","Custo":"3,74","CPM médio":"9,51","Taxa de conv.":"0,00%","Conversões":"0,00","Custo / conv.":"0,00"}</x:v>
      </x:c>
    </x:row>
    <x:row r="1304" ht="39" customHeight="1">
      <x:c r="A1304" s="32" t="str">
        <x:v>F038</x:v>
      </x:c>
      <x:c r="B1304" s="32" t="str">
        <x:v>C04</x:v>
      </x:c>
      <x:c r="C1304" s="32" t="n">
        <x:v>4</x:v>
      </x:c>
      <x:c r="D1304" s="33" t="str">
        <x:v>{"Local":"15,0|km|Dom Macedo Costa, BA","Ajuste de lance":" --","Impr.":"854","Visualizações do TrueView":"428","Taxa de visualização do TrueView":"50,12%","Código da moeda":"BRL","Custo":"5,86","CPM médio":"6,86","Taxa de conv.":"0,00%","Conversões":"0,00","Custo / conv.":"0,00"}</x:v>
      </x:c>
    </x:row>
    <x:row r="1305" ht="39" customHeight="1">
      <x:c r="A1305" s="32" t="str">
        <x:v>F038</x:v>
      </x:c>
      <x:c r="B1305" s="32" t="str">
        <x:v>C04</x:v>
      </x:c>
      <x:c r="C1305" s="32" t="n">
        <x:v>5</x:v>
      </x:c>
      <x:c r="D1305" s="33" t="str">
        <x:v>{"Local":"15,0|km|Simões Filho, BA","Ajuste de lance":" --","Impr.":"625","Visualizações do TrueView":"330","Taxa de visualização do TrueView":"52,80%","Código da moeda":"BRL","Custo":"5,43","CPM médio":"8,69","Taxa de conv.":"0,00%","Conversões":"0,00","Custo / conv.":"0,00"}</x:v>
      </x:c>
    </x:row>
    <x:row r="1306" ht="39" customHeight="1">
      <x:c r="A1306" s="32" t="str">
        <x:v>F038</x:v>
      </x:c>
      <x:c r="B1306" s="32" t="str">
        <x:v>C04</x:v>
      </x:c>
      <x:c r="C1306" s="32" t="n">
        <x:v>6</x:v>
      </x:c>
      <x:c r="D1306" s="33" t="str">
        <x:v>{"Local":"15,0|km|Governador Mangabeira, BA","Ajuste de lance":" --","Impr.":"55","Visualizações do TrueView":"13","Taxa de visualização do TrueView":"23,64%","Código da moeda":"BRL","Custo":"0,19","CPM médio":"3,43","Taxa de conv.":"0,00%","Conversões":"0,00","Custo / conv.":"0,00"}</x:v>
      </x:c>
    </x:row>
    <x:row r="1307" ht="39" customHeight="1">
      <x:c r="A1307" s="32" t="str">
        <x:v>F038</x:v>
      </x:c>
      <x:c r="B1307" s="32" t="str">
        <x:v>C04</x:v>
      </x:c>
      <x:c r="C1307" s="32" t="n">
        <x:v>7</x:v>
      </x:c>
      <x:c r="D1307" s="33" t="str">
        <x:v>{"Local":"15,0|km|Pojuca, BA","Ajuste de lance":" --","Impr.":"390","Visualizações do TrueView":"206","Taxa de visualização do TrueView":"52,82%","Código da moeda":"BRL","Custo":"4,65","CPM médio":"11,92","Taxa de conv.":"0,00%","Conversões":"0,00","Custo / conv.":"0,00"}</x:v>
      </x:c>
    </x:row>
    <x:row r="1308" ht="39" customHeight="1">
      <x:c r="A1308" s="32" t="str">
        <x:v>F038</x:v>
      </x:c>
      <x:c r="B1308" s="32" t="str">
        <x:v>C04</x:v>
      </x:c>
      <x:c r="C1308" s="32" t="n">
        <x:v>8</x:v>
      </x:c>
      <x:c r="D1308" s="33" t="str">
        <x:v>{"Local":"15,0|km|Candeias, BA","Ajuste de lance":" --","Impr.":"550","Visualizações do TrueView":"313","Taxa de visualização do TrueView":"56,91%","Código da moeda":"BRL","Custo":"7,31","CPM médio":"13,28","Taxa de conv.":"0,00%","Conversões":"0,00","Custo / conv.":"0,00"}</x:v>
      </x:c>
    </x:row>
    <x:row r="1309" ht="39" customHeight="1">
      <x:c r="A1309" s="32" t="str">
        <x:v>F038</x:v>
      </x:c>
      <x:c r="B1309" s="32" t="str">
        <x:v>C04</x:v>
      </x:c>
      <x:c r="C1309" s="32" t="n">
        <x:v>9</x:v>
      </x:c>
      <x:c r="D1309" s="33" t="str">
        <x:v>{"Local":"15,0|km|Varzedo, BA","Ajuste de lance":" --","Impr.":"50","Visualizações do TrueView":"22","Taxa de visualização do TrueView":"44,00%","Código da moeda":"BRL","Custo":"0,18","CPM médio":"3,52","Taxa de conv.":"0,00%","Conversões":"0,00","Custo / conv.":"0,00"}</x:v>
      </x:c>
    </x:row>
    <x:row r="1310" ht="39" customHeight="1">
      <x:c r="A1310" s="32" t="str">
        <x:v>F038</x:v>
      </x:c>
      <x:c r="B1310" s="32" t="str">
        <x:v>C04</x:v>
      </x:c>
      <x:c r="C1310" s="32" t="n">
        <x:v>10</x:v>
      </x:c>
      <x:c r="D1310" s="33" t="str">
        <x:v>{"Local":"15,0|km|Cruz das Almas, Bahia","Ajuste de lance":" --","Impr.":"618","Visualizações do TrueView":"307","Taxa de visualização do TrueView":"49,68%","Código da moeda":"BRL","Custo":"7,25","CPM médio":"11,73","Taxa de conv.":"0,00%","Conversões":"0,00","Custo / conv.":"0,00"}</x:v>
      </x:c>
    </x:row>
    <x:row r="1311" ht="39" customHeight="1">
      <x:c r="A1311" s="32" t="str">
        <x:v>F038</x:v>
      </x:c>
      <x:c r="B1311" s="32" t="str">
        <x:v>C04</x:v>
      </x:c>
      <x:c r="C1311" s="32" t="n">
        <x:v>11</x:v>
      </x:c>
      <x:c r="D1311" s="33" t="str">
        <x:v>{"Local":"15,0|km|Dias d'Ávila, Bahia","Ajuste de lance":" --","Impr.":"1.862","Visualizações do TrueView":"990","Taxa de visualização do TrueView":"53,17%","Código da moeda":"BRL","Custo":"17,35","CPM médio":"9,32","Taxa de conv.":"0,00%","Conversões":"0,00","Custo / conv.":"0,00"}</x:v>
      </x:c>
    </x:row>
    <x:row r="1312" ht="39" customHeight="1">
      <x:c r="A1312" s="32" t="str">
        <x:v>F038</x:v>
      </x:c>
      <x:c r="B1312" s="32" t="str">
        <x:v>C04</x:v>
      </x:c>
      <x:c r="C1312" s="32" t="n">
        <x:v>12</x:v>
      </x:c>
      <x:c r="D1312" s="33" t="str">
        <x:v>{"Local":"15,0|km|Castro Alves, BA","Ajuste de lance":" --","Impr.":"91","Visualizações do TrueView":"15","Taxa de visualização do TrueView":"16,48%","Código da moeda":"BRL","Custo":"0,23","CPM médio":"2,56","Taxa de conv.":"0,00%","Conversões":"0,00","Custo / conv.":"0,00"}</x:v>
      </x:c>
    </x:row>
    <x:row r="1313" ht="39" customHeight="1">
      <x:c r="A1313" s="32" t="str">
        <x:v>F038</x:v>
      </x:c>
      <x:c r="B1313" s="32" t="str">
        <x:v>C04</x:v>
      </x:c>
      <x:c r="C1313" s="32" t="n">
        <x:v>13</x:v>
      </x:c>
      <x:c r="D1313" s="33" t="str">
        <x:v>{"Local":"15,0|km|São Felipe, BA","Ajuste de lance":" --","Impr.":"214","Visualizações do TrueView":"64","Taxa de visualização do TrueView":"29,91%","Código da moeda":"BRL","Custo":"1,05","CPM médio":"4,91","Taxa de conv.":"0,00%","Conversões":"0,00","Custo / conv.":"0,00"}</x:v>
      </x:c>
    </x:row>
    <x:row r="1314" ht="39" customHeight="1">
      <x:c r="A1314" s="32" t="str">
        <x:v>F038</x:v>
      </x:c>
      <x:c r="B1314" s="32" t="str">
        <x:v>C04</x:v>
      </x:c>
      <x:c r="C1314" s="32" t="n">
        <x:v>14</x:v>
      </x:c>
      <x:c r="D1314" s="33" t="str">
        <x:v>{"Local":"15,0|km|Sapeaçu, Bahia","Ajuste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1315" ht="39" customHeight="1">
      <x:c r="A1315" s="32" t="str">
        <x:v>F038</x:v>
      </x:c>
      <x:c r="B1315" s="32" t="str">
        <x:v>C04</x:v>
      </x:c>
      <x:c r="C1315" s="32" t="n">
        <x:v>15</x:v>
      </x:c>
      <x:c r="D1315" s="33" t="str">
        <x:v>{"Local":"15,0|km|Salvador, BA","Ajuste de lance":" --","Impr.":"12.911","Visualizações do TrueView":"5.891","Taxa de visualização do TrueView":"45,63%","Código da moeda":"BRL","Custo":"174,89","CPM médio":"13,55","Taxa de conv.":"0,00%","Conversões":"0,00","Custo / conv.":"0,00"}</x:v>
      </x:c>
    </x:row>
    <x:row r="1316" ht="39" customHeight="1">
      <x:c r="A1316" s="32" t="str">
        <x:v>F038</x:v>
      </x:c>
      <x:c r="B1316" s="32" t="str">
        <x:v>C04</x:v>
      </x:c>
      <x:c r="C1316" s="32" t="n">
        <x:v>16</x:v>
      </x:c>
      <x:c r="D1316" s="33" t="str">
        <x:v>{"Local":"15,0|km|Muniz Ferreira, BA","Ajuste de lance":" --","Impr.":"16","Visualizações do TrueView":"10","Taxa de visualização do TrueView":"62,50%","Código da moeda":"BRL","Custo":"0,11","CPM médio":"6,81","Taxa de conv.":"0,00%","Conversões":"0,00","Custo / conv.":"0,00"}</x:v>
      </x:c>
    </x:row>
    <x:row r="1317" ht="39" customHeight="1">
      <x:c r="A1317" s="32" t="str">
        <x:v>F038</x:v>
      </x:c>
      <x:c r="B1317" s="32" t="str">
        <x:v>C04</x:v>
      </x:c>
      <x:c r="C1317" s="32" t="n">
        <x:v>17</x:v>
      </x:c>
      <x:c r="D1317" s="33" t="str">
        <x:v>{"Local":"15,0|km|Catu, BA","Ajuste de lance":" --","Impr.":"13","Visualizações do TrueView":"4","Taxa de visualização do TrueView":"30,77%","Código da moeda":"BRL","Custo":"0,03","CPM médio":"2,31","Taxa de conv.":"0,00%","Conversões":"0,00","Custo / conv.":"0,00"}</x:v>
      </x:c>
    </x:row>
    <x:row r="1318" ht="39" customHeight="1">
      <x:c r="A1318" s="32" t="str">
        <x:v>F038</x:v>
      </x:c>
      <x:c r="B1318" s="32" t="str">
        <x:v>C04</x:v>
      </x:c>
      <x:c r="C1318" s="32" t="n">
        <x:v>18</x:v>
      </x:c>
      <x:c r="D1318" s="33" t="str">
        <x:v>{"Local":"15,0|km|Aratuípe, BA","Ajuste de lance":" --","Impr.":"127","Visualizações do TrueView":"60","Taxa de visualização do TrueView":"47,24%","Código da moeda":"BRL","Custo":"0,62","CPM médio":"4,85","Taxa de conv.":"0,00%","Conversões":"0,00","Custo / conv.":"0,00"}</x:v>
      </x:c>
    </x:row>
    <x:row r="1319" ht="39" customHeight="1">
      <x:c r="A1319" s="32" t="str">
        <x:v>F038</x:v>
      </x:c>
      <x:c r="B1319" s="32" t="str">
        <x:v>C04</x:v>
      </x:c>
      <x:c r="C1319" s="32" t="n">
        <x:v>19</x:v>
      </x:c>
      <x:c r="D1319" s="33" t="str">
        <x:v>{"Local":"15,0|km|Itaparica, BA","Ajuste de lance":" --","Impr.":"1.969","Visualizações do TrueView":"626","Taxa de visualização do TrueView":"31,79%","Código da moeda":"BRL","Custo":"22,20","CPM médio":"11,27","Taxa de conv.":"0,00%","Conversões":"0,00","Custo / conv.":"0,00"}</x:v>
      </x:c>
    </x:row>
    <x:row r="1320" ht="39" customHeight="1">
      <x:c r="A1320" s="32" t="str">
        <x:v>F038</x:v>
      </x:c>
      <x:c r="B1320" s="32" t="str">
        <x:v>C04</x:v>
      </x:c>
      <x:c r="C1320" s="32" t="n">
        <x:v>20</x:v>
      </x:c>
      <x:c r="D1320" s="33" t="str">
        <x:v>{"Local":"15,0|km|São Francisco, Ilhéus - Bahia","Ajuste de lance":" --","Impr.":"1.382","Visualizações do TrueView":"705","Taxa de visualização do TrueView":"51,01%","Código da moeda":"BRL","Custo":"7,88","CPM médio":"5,70","Taxa de conv.":"0,00%","Conversões":"0,00","Custo / conv.":"0,00"}</x:v>
      </x:c>
    </x:row>
    <x:row r="1321" ht="39" customHeight="1">
      <x:c r="A1321" s="32" t="str">
        <x:v>F038</x:v>
      </x:c>
      <x:c r="B1321" s="32" t="str">
        <x:v>C04</x:v>
      </x:c>
      <x:c r="C1321" s="32" t="n">
        <x:v>21</x:v>
      </x:c>
      <x:c r="D1321" s="33" t="str">
        <x:v>{"Local":"15,0|km|Maragogipe, BA","Ajuste de lance":" --","Impr.":"17","Visualizações do TrueView":"7","Taxa de visualização do TrueView":"41,18%","Código da moeda":"BRL","Custo":"0,12","CPM médio":"6,87","Taxa de conv.":"0,00%","Conversões":"0,00","Custo / conv.":"0,00"}</x:v>
      </x:c>
    </x:row>
    <x:row r="1322" ht="39" customHeight="1">
      <x:c r="A1322" s="32" t="str">
        <x:v>F038</x:v>
      </x:c>
      <x:c r="B1322" s="32" t="str">
        <x:v>C04</x:v>
      </x:c>
      <x:c r="C1322" s="32" t="n">
        <x:v>22</x:v>
      </x:c>
      <x:c r="D1322" s="33" t="str">
        <x:v>{"Local":"15,0|km|Santo Antônio de Jesus, BA","Ajuste de lance":" --","Impr.":"44","Visualizações do TrueView":"15","Taxa de visualização do TrueView":"34,09%","Código da moeda":"BRL","Custo":"1,27","CPM médio":"28,92","Taxa de conv.":"0,00%","Conversões":"0,00","Custo / conv.":"0,00"}</x:v>
      </x:c>
    </x:row>
    <x:row r="1323" ht="39" customHeight="1">
      <x:c r="A1323" s="32" t="str">
        <x:v>F038</x:v>
      </x:c>
      <x:c r="B1323" s="32" t="str">
        <x:v>C04</x:v>
      </x:c>
      <x:c r="C1323" s="32" t="n">
        <x:v>23</x:v>
      </x:c>
      <x:c r="D1323" s="33" t="str">
        <x:v>{"Local":"15,0|km|São Sebastião do Passé, BA","Ajuste de lance":" --","Impr.":"172","Visualizações do TrueView":"76","Taxa de visualização do TrueView":"44,19%","Código da moeda":"BRL","Custo":"0,87","CPM médio":"5,07","Taxa de conv.":"0,00%","Conversões":"0,00","Custo / conv.":"0,00"}</x:v>
      </x:c>
    </x:row>
    <x:row r="1324" ht="39" customHeight="1">
      <x:c r="A1324" s="32" t="str">
        <x:v>F038</x:v>
      </x:c>
      <x:c r="B1324" s="32" t="str">
        <x:v>C04</x:v>
      </x:c>
      <x:c r="C1324" s="32" t="n">
        <x:v>24</x:v>
      </x:c>
      <x:c r="D1324" s="33" t="str">
        <x:v>{"Local":"15,0|km|São Félix, Bahia","Ajuste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1325" ht="39" customHeight="1">
      <x:c r="A1325" s="32" t="str">
        <x:v>F038</x:v>
      </x:c>
      <x:c r="B1325" s="32" t="str">
        <x:v>C04</x:v>
      </x:c>
      <x:c r="C1325" s="32" t="n">
        <x:v>25</x:v>
      </x:c>
      <x:c r="D1325" s="33" t="str">
        <x:v>{"Local":"15,0|km|Salinas da Margarida, BA","Ajuste de lance":" --","Impr.":"348","Visualizações do TrueView":"117","Taxa de visualização do TrueView":"33,62%","Código da moeda":"BRL","Custo":"7,52","CPM médio":"21,60","Taxa de conv.":"0,00%","Conversões":"0,00","Custo / conv.":"0,00"}</x:v>
      </x:c>
    </x:row>
    <x:row r="1326" ht="39" customHeight="1">
      <x:c r="A1326" s="32" t="str">
        <x:v>F038</x:v>
      </x:c>
      <x:c r="B1326" s="32" t="str">
        <x:v>C04</x:v>
      </x:c>
      <x:c r="C1326" s="32" t="n">
        <x:v>26</x:v>
      </x:c>
      <x:c r="D1326" s="33" t="str">
        <x:v>{"Local":"15,0|km|Itanagra, BA","Ajuste de lance":" --","Impr.":"50","Visualizações do TrueView":"14","Taxa de visualização do TrueView":"28,00%","Código da moeda":"BRL","Custo":"0,15","CPM médio":"2,98","Taxa de conv.":"0,00%","Conversões":"0,00","Custo / conv.":"0,00"}</x:v>
      </x:c>
    </x:row>
    <x:row r="1327" ht="39" customHeight="1">
      <x:c r="A1327" s="32" t="str">
        <x:v>F038</x:v>
      </x:c>
      <x:c r="B1327" s="32" t="str">
        <x:v>C04</x:v>
      </x:c>
      <x:c r="C1327" s="32" t="n">
        <x:v>27</x:v>
      </x:c>
      <x:c r="D1327" s="33" t="str">
        <x:v>{"Local":"15,0|km|Lauro de Freitas, BA","Ajuste de lance":" --","Impr.":"3.793","Visualizações do TrueView":"1.906","Taxa de visualização do TrueView":"50,25%","Código da moeda":"BRL","Custo":"27,19","CPM médio":"7,17","Taxa de conv.":"0,00%","Conversões":"0,00","Custo / conv.":"0,00"}</x:v>
      </x:c>
    </x:row>
    <x:row r="1328" ht="39" customHeight="1">
      <x:c r="A1328" s="32" t="str">
        <x:v>F038</x:v>
      </x:c>
      <x:c r="B1328" s="32" t="str">
        <x:v>C04</x:v>
      </x:c>
      <x:c r="C1328" s="32" t="n">
        <x:v>28</x:v>
      </x:c>
      <x:c r="D1328" s="33" t="str">
        <x:v>{"Local":"15,0|km|Amélia Rodrigues, BA","Ajuste de lance":" --","Impr.":"678","Visualizações do TrueView":"260","Taxa de visualização do TrueView":"38,35%","Código da moeda":"BRL","Custo":"13,72","CPM médio":"20,23","Taxa de conv.":"0,00%","Conversões":"0,00","Custo / conv.":"0,00"}</x:v>
      </x:c>
    </x:row>
    <x:row r="1329" ht="39" customHeight="1">
      <x:c r="A1329" s="32" t="str">
        <x:v>F038</x:v>
      </x:c>
      <x:c r="B1329" s="32" t="str">
        <x:v>C04</x:v>
      </x:c>
      <x:c r="C1329" s="32" t="n">
        <x:v>29</x:v>
      </x:c>
      <x:c r="D1329" s="33" t="str">
        <x:v>{"Local":"15,0|km|Madre de Deus, BA","Ajuste de lance":" --","Impr.":"70","Visualizações do TrueView":"35","Taxa de visualização do TrueView":"50,00%","Código da moeda":"BRL","Custo":"0,37","CPM médio":"5,22","Taxa de conv.":"0,00%","Conversões":"0,00","Custo / conv.":"0,00"}</x:v>
      </x:c>
    </x:row>
    <x:row r="1330" ht="39" customHeight="1">
      <x:c r="A1330" s="32" t="str">
        <x:v>F038</x:v>
      </x:c>
      <x:c r="B1330" s="32" t="str">
        <x:v>C04</x:v>
      </x:c>
      <x:c r="C1330" s="32" t="n">
        <x:v>30</x:v>
      </x:c>
      <x:c r="D1330" s="33" t="str">
        <x:v>{"Local":"15,0|km|Cachoeira, BA","Ajuste de lance":" --","Impr.":"31","Visualizações do TrueView":"13","Taxa de visualização do TrueView":"41,94%","Código da moeda":"BRL","Custo":"0,24","CPM médio":"7,66","Taxa de conv.":"0,00%","Conversões":"0,00","Custo / conv.":"0,00"}</x:v>
      </x:c>
    </x:row>
    <x:row r="1331" ht="39" customHeight="1">
      <x:c r="A1331" s="32" t="str">
        <x:v>F038</x:v>
      </x:c>
      <x:c r="B1331" s="32" t="str">
        <x:v>C04</x:v>
      </x:c>
      <x:c r="C1331" s="32" t="n">
        <x:v>31</x:v>
      </x:c>
      <x:c r="D1331" s="33" t="str">
        <x:v>{"Local":"15,0|km|Saubara, BA","Ajuste de lance":" --","Impr.":"120","Visualizações do TrueView":"30","Taxa de visualização do TrueView":"25,00%","Código da moeda":"BRL","Custo":"0,37","CPM médio":"3,12","Taxa de conv.":"0,00%","Conversões":"0,00","Custo / conv.":"0,00"}</x:v>
      </x:c>
    </x:row>
    <x:row r="1332" ht="39" customHeight="1">
      <x:c r="A1332" s="32" t="str">
        <x:v>F038</x:v>
      </x:c>
      <x:c r="B1332" s="32" t="str">
        <x:v>C04</x:v>
      </x:c>
      <x:c r="C1332" s="32" t="n">
        <x:v>32</x:v>
      </x:c>
      <x:c r="D1332" s="33" t="str">
        <x:v>{"Local":"15,0|km|Vera Cruz, Bahia","Ajuste de lance":" --","Impr.":"9","Visualizações do TrueView":"0","Taxa de visualização do TrueView":"0,00%","Código da moeda":"BRL","Custo":"0,00","CPM médio":"0,00","Taxa de conv.":"0,00%","Conversões":"0,00","Custo / conv.":"0,00"}</x:v>
      </x:c>
    </x:row>
    <x:row r="1333" ht="39" customHeight="1">
      <x:c r="A1333" s="32" t="str">
        <x:v>F038</x:v>
      </x:c>
      <x:c r="B1333" s="32" t="str">
        <x:v>C04</x:v>
      </x:c>
      <x:c r="C1333" s="32" t="n">
        <x:v>33</x:v>
      </x:c>
      <x:c r="D1333" s="33" t="str">
        <x:v>{"Local":"15,0|km|Cabaceiras do Paraguaçu, BA","Ajuste de lance":" --","Impr.":"407","Visualizações do TrueView":"179","Taxa de visualização do TrueView":"43,98%","Código da moeda":"BRL","Custo":"1,95","CPM médio":"4,79","Taxa de conv.":"0,00%","Conversões":"0,00","Custo / conv.":"0,00"}</x:v>
      </x:c>
    </x:row>
    <x:row r="1334" ht="39" customHeight="1">
      <x:c r="A1334" s="32" t="str">
        <x:v>F038</x:v>
      </x:c>
      <x:c r="B1334" s="32" t="str">
        <x:v>C04</x:v>
      </x:c>
      <x:c r="C1334" s="32" t="n">
        <x:v>34</x:v>
      </x:c>
      <x:c r="D1334" s="33" t="str">
        <x:v>{"Local":"15,0|km|Conceição do Almeida, BA","Ajuste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1335" ht="39" customHeight="1">
      <x:c r="A1335" s="32" t="str">
        <x:v>F038</x:v>
      </x:c>
      <x:c r="B1335" s="32" t="str">
        <x:v>C04</x:v>
      </x:c>
      <x:c r="C1335" s="32" t="n">
        <x:v>35</x:v>
      </x:c>
      <x:c r="D1335" s="33" t="str">
        <x:v>{"Local":"15,0|km|Jaguaripe, BA","Ajuste de lance":" --","Impr.":"87","Visualizações do TrueView":"38","Taxa de visualização do TrueView":"43,68%","Código da moeda":"BRL","Custo":"0,44","CPM médio":"5,10","Taxa de conv.":"0,00%","Conversões":"0,00","Custo / conv.":"0,00"}</x:v>
      </x:c>
    </x:row>
    <x:row r="1336" ht="39" customHeight="1">
      <x:c r="A1336" s="32" t="str">
        <x:v>F038</x:v>
      </x:c>
      <x:c r="B1336" s="32" t="str">
        <x:v>C04</x:v>
      </x:c>
      <x:c r="C1336" s="32" t="n">
        <x:v>36</x:v>
      </x:c>
      <x:c r="D1336" s="33" t="str">
        <x:v>{"Local":"15,0|km|Camaçari, BA","Ajuste de lance":" --","Impr.":"115","Visualizações do TrueView":"55","Taxa de visualização do TrueView":"47,83%","Código da moeda":"BRL","Custo":"0,54","CPM médio":"4,73","Taxa de conv.":"0,00%","Conversões":"0,00","Custo / conv.":"0,00"}</x:v>
      </x:c>
    </x:row>
    <x:row r="1337" ht="39" customHeight="1">
      <x:c r="A1337" s="32" t="str">
        <x:v>F038</x:v>
      </x:c>
      <x:c r="B1337" s="32" t="str">
        <x:v>C04</x:v>
      </x:c>
      <x:c r="C1337" s="32" t="n">
        <x:v>37</x:v>
      </x:c>
      <x:c r="D1337" s="33" t="str">
        <x:v>{"Local":"15,0|km|São JOÃO, Feira de Santana - Bahia","Ajuste de lance":" --","Impr.":"4.063","Visualizações do TrueView":"1.842","Taxa de visualização do TrueView":"45,34%","Código da moeda":"BRL","Custo":"29,61","CPM médio":"7,29","Taxa de conv.":"0,00%","Conversões":"0,00","Custo / conv.":"0,00"}</x:v>
      </x:c>
    </x:row>
    <x:row r="1338" ht="39" customHeight="1">
      <x:c r="A1338" s="32" t="str">
        <x:v>F038</x:v>
      </x:c>
      <x:c r="B1338" s="32" t="str">
        <x:v>C04</x:v>
      </x:c>
      <x:c r="C1338" s="32" t="n">
        <x:v>38</x:v>
      </x:c>
      <x:c r="D1338" s="33" t="str">
        <x:v>{"Local":"Total: Locais","Ajuste de lance":"","Impr.":"32.176","Visualizações do TrueView":"14.802","Taxa de visualização do TrueView":"46,00%","Código da moeda":"BRL","Custo":"343,48","CPM médio":"10,68","Taxa de conv.":"0,00%","Conversões":"0,00","Custo / conv.":"0,00"}</x:v>
      </x:c>
    </x:row>
    <x:row r="1339" ht="39" customHeight="1">
      <x:c r="A1339" s="32" t="str">
        <x:v>F038</x:v>
      </x:c>
      <x:c r="B1339" s="32" t="str">
        <x:v>C04</x:v>
      </x:c>
      <x:c r="C1339" s="32" t="n">
        <x:v>39</x:v>
      </x:c>
      <x:c r="D1339" s="33" t="str">
        <x:v>{"Local":"Total: Outros locais","Ajuste de lance":"","Impr.":"0","Visualizações do TrueView":"0","Taxa de visualização do TrueView":" --","Código da moeda":"BRL","Custo":"0,00","CPM médio":"0","Taxa de conv.":"0,00%","Conversões":"0,00","Custo / conv.":"0,00"}</x:v>
      </x:c>
    </x:row>
    <x:row r="1340" ht="39" customHeight="1">
      <x:c r="A1340" s="32" t="str">
        <x:v>F038</x:v>
      </x:c>
      <x:c r="B1340" s="32" t="str">
        <x:v>C04</x:v>
      </x:c>
      <x:c r="C1340" s="32" t="n">
        <x:v>40</x:v>
      </x:c>
      <x:c r="D1340" s="33" t="str">
        <x:v>{"Local":"Total: Campanha","Ajuste de lance":"","Impr.":"32.176","Visualizações do TrueView":"14.802","Taxa de visualização do TrueView":"46,00%","Código da moeda":"BRL","Custo":"343,48","CPM médio":"10,68","Taxa de conv.":"0,00%","Conversões":"0,00","Custo / conv.":"0,00"}</x:v>
      </x:c>
    </x:row>
    <x:row r="1341" ht="69" customHeight="1">
      <x:c r="A1341" s="32" t="str">
        <x:v>F039</x:v>
      </x:c>
      <x:c r="B1341" s="32" t="str">
        <x:v>C04</x:v>
      </x:c>
      <x:c r="C1341" s="32" t="n">
        <x:v>1</x:v>
      </x:c>
      <x:c r="D1341" s="33" t="str">
        <x:v>{"Status do grupo de anúncios":"Ativado","Grupo de anúncios":"Remarketing 90D - Interagiram com os videos","Status":"Não qualificado","Motivos do status":"campanha pausada; desconhecido","Código da moeda":"BRL","CPV desejado TrueView":"10,00","Visualizações do TrueView":"14.802","CPV médio do TrueView":"0,02","Subtipo da campanha":"Exibições de vídeos","Tipo de grupo de anúncios":"Anúncio responsivo em vídeo","Impr.":"32.176","Custo":"343,48","Inclusões de marca":"[]","Taxa de conv.":"0,00%","Conversões":"0,00","Custo / conv.":"0,00"}</x:v>
      </x:c>
    </x:row>
    <x:row r="1342" ht="54" customHeight="1">
      <x:c r="A1342" s="32" t="str">
        <x:v>F039</x:v>
      </x:c>
      <x:c r="B1342" s="32" t="str">
        <x:v>C04</x:v>
      </x:c>
      <x:c r="C1342" s="32" t="n">
        <x:v>2</x:v>
      </x:c>
      <x:c r="D1342" s="33" t="str">
        <x:v>{"Status do grupo de anúncios":"Total: Grupos de anúncios","Grupo de anúncios":"","Status":"","Motivos do status":"","Código da moeda":"BRL","CPV desejado TrueView":"","Visualizações do TrueView":"14.802","CPV médio do TrueView":"0,02","Subtipo da campanha":"","Tipo de grupo de anúncios":"","Impr.":"32.176","Custo":"343,48","Inclusões de marca":"","Taxa de conv.":"0,00%","Conversões":"0,00","Custo / conv.":"0,00"}</x:v>
      </x:c>
    </x:row>
    <x:row r="1343" ht="54" customHeight="1">
      <x:c r="A1343" s="32" t="str">
        <x:v>F039</x:v>
      </x:c>
      <x:c r="B1343" s="32" t="str">
        <x:v>C04</x:v>
      </x:c>
      <x:c r="C1343" s="32" t="n">
        <x:v>3</x:v>
      </x:c>
      <x:c r="D1343" s="33" t="str">
        <x:v>{"Status do grupo de anúncios":"Total: Campanha","Grupo de anúncios":"","Status":"","Motivos do status":"","Código da moeda":"BRL","CPV desejado TrueView":"","Visualizações do TrueView":"14.802","CPV médio do TrueView":"0,02","Subtipo da campanha":"","Tipo de grupo de anúncios":"","Impr.":"32.176","Custo":"343,48","Inclusões de marca":"","Taxa de conv.":"0,00%","Conversões":"0,00","Custo / conv.":"0,00"}</x:v>
      </x:c>
    </x:row>
    <x:row r="1344" ht="54" customHeight="1">
      <x:c r="A1344" s="32" t="str">
        <x:v>F040</x:v>
      </x:c>
      <x:c r="B1344" s="32" t="str">
        <x:v>C04</x:v>
      </x:c>
      <x:c r="C1344" s="32" t="n">
        <x:v>1</x:v>
      </x:c>
      <x:c r="D1344" s="33" t="str">
        <x:v>{"Local das lojas":"Supermercado Cooperja - Balneário Gaivota","address_line_1":"Av. Santa Catarina","address_line_2":" --","city":"Balneário Gaivota","country_code":"BR","phone_number":" +55 48 3583-0315","postal_code":"88955-000","province":"Santa Catarina","Alcance do local (impressões)":"0","Visitas à loja":"0","Cliques de chamada":"0","Como chegar":"0","Visitas ao site":"0"}</x:v>
      </x:c>
    </x:row>
    <x:row r="1345" ht="54" customHeight="1">
      <x:c r="A1345" s="32" t="str">
        <x:v>F040</x:v>
      </x:c>
      <x:c r="B1345" s="32" t="str">
        <x:v>C04</x:v>
      </x:c>
      <x:c r="C1345" s="32" t="n">
        <x:v>2</x:v>
      </x:c>
      <x:c r="D1345" s="33" t="str">
        <x:v>{"Local das lojas":"Supermercado Cooperja - Três Cachoeiras","address_line_1":"Av. Inácio José Schaefer","address_line_2":" --","city":"Três Cachoeiras","country_code":"BR","phone_number":" +55 51 99676-4364","postal_code":"95580-000","province":"Rio Grande do Sul","Alcance do local (impressões)":"0","Visitas à loja":"0","Cliques de chamada":"0","Como chegar":"0","Visitas ao site":"0"}</x:v>
      </x:c>
    </x:row>
    <x:row r="1346" ht="54" customHeight="1">
      <x:c r="A1346" s="32" t="str">
        <x:v>F040</x:v>
      </x:c>
      <x:c r="B1346" s="32" t="str">
        <x:v>C04</x:v>
      </x:c>
      <x:c r="C1346" s="32" t="n">
        <x:v>3</x:v>
      </x:c>
      <x:c r="D1346" s="33" t="str">
        <x:v>{"Local das lojas":"Supermercado Cooperja","address_line_1":"R. Padre Humberto Oening, 471","address_line_2":" --","city":"Praia Grande","country_code":"BR","phone_number":" +55 48 3532-6000","postal_code":"88990-000","province":"Santa Catarina","Alcance do local (impressões)":"0","Visitas à loja":"0","Cliques de chamada":"0","Como chegar":"0","Visitas ao site":"0"}</x:v>
      </x:c>
    </x:row>
    <x:row r="1347" ht="54" customHeight="1">
      <x:c r="A1347" s="32" t="str">
        <x:v>F040</x:v>
      </x:c>
      <x:c r="B1347" s="32" t="str">
        <x:v>C04</x:v>
      </x:c>
      <x:c r="C1347" s="32" t="n">
        <x:v>4</x:v>
      </x:c>
      <x:c r="D1347" s="33" t="str">
        <x:v>{"Local das lojas":"Supermercado Cooperja - Santa Rosa do Sul","address_line_1":"Rua Manoel Idalino Pereira, 505 - Quadra 70","address_line_2":" --","city":"Santa Rosa do Sul","country_code":"BR","phone_number":" +55 48 3534-1202","postal_code":"88965-000","province":"Santa Catarina","Alcance do local (impressões)":"0","Visitas à loja":"0","Cliques de chamada":"0","Como chegar":"0","Visitas ao site":"0"}</x:v>
      </x:c>
    </x:row>
    <x:row r="1348" ht="54" customHeight="1">
      <x:c r="A1348" s="32" t="str">
        <x:v>F040</x:v>
      </x:c>
      <x:c r="B1348" s="32" t="str">
        <x:v>C04</x:v>
      </x:c>
      <x:c r="C1348" s="32" t="n">
        <x:v>5</x:v>
      </x:c>
      <x:c r="D1348" s="33" t="str">
        <x:v>{"Local das lojas":"Centro de Distribuição Cooperja - Supermercados","address_line_1":"Rua Dr. Nereu Ramos","address_line_2":"Rod. José Tiscoski, 1162","city":"Jacinto Machado","country_code":"BR","phone_number":" +55 48 3535-1074","postal_code":"88950-000","province":"Santa Catarina","Alcance do local (impressões)":"0","Visitas à loja":"0","Cliques de chamada":"0","Como chegar":"0","Visitas ao site":"0"}</x:v>
      </x:c>
    </x:row>
    <x:row r="1349" ht="54" customHeight="1">
      <x:c r="A1349" s="32" t="str">
        <x:v>F040</x:v>
      </x:c>
      <x:c r="B1349" s="32" t="str">
        <x:v>C04</x:v>
      </x:c>
      <x:c r="C1349" s="32" t="n">
        <x:v>6</x:v>
      </x:c>
      <x:c r="D1349" s="33" t="str">
        <x:v>{"Local das lojas":"Supermercado Cooperja","address_line_1":"Avenida Padre Herval Fontanella, 1369","address_line_2":" --","city":"Jacinto Machado","country_code":"BR","phone_number":" +55 48 3535-6000","postal_code":"88950-000","province":"Santa Catarina","Alcance do local (impressões)":"0","Visitas à loja":"0","Cliques de chamada":"0","Como chegar":"0","Visitas ao site":"0"}</x:v>
      </x:c>
    </x:row>
    <x:row r="1350" ht="24" customHeight="1">
      <x:c r="A1350" s="32" t="str">
        <x:v>F041</x:v>
      </x:c>
      <x:c r="B1350" s="32" t="str">
        <x:v>C05</x:v>
      </x:c>
      <x:c r="C1350" s="32" t="n">
        <x:v>1</x:v>
      </x:c>
      <x:c r="D1350" s="33" t="str">
        <x:v>{"Date":"8/31/2026","Freq. méd. impr. / usuário (covisualizadas)":"null"}</x:v>
      </x:c>
    </x:row>
    <x:row r="1351" ht="24" customHeight="1">
      <x:c r="A1351" s="32" t="str">
        <x:v>F041</x:v>
      </x:c>
      <x:c r="B1351" s="32" t="str">
        <x:v>C05</x:v>
      </x:c>
      <x:c r="C1351" s="32" t="n">
        <x:v>2</x:v>
      </x:c>
      <x:c r="D1351" s="33" t="str">
        <x:v>{"Date":"9/7/2026","Freq. méd. impr. / usuário (covisualizadas)":"null"}</x:v>
      </x:c>
    </x:row>
    <x:row r="1352" ht="24" customHeight="1">
      <x:c r="A1352" s="32" t="str">
        <x:v>F041</x:v>
      </x:c>
      <x:c r="B1352" s="32" t="str">
        <x:v>C05</x:v>
      </x:c>
      <x:c r="C1352" s="32" t="n">
        <x:v>3</x:v>
      </x:c>
      <x:c r="D1352" s="33" t="str">
        <x:v>{"Date":"9/14/2026","Freq. méd. impr. / usuário (covisualizadas)":"null"}</x:v>
      </x:c>
    </x:row>
    <x:row r="1353" ht="24" customHeight="1">
      <x:c r="A1353" s="32" t="str">
        <x:v>F041</x:v>
      </x:c>
      <x:c r="B1353" s="32" t="str">
        <x:v>C05</x:v>
      </x:c>
      <x:c r="C1353" s="32" t="n">
        <x:v>4</x:v>
      </x:c>
      <x:c r="D1353" s="33" t="str">
        <x:v>{"Date":"9/21/2026","Freq. méd. impr. / usuário (covisualizadas)":"null"}</x:v>
      </x:c>
    </x:row>
    <x:row r="1354" ht="24" customHeight="1">
      <x:c r="A1354" s="32" t="str">
        <x:v>F041</x:v>
      </x:c>
      <x:c r="B1354" s="32" t="str">
        <x:v>C05</x:v>
      </x:c>
      <x:c r="C1354" s="32" t="n">
        <x:v>5</x:v>
      </x:c>
      <x:c r="D1354" s="33" t="str">
        <x:v>{"Date":"9/28/2026","Freq. méd. impr. / usuário (covisualizadas)":"null"}</x:v>
      </x:c>
    </x:row>
    <x:row r="1355" ht="24" customHeight="1">
      <x:c r="A1355" s="32" t="str">
        <x:v>F041</x:v>
      </x:c>
      <x:c r="B1355" s="32" t="str">
        <x:v>C05</x:v>
      </x:c>
      <x:c r="C1355" s="32" t="n">
        <x:v>6</x:v>
      </x:c>
      <x:c r="D1355" s="33" t="str">
        <x:v>{"Date":"10/5/2026","Freq. méd. impr. / usuário (covisualizadas)":"1.8271604938271604"}</x:v>
      </x:c>
    </x:row>
    <x:row r="1356" ht="24" customHeight="1">
      <x:c r="A1356" s="32" t="str">
        <x:v>F041</x:v>
      </x:c>
      <x:c r="B1356" s="32" t="str">
        <x:v>C05</x:v>
      </x:c>
      <x:c r="C1356" s="32" t="n">
        <x:v>7</x:v>
      </x:c>
      <x:c r="D1356" s="33" t="str">
        <x:v>{"Date":"10/12/2026","Freq. méd. impr. / usuário (covisualizadas)":"1.64"}</x:v>
      </x:c>
    </x:row>
    <x:row r="1357" ht="24" customHeight="1">
      <x:c r="A1357" s="32" t="str">
        <x:v>F042</x:v>
      </x:c>
      <x:c r="B1357" s="32" t="str">
        <x:v>C05</x:v>
      </x:c>
      <x:c r="C1357" s="32" t="n">
        <x:v>1</x:v>
      </x:c>
      <x:c r="D1357" s="33" t="str">
        <x:v>{"Formato de anúncio":"In-feed","Tipo de canal de publicidade":"Total: campanhas de vídeo","Usuários únicos (covisualizados)":"154"}</x:v>
      </x:c>
    </x:row>
    <x:row r="1358" ht="24" customHeight="1">
      <x:c r="A1358" s="32" t="str">
        <x:v>F042</x:v>
      </x:c>
      <x:c r="B1358" s="32" t="str">
        <x:v>C05</x:v>
      </x:c>
      <x:c r="C1358" s="32" t="n">
        <x:v>2</x:v>
      </x:c>
      <x:c r="D1358" s="33" t="str">
        <x:v>{"Formato de anúncio":"Bumper","Tipo de canal de publicidade":"Total: campanhas de vídeo","Usuários únicos (covisualizados)":"194"}</x:v>
      </x:c>
    </x:row>
    <x:row r="1359" ht="24" customHeight="1">
      <x:c r="A1359" s="32" t="str">
        <x:v>F043</x:v>
      </x:c>
      <x:c r="B1359" s="32" t="str">
        <x:v>C05</x:v>
      </x:c>
      <x:c r="C1359" s="32" t="n">
        <x:v>1</x:v>
      </x:c>
      <x:c r="D1359" s="33" t="str">
        <x:v>{"Formato de anúncio":"Shorts","Freq. méd. impr. / usuário (covisualizadas)":""}</x:v>
      </x:c>
    </x:row>
    <x:row r="1360" ht="24" customHeight="1">
      <x:c r="A1360" s="32" t="str">
        <x:v>F043</x:v>
      </x:c>
      <x:c r="B1360" s="32" t="str">
        <x:v>C05</x:v>
      </x:c>
      <x:c r="C1360" s="32" t="n">
        <x:v>2</x:v>
      </x:c>
      <x:c r="D1360" s="33" t="str">
        <x:v>{"Formato de anúncio":"In-feed","Freq. méd. impr. / usuário (covisualizadas)":"2.051948051948052"}</x:v>
      </x:c>
    </x:row>
    <x:row r="1361" ht="24" customHeight="1">
      <x:c r="A1361" s="32" t="str">
        <x:v>F043</x:v>
      </x:c>
      <x:c r="B1361" s="32" t="str">
        <x:v>C05</x:v>
      </x:c>
      <x:c r="C1361" s="32" t="n">
        <x:v>3</x:v>
      </x:c>
      <x:c r="D1361" s="33" t="str">
        <x:v>{"Formato de anúncio":"Bumper","Freq. méd. impr. / usuário (covisualizadas)":"1.3453608247422681"}</x:v>
      </x:c>
    </x:row>
    <x:row r="1362" ht="24" customHeight="1">
      <x:c r="A1362" s="32" t="str">
        <x:v>F044</x:v>
      </x:c>
      <x:c r="B1362" s="32" t="str">
        <x:v>C05</x:v>
      </x:c>
      <x:c r="C1362" s="32" t="n">
        <x:v>1</x:v>
      </x:c>
      <x:c r="D1362" s="33" t="str">
        <x:v>{"Dispositivo":"Tablets","Usuários únicos (covisualizados)":null}</x:v>
      </x:c>
    </x:row>
    <x:row r="1363" ht="24" customHeight="1">
      <x:c r="A1363" s="32" t="str">
        <x:v>F044</x:v>
      </x:c>
      <x:c r="B1363" s="32" t="str">
        <x:v>C05</x:v>
      </x:c>
      <x:c r="C1363" s="32" t="n">
        <x:v>2</x:v>
      </x:c>
      <x:c r="D1363" s="33" t="str">
        <x:v>{"Dispositivo":"Dispositivos móveis","Usuários únicos (covisualizados)":"152"}</x:v>
      </x:c>
    </x:row>
    <x:row r="1364" ht="24" customHeight="1">
      <x:c r="A1364" s="32" t="str">
        <x:v>F044</x:v>
      </x:c>
      <x:c r="B1364" s="32" t="str">
        <x:v>C05</x:v>
      </x:c>
      <x:c r="C1364" s="32" t="n">
        <x:v>3</x:v>
      </x:c>
      <x:c r="D1364" s="33" t="str">
        <x:v>{"Dispositivo":"Computadores","Usuários únicos (covisualizados)":null}</x:v>
      </x:c>
    </x:row>
    <x:row r="1365" ht="24" customHeight="1">
      <x:c r="A1365" s="32" t="str">
        <x:v>F044</x:v>
      </x:c>
      <x:c r="B1365" s="32" t="str">
        <x:v>C05</x:v>
      </x:c>
      <x:c r="C1365" s="32" t="n">
        <x:v>4</x:v>
      </x:c>
      <x:c r="D1365" s="33" t="str">
        <x:v>{"Dispositivo":"Telas de TV","Usuários únicos (covisualizados)":"171"}</x:v>
      </x:c>
    </x:row>
    <x:row r="1366" ht="24" customHeight="1">
      <x:c r="A1366" s="32" t="str">
        <x:v>F045</x:v>
      </x:c>
      <x:c r="B1366" s="32" t="str">
        <x:v>C05</x:v>
      </x:c>
      <x:c r="C1366" s="32" t="n">
        <x:v>1</x:v>
      </x:c>
      <x:c r="D1366" s="33" t="str">
        <x:v>{"Dispositivo":"Tablets","Freq. méd. impr. / usuário (covisualizadas)":""}</x:v>
      </x:c>
    </x:row>
    <x:row r="1367" ht="24" customHeight="1">
      <x:c r="A1367" s="32" t="str">
        <x:v>F045</x:v>
      </x:c>
      <x:c r="B1367" s="32" t="str">
        <x:v>C05</x:v>
      </x:c>
      <x:c r="C1367" s="32" t="n">
        <x:v>2</x:v>
      </x:c>
      <x:c r="D1367" s="33" t="str">
        <x:v>{"Dispositivo":"Dispositivos móveis","Freq. méd. impr. / usuário (covisualizadas)":"2.6315789473684212"}</x:v>
      </x:c>
    </x:row>
    <x:row r="1368" ht="24" customHeight="1">
      <x:c r="A1368" s="32" t="str">
        <x:v>F045</x:v>
      </x:c>
      <x:c r="B1368" s="32" t="str">
        <x:v>C05</x:v>
      </x:c>
      <x:c r="C1368" s="32" t="n">
        <x:v>3</x:v>
      </x:c>
      <x:c r="D1368" s="33" t="str">
        <x:v>{"Dispositivo":"Computadores","Freq. méd. impr. / usuário (covisualizadas)":""}</x:v>
      </x:c>
    </x:row>
    <x:row r="1369" ht="24" customHeight="1">
      <x:c r="A1369" s="32" t="str">
        <x:v>F045</x:v>
      </x:c>
      <x:c r="B1369" s="32" t="str">
        <x:v>C05</x:v>
      </x:c>
      <x:c r="C1369" s="32" t="n">
        <x:v>4</x:v>
      </x:c>
      <x:c r="D1369" s="33" t="str">
        <x:v>{"Dispositivo":"Telas de TV","Freq. méd. impr. / usuário (covisualizadas)":"1.105263157894737"}</x:v>
      </x:c>
    </x:row>
    <x:row r="1370" ht="24" customHeight="1">
      <x:c r="A1370" s="32" t="str">
        <x:v>F046</x:v>
      </x:c>
      <x:c r="B1370" s="32" t="str">
        <x:v>C05</x:v>
      </x:c>
      <x:c r="C1370" s="32" t="n">
        <x:v>1</x:v>
      </x:c>
      <x:c r="D1370" s="33" t="str">
        <x:v>{"País":"Brazil","Usuários únicos (covisualizados)":"372","Freq. méd. impr. / usuário (covisualizadas)":"1.7446236559139785"}</x:v>
      </x:c>
    </x:row>
    <x:row r="1371" ht="24" customHeight="1">
      <x:c r="A1371" s="32" t="str">
        <x:v>F047</x:v>
      </x:c>
      <x:c r="B1371" s="32" t="str">
        <x:v>C05</x:v>
      </x:c>
      <x:c r="C1371" s="32" t="n">
        <x:v>1</x:v>
      </x:c>
      <x:c r="D1371" s="33" t="str">
        <x:v>{"Data":"ter., 1 de set. de 2026","Impr.":"0","Cliques":"0","Conversões":"0,00","Custo":"R$ 0,00"}</x:v>
      </x:c>
    </x:row>
    <x:row r="1372" ht="24" customHeight="1">
      <x:c r="A1372" s="32" t="str">
        <x:v>F047</x:v>
      </x:c>
      <x:c r="B1372" s="32" t="str">
        <x:v>C05</x:v>
      </x:c>
      <x:c r="C1372" s="32" t="n">
        <x:v>2</x:v>
      </x:c>
      <x:c r="D1372" s="33" t="str">
        <x:v>{"Data":"qua., 2 de set. de 2026","Impr.":"0","Cliques":"0","Conversões":"0,00","Custo":"R$ 0,00"}</x:v>
      </x:c>
    </x:row>
    <x:row r="1373" ht="24" customHeight="1">
      <x:c r="A1373" s="32" t="str">
        <x:v>F047</x:v>
      </x:c>
      <x:c r="B1373" s="32" t="str">
        <x:v>C05</x:v>
      </x:c>
      <x:c r="C1373" s="32" t="n">
        <x:v>3</x:v>
      </x:c>
      <x:c r="D1373" s="33" t="str">
        <x:v>{"Data":"qui., 3 de set. de 2026","Impr.":"0","Cliques":"0","Conversões":"0,00","Custo":"R$ 0,00"}</x:v>
      </x:c>
    </x:row>
    <x:row r="1374" ht="24" customHeight="1">
      <x:c r="A1374" s="32" t="str">
        <x:v>F047</x:v>
      </x:c>
      <x:c r="B1374" s="32" t="str">
        <x:v>C05</x:v>
      </x:c>
      <x:c r="C1374" s="32" t="n">
        <x:v>4</x:v>
      </x:c>
      <x:c r="D1374" s="33" t="str">
        <x:v>{"Data":"sex., 4 de set. de 2026","Impr.":"0","Cliques":"0","Conversões":"0,00","Custo":"R$ 0,00"}</x:v>
      </x:c>
    </x:row>
    <x:row r="1375" ht="24" customHeight="1">
      <x:c r="A1375" s="32" t="str">
        <x:v>F047</x:v>
      </x:c>
      <x:c r="B1375" s="32" t="str">
        <x:v>C05</x:v>
      </x:c>
      <x:c r="C1375" s="32" t="n">
        <x:v>5</x:v>
      </x:c>
      <x:c r="D1375" s="33" t="str">
        <x:v>{"Data":"sáb., 5 de set. de 2026","Impr.":"0","Cliques":"0","Conversões":"0,00","Custo":"R$ 0,00"}</x:v>
      </x:c>
    </x:row>
    <x:row r="1376" ht="24" customHeight="1">
      <x:c r="A1376" s="32" t="str">
        <x:v>F047</x:v>
      </x:c>
      <x:c r="B1376" s="32" t="str">
        <x:v>C05</x:v>
      </x:c>
      <x:c r="C1376" s="32" t="n">
        <x:v>6</x:v>
      </x:c>
      <x:c r="D1376" s="33" t="str">
        <x:v>{"Data":"dom., 6 de set. de 2026","Impr.":"0","Cliques":"0","Conversões":"0,00","Custo":"R$ 0,00"}</x:v>
      </x:c>
    </x:row>
    <x:row r="1377" ht="24" customHeight="1">
      <x:c r="A1377" s="32" t="str">
        <x:v>F047</x:v>
      </x:c>
      <x:c r="B1377" s="32" t="str">
        <x:v>C05</x:v>
      </x:c>
      <x:c r="C1377" s="32" t="n">
        <x:v>7</x:v>
      </x:c>
      <x:c r="D1377" s="33" t="str">
        <x:v>{"Data":"seg., 7 de set. de 2026","Impr.":"0","Cliques":"0","Conversões":"0,00","Custo":"R$ 0,00"}</x:v>
      </x:c>
    </x:row>
    <x:row r="1378" ht="24" customHeight="1">
      <x:c r="A1378" s="32" t="str">
        <x:v>F047</x:v>
      </x:c>
      <x:c r="B1378" s="32" t="str">
        <x:v>C05</x:v>
      </x:c>
      <x:c r="C1378" s="32" t="n">
        <x:v>8</x:v>
      </x:c>
      <x:c r="D1378" s="33" t="str">
        <x:v>{"Data":"ter., 8 de set. de 2026","Impr.":"0","Cliques":"0","Conversões":"0,00","Custo":"R$ 0,00"}</x:v>
      </x:c>
    </x:row>
    <x:row r="1379" ht="24" customHeight="1">
      <x:c r="A1379" s="32" t="str">
        <x:v>F047</x:v>
      </x:c>
      <x:c r="B1379" s="32" t="str">
        <x:v>C05</x:v>
      </x:c>
      <x:c r="C1379" s="32" t="n">
        <x:v>9</x:v>
      </x:c>
      <x:c r="D1379" s="33" t="str">
        <x:v>{"Data":"qua., 9 de set. de 2026","Impr.":"0","Cliques":"0","Conversões":"0,00","Custo":"R$ 0,00"}</x:v>
      </x:c>
    </x:row>
    <x:row r="1380" ht="24" customHeight="1">
      <x:c r="A1380" s="32" t="str">
        <x:v>F047</x:v>
      </x:c>
      <x:c r="B1380" s="32" t="str">
        <x:v>C05</x:v>
      </x:c>
      <x:c r="C1380" s="32" t="n">
        <x:v>10</x:v>
      </x:c>
      <x:c r="D1380" s="33" t="str">
        <x:v>{"Data":"qui., 10 de set. de 2026","Impr.":"0","Cliques":"0","Conversões":"0,00","Custo":"R$ 0,00"}</x:v>
      </x:c>
    </x:row>
    <x:row r="1381" ht="24" customHeight="1">
      <x:c r="A1381" s="32" t="str">
        <x:v>F047</x:v>
      </x:c>
      <x:c r="B1381" s="32" t="str">
        <x:v>C05</x:v>
      </x:c>
      <x:c r="C1381" s="32" t="n">
        <x:v>11</x:v>
      </x:c>
      <x:c r="D1381" s="33" t="str">
        <x:v>{"Data":"sex., 11 de set. de 2026","Impr.":"0","Cliques":"0","Conversões":"0,00","Custo":"R$ 0,00"}</x:v>
      </x:c>
    </x:row>
    <x:row r="1382" ht="24" customHeight="1">
      <x:c r="A1382" s="32" t="str">
        <x:v>F047</x:v>
      </x:c>
      <x:c r="B1382" s="32" t="str">
        <x:v>C05</x:v>
      </x:c>
      <x:c r="C1382" s="32" t="n">
        <x:v>12</x:v>
      </x:c>
      <x:c r="D1382" s="33" t="str">
        <x:v>{"Data":"sáb., 12 de set. de 2026","Impr.":"0","Cliques":"0","Conversões":"0,00","Custo":"R$ 0,00"}</x:v>
      </x:c>
    </x:row>
    <x:row r="1383" ht="24" customHeight="1">
      <x:c r="A1383" s="32" t="str">
        <x:v>F047</x:v>
      </x:c>
      <x:c r="B1383" s="32" t="str">
        <x:v>C05</x:v>
      </x:c>
      <x:c r="C1383" s="32" t="n">
        <x:v>13</x:v>
      </x:c>
      <x:c r="D1383" s="33" t="str">
        <x:v>{"Data":"dom., 13 de set. de 2026","Impr.":"0","Cliques":"0","Conversões":"0,00","Custo":"R$ 0,00"}</x:v>
      </x:c>
    </x:row>
    <x:row r="1384" ht="24" customHeight="1">
      <x:c r="A1384" s="32" t="str">
        <x:v>F047</x:v>
      </x:c>
      <x:c r="B1384" s="32" t="str">
        <x:v>C05</x:v>
      </x:c>
      <x:c r="C1384" s="32" t="n">
        <x:v>14</x:v>
      </x:c>
      <x:c r="D1384" s="33" t="str">
        <x:v>{"Data":"seg., 14 de set. de 2026","Impr.":"0","Cliques":"0","Conversões":"0,00","Custo":"R$ 0,00"}</x:v>
      </x:c>
    </x:row>
    <x:row r="1385" ht="24" customHeight="1">
      <x:c r="A1385" s="32" t="str">
        <x:v>F047</x:v>
      </x:c>
      <x:c r="B1385" s="32" t="str">
        <x:v>C05</x:v>
      </x:c>
      <x:c r="C1385" s="32" t="n">
        <x:v>15</x:v>
      </x:c>
      <x:c r="D1385" s="33" t="str">
        <x:v>{"Data":"ter., 15 de set. de 2026","Impr.":"0","Cliques":"0","Conversões":"0,00","Custo":"R$ 0,00"}</x:v>
      </x:c>
    </x:row>
    <x:row r="1386" ht="24" customHeight="1">
      <x:c r="A1386" s="32" t="str">
        <x:v>F047</x:v>
      </x:c>
      <x:c r="B1386" s="32" t="str">
        <x:v>C05</x:v>
      </x:c>
      <x:c r="C1386" s="32" t="n">
        <x:v>16</x:v>
      </x:c>
      <x:c r="D1386" s="33" t="str">
        <x:v>{"Data":"qua., 16 de set. de 2026","Impr.":"0","Cliques":"0","Conversões":"0,00","Custo":"R$ 0,00"}</x:v>
      </x:c>
    </x:row>
    <x:row r="1387" ht="24" customHeight="1">
      <x:c r="A1387" s="32" t="str">
        <x:v>F047</x:v>
      </x:c>
      <x:c r="B1387" s="32" t="str">
        <x:v>C05</x:v>
      </x:c>
      <x:c r="C1387" s="32" t="n">
        <x:v>17</x:v>
      </x:c>
      <x:c r="D1387" s="33" t="str">
        <x:v>{"Data":"qui., 17 de set. de 2026","Impr.":"0","Cliques":"0","Conversões":"0,00","Custo":"R$ 0,00"}</x:v>
      </x:c>
    </x:row>
    <x:row r="1388" ht="24" customHeight="1">
      <x:c r="A1388" s="32" t="str">
        <x:v>F047</x:v>
      </x:c>
      <x:c r="B1388" s="32" t="str">
        <x:v>C05</x:v>
      </x:c>
      <x:c r="C1388" s="32" t="n">
        <x:v>18</x:v>
      </x:c>
      <x:c r="D1388" s="33" t="str">
        <x:v>{"Data":"sex., 18 de set. de 2026","Impr.":"0","Cliques":"0","Conversões":"0,00","Custo":"R$ 0,00"}</x:v>
      </x:c>
    </x:row>
    <x:row r="1389" ht="24" customHeight="1">
      <x:c r="A1389" s="32" t="str">
        <x:v>F047</x:v>
      </x:c>
      <x:c r="B1389" s="32" t="str">
        <x:v>C05</x:v>
      </x:c>
      <x:c r="C1389" s="32" t="n">
        <x:v>19</x:v>
      </x:c>
      <x:c r="D1389" s="33" t="str">
        <x:v>{"Data":"sáb., 19 de set. de 2026","Impr.":"0","Cliques":"0","Conversões":"0,00","Custo":"R$ 0,00"}</x:v>
      </x:c>
    </x:row>
    <x:row r="1390" ht="24" customHeight="1">
      <x:c r="A1390" s="32" t="str">
        <x:v>F047</x:v>
      </x:c>
      <x:c r="B1390" s="32" t="str">
        <x:v>C05</x:v>
      </x:c>
      <x:c r="C1390" s="32" t="n">
        <x:v>20</x:v>
      </x:c>
      <x:c r="D1390" s="33" t="str">
        <x:v>{"Data":"dom., 20 de set. de 2026","Impr.":"0","Cliques":"0","Conversões":"0,00","Custo":"R$ 0,00"}</x:v>
      </x:c>
    </x:row>
    <x:row r="1391" ht="24" customHeight="1">
      <x:c r="A1391" s="32" t="str">
        <x:v>F047</x:v>
      </x:c>
      <x:c r="B1391" s="32" t="str">
        <x:v>C05</x:v>
      </x:c>
      <x:c r="C1391" s="32" t="n">
        <x:v>21</x:v>
      </x:c>
      <x:c r="D1391" s="33" t="str">
        <x:v>{"Data":"seg., 21 de set. de 2026","Impr.":"0","Cliques":"0","Conversões":"0,00","Custo":"R$ 0,00"}</x:v>
      </x:c>
    </x:row>
    <x:row r="1392" ht="24" customHeight="1">
      <x:c r="A1392" s="32" t="str">
        <x:v>F047</x:v>
      </x:c>
      <x:c r="B1392" s="32" t="str">
        <x:v>C05</x:v>
      </x:c>
      <x:c r="C1392" s="32" t="n">
        <x:v>22</x:v>
      </x:c>
      <x:c r="D1392" s="33" t="str">
        <x:v>{"Data":"ter., 22 de set. de 2026","Impr.":"0","Cliques":"0","Conversões":"0,00","Custo":"R$ 0,00"}</x:v>
      </x:c>
    </x:row>
    <x:row r="1393" ht="24" customHeight="1">
      <x:c r="A1393" s="32" t="str">
        <x:v>F047</x:v>
      </x:c>
      <x:c r="B1393" s="32" t="str">
        <x:v>C05</x:v>
      </x:c>
      <x:c r="C1393" s="32" t="n">
        <x:v>23</x:v>
      </x:c>
      <x:c r="D1393" s="33" t="str">
        <x:v>{"Data":"qua., 23 de set. de 2026","Impr.":"0","Cliques":"0","Conversões":"0,00","Custo":"R$ 0,00"}</x:v>
      </x:c>
    </x:row>
    <x:row r="1394" ht="24" customHeight="1">
      <x:c r="A1394" s="32" t="str">
        <x:v>F047</x:v>
      </x:c>
      <x:c r="B1394" s="32" t="str">
        <x:v>C05</x:v>
      </x:c>
      <x:c r="C1394" s="32" t="n">
        <x:v>24</x:v>
      </x:c>
      <x:c r="D1394" s="33" t="str">
        <x:v>{"Data":"qui., 24 de set. de 2026","Impr.":"0","Cliques":"0","Conversões":"0,00","Custo":"R$ 0,00"}</x:v>
      </x:c>
    </x:row>
    <x:row r="1395" ht="24" customHeight="1">
      <x:c r="A1395" s="32" t="str">
        <x:v>F047</x:v>
      </x:c>
      <x:c r="B1395" s="32" t="str">
        <x:v>C05</x:v>
      </x:c>
      <x:c r="C1395" s="32" t="n">
        <x:v>25</x:v>
      </x:c>
      <x:c r="D1395" s="33" t="str">
        <x:v>{"Data":"sex., 25 de set. de 2026","Impr.":"0","Cliques":"0","Conversões":"0,00","Custo":"R$ 0,00"}</x:v>
      </x:c>
    </x:row>
    <x:row r="1396" ht="24" customHeight="1">
      <x:c r="A1396" s="32" t="str">
        <x:v>F047</x:v>
      </x:c>
      <x:c r="B1396" s="32" t="str">
        <x:v>C05</x:v>
      </x:c>
      <x:c r="C1396" s="32" t="n">
        <x:v>26</x:v>
      </x:c>
      <x:c r="D1396" s="33" t="str">
        <x:v>{"Data":"sáb., 26 de set. de 2026","Impr.":"0","Cliques":"0","Conversões":"0,00","Custo":"R$ 0,00"}</x:v>
      </x:c>
    </x:row>
    <x:row r="1397" ht="24" customHeight="1">
      <x:c r="A1397" s="32" t="str">
        <x:v>F047</x:v>
      </x:c>
      <x:c r="B1397" s="32" t="str">
        <x:v>C05</x:v>
      </x:c>
      <x:c r="C1397" s="32" t="n">
        <x:v>27</x:v>
      </x:c>
      <x:c r="D1397" s="33" t="str">
        <x:v>{"Data":"dom., 27 de set. de 2026","Impr.":"0","Cliques":"0","Conversões":"0,00","Custo":"R$ 0,00"}</x:v>
      </x:c>
    </x:row>
    <x:row r="1398" ht="24" customHeight="1">
      <x:c r="A1398" s="32" t="str">
        <x:v>F047</x:v>
      </x:c>
      <x:c r="B1398" s="32" t="str">
        <x:v>C05</x:v>
      </x:c>
      <x:c r="C1398" s="32" t="n">
        <x:v>28</x:v>
      </x:c>
      <x:c r="D1398" s="33" t="str">
        <x:v>{"Data":"seg., 28 de set. de 2026","Impr.":"0","Cliques":"0","Conversões":"0,00","Custo":"R$ 0,00"}</x:v>
      </x:c>
    </x:row>
    <x:row r="1399" ht="24" customHeight="1">
      <x:c r="A1399" s="32" t="str">
        <x:v>F047</x:v>
      </x:c>
      <x:c r="B1399" s="32" t="str">
        <x:v>C05</x:v>
      </x:c>
      <x:c r="C1399" s="32" t="n">
        <x:v>29</x:v>
      </x:c>
      <x:c r="D1399" s="33" t="str">
        <x:v>{"Data":"ter., 29 de set. de 2026","Impr.":"0","Cliques":"0","Conversões":"0,00","Custo":"R$ 0,00"}</x:v>
      </x:c>
    </x:row>
    <x:row r="1400" ht="24" customHeight="1">
      <x:c r="A1400" s="32" t="str">
        <x:v>F047</x:v>
      </x:c>
      <x:c r="B1400" s="32" t="str">
        <x:v>C05</x:v>
      </x:c>
      <x:c r="C1400" s="32" t="n">
        <x:v>30</x:v>
      </x:c>
      <x:c r="D1400" s="33" t="str">
        <x:v>{"Data":"qua., 30 de set. de 2026","Impr.":"0","Cliques":"0","Conversões":"0,00","Custo":"R$ 0,00"}</x:v>
      </x:c>
    </x:row>
    <x:row r="1401" ht="24" customHeight="1">
      <x:c r="A1401" s="32" t="str">
        <x:v>F047</x:v>
      </x:c>
      <x:c r="B1401" s="32" t="str">
        <x:v>C05</x:v>
      </x:c>
      <x:c r="C1401" s="32" t="n">
        <x:v>31</x:v>
      </x:c>
      <x:c r="D1401" s="33" t="str">
        <x:v>{"Data":"qui., 1 de out. de 2026","Impr.":"0","Cliques":"0","Conversões":"0,00","Custo":"R$ 0,00"}</x:v>
      </x:c>
    </x:row>
    <x:row r="1402" ht="24" customHeight="1">
      <x:c r="A1402" s="32" t="str">
        <x:v>F047</x:v>
      </x:c>
      <x:c r="B1402" s="32" t="str">
        <x:v>C05</x:v>
      </x:c>
      <x:c r="C1402" s="32" t="n">
        <x:v>32</x:v>
      </x:c>
      <x:c r="D1402" s="33" t="str">
        <x:v>{"Data":"sex., 2 de out. de 2026","Impr.":"0","Cliques":"0","Conversões":"0,00","Custo":"R$ 0,00"}</x:v>
      </x:c>
    </x:row>
    <x:row r="1403" ht="24" customHeight="1">
      <x:c r="A1403" s="32" t="str">
        <x:v>F047</x:v>
      </x:c>
      <x:c r="B1403" s="32" t="str">
        <x:v>C05</x:v>
      </x:c>
      <x:c r="C1403" s="32" t="n">
        <x:v>33</x:v>
      </x:c>
      <x:c r="D1403" s="33" t="str">
        <x:v>{"Data":"sáb., 3 de out. de 2026","Impr.":"0","Cliques":"0","Conversões":"0,00","Custo":"R$ 0,00"}</x:v>
      </x:c>
    </x:row>
    <x:row r="1404" ht="24" customHeight="1">
      <x:c r="A1404" s="32" t="str">
        <x:v>F047</x:v>
      </x:c>
      <x:c r="B1404" s="32" t="str">
        <x:v>C05</x:v>
      </x:c>
      <x:c r="C1404" s="32" t="n">
        <x:v>34</x:v>
      </x:c>
      <x:c r="D1404" s="33" t="str">
        <x:v>{"Data":"dom., 4 de out. de 2026","Impr.":"0","Cliques":"0","Conversões":"0,00","Custo":"R$ 0,00"}</x:v>
      </x:c>
    </x:row>
    <x:row r="1405" ht="24" customHeight="1">
      <x:c r="A1405" s="32" t="str">
        <x:v>F047</x:v>
      </x:c>
      <x:c r="B1405" s="32" t="str">
        <x:v>C05</x:v>
      </x:c>
      <x:c r="C1405" s="32" t="n">
        <x:v>35</x:v>
      </x:c>
      <x:c r="D1405" s="33" t="str">
        <x:v>{"Data":"seg., 5 de out. de 2026","Impr.":"0","Cliques":"0","Conversões":"0,00","Custo":"R$ 0,00"}</x:v>
      </x:c>
    </x:row>
    <x:row r="1406" ht="24" customHeight="1">
      <x:c r="A1406" s="32" t="str">
        <x:v>F047</x:v>
      </x:c>
      <x:c r="B1406" s="32" t="str">
        <x:v>C05</x:v>
      </x:c>
      <x:c r="C1406" s="32" t="n">
        <x:v>36</x:v>
      </x:c>
      <x:c r="D1406" s="33" t="str">
        <x:v>{"Data":"ter., 6 de out. de 2026","Impr.":"0","Cliques":"0","Conversões":"0,00","Custo":"R$ 0,00"}</x:v>
      </x:c>
    </x:row>
    <x:row r="1407" ht="24" customHeight="1">
      <x:c r="A1407" s="32" t="str">
        <x:v>F047</x:v>
      </x:c>
      <x:c r="B1407" s="32" t="str">
        <x:v>C05</x:v>
      </x:c>
      <x:c r="C1407" s="32" t="n">
        <x:v>37</x:v>
      </x:c>
      <x:c r="D1407" s="33" t="str">
        <x:v>{"Data":"qua., 7 de out. de 2026","Impr.":"40","Cliques":"0","Conversões":"0,00","Custo":"R$ 0,18"}</x:v>
      </x:c>
    </x:row>
    <x:row r="1408" ht="24" customHeight="1">
      <x:c r="A1408" s="32" t="str">
        <x:v>F047</x:v>
      </x:c>
      <x:c r="B1408" s="32" t="str">
        <x:v>C05</x:v>
      </x:c>
      <x:c r="C1408" s="32" t="n">
        <x:v>38</x:v>
      </x:c>
      <x:c r="D1408" s="33" t="str">
        <x:v>{"Data":"qui., 8 de out. de 2026","Impr.":"49","Cliques":"0","Conversões":"0,00","Custo":"R$ 0,17"}</x:v>
      </x:c>
    </x:row>
    <x:row r="1409" ht="24" customHeight="1">
      <x:c r="A1409" s="32" t="str">
        <x:v>F047</x:v>
      </x:c>
      <x:c r="B1409" s="32" t="str">
        <x:v>C05</x:v>
      </x:c>
      <x:c r="C1409" s="32" t="n">
        <x:v>39</x:v>
      </x:c>
      <x:c r="D1409" s="33" t="str">
        <x:v>{"Data":"sex., 9 de out. de 2026","Impr.":"76","Cliques":"0","Conversões":"0,00","Custo":"R$ 0,17"}</x:v>
      </x:c>
    </x:row>
    <x:row r="1410" ht="24" customHeight="1">
      <x:c r="A1410" s="32" t="str">
        <x:v>F047</x:v>
      </x:c>
      <x:c r="B1410" s="32" t="str">
        <x:v>C05</x:v>
      </x:c>
      <x:c r="C1410" s="32" t="n">
        <x:v>40</x:v>
      </x:c>
      <x:c r="D1410" s="33" t="str">
        <x:v>{"Data":"sáb., 10 de out. de 2026","Impr.":"149","Cliques":"0","Conversões":"0,00","Custo":"R$ 0,18"}</x:v>
      </x:c>
    </x:row>
    <x:row r="1411" ht="24" customHeight="1">
      <x:c r="A1411" s="32" t="str">
        <x:v>F047</x:v>
      </x:c>
      <x:c r="B1411" s="32" t="str">
        <x:v>C05</x:v>
      </x:c>
      <x:c r="C1411" s="32" t="n">
        <x:v>41</x:v>
      </x:c>
      <x:c r="D1411" s="33" t="str">
        <x:v>{"Data":"dom., 11 de out. de 2026","Impr.":"103","Cliques":"0","Conversões":"0,00","Custo":"R$ 0,17"}</x:v>
      </x:c>
    </x:row>
    <x:row r="1412" ht="24" customHeight="1">
      <x:c r="A1412" s="32" t="str">
        <x:v>F047</x:v>
      </x:c>
      <x:c r="B1412" s="32" t="str">
        <x:v>C05</x:v>
      </x:c>
      <x:c r="C1412" s="32" t="n">
        <x:v>42</x:v>
      </x:c>
      <x:c r="D1412" s="33" t="str">
        <x:v>{"Data":"seg., 12 de out. de 2026","Impr.":"105","Cliques":"0","Conversões":"0,00","Custo":"R$ 0,17"}</x:v>
      </x:c>
    </x:row>
    <x:row r="1413" ht="24" customHeight="1">
      <x:c r="A1413" s="32" t="str">
        <x:v>F047</x:v>
      </x:c>
      <x:c r="B1413" s="32" t="str">
        <x:v>C05</x:v>
      </x:c>
      <x:c r="C1413" s="32" t="n">
        <x:v>43</x:v>
      </x:c>
      <x:c r="D1413" s="33" t="str">
        <x:v>{"Data":"ter., 13 de out. de 2026","Impr.":"69","Cliques":"0","Conversões":"0,00","Custo":"R$ 0,19"}</x:v>
      </x:c>
    </x:row>
    <x:row r="1414" ht="24" customHeight="1">
      <x:c r="A1414" s="32" t="str">
        <x:v>F047</x:v>
      </x:c>
      <x:c r="B1414" s="32" t="str">
        <x:v>C05</x:v>
      </x:c>
      <x:c r="C1414" s="32" t="n">
        <x:v>44</x:v>
      </x:c>
      <x:c r="D1414" s="33" t="str">
        <x:v>{"Data":"qua., 14 de out. de 2026","Impr.":"11","Cliques":"0","Conversões":"0,00","Custo":"R$ 0,03"}</x:v>
      </x:c>
    </x:row>
    <x:row r="1415" ht="24" customHeight="1">
      <x:c r="A1415" s="32" t="str">
        <x:v>F048</x:v>
      </x:c>
      <x:c r="B1415" s="32" t="str">
        <x:v>C05</x:v>
      </x:c>
      <x:c r="C1415" s="32" t="n">
        <x:v>1</x:v>
      </x:c>
      <x:c r="D1415" s="33" t="str">
        <x:v>{"Data":"ter., 1 de set. de 2026","Cliques":"0","Visualizações públicas do YouTube":"0","Shorts":"—","Custo":"R$ 0,00"}</x:v>
      </x:c>
    </x:row>
    <x:row r="1416" ht="24" customHeight="1">
      <x:c r="A1416" s="32" t="str">
        <x:v>F048</x:v>
      </x:c>
      <x:c r="B1416" s="32" t="str">
        <x:v>C05</x:v>
      </x:c>
      <x:c r="C1416" s="32" t="n">
        <x:v>2</x:v>
      </x:c>
      <x:c r="D1416" s="33" t="str">
        <x:v>{"Data":"qua., 2 de set. de 2026","Cliques":"0","Visualizações públicas do YouTube":"0","Shorts":"—","Custo":"R$ 0,00"}</x:v>
      </x:c>
    </x:row>
    <x:row r="1417" ht="24" customHeight="1">
      <x:c r="A1417" s="32" t="str">
        <x:v>F048</x:v>
      </x:c>
      <x:c r="B1417" s="32" t="str">
        <x:v>C05</x:v>
      </x:c>
      <x:c r="C1417" s="32" t="n">
        <x:v>3</x:v>
      </x:c>
      <x:c r="D1417" s="33" t="str">
        <x:v>{"Data":"qui., 3 de set. de 2026","Cliques":"0","Visualizações públicas do YouTube":"0","Shorts":"—","Custo":"R$ 0,00"}</x:v>
      </x:c>
    </x:row>
    <x:row r="1418" ht="24" customHeight="1">
      <x:c r="A1418" s="32" t="str">
        <x:v>F048</x:v>
      </x:c>
      <x:c r="B1418" s="32" t="str">
        <x:v>C05</x:v>
      </x:c>
      <x:c r="C1418" s="32" t="n">
        <x:v>4</x:v>
      </x:c>
      <x:c r="D1418" s="33" t="str">
        <x:v>{"Data":"sex., 4 de set. de 2026","Cliques":"0","Visualizações públicas do YouTube":"0","Shorts":"—","Custo":"R$ 0,00"}</x:v>
      </x:c>
    </x:row>
    <x:row r="1419" ht="24" customHeight="1">
      <x:c r="A1419" s="32" t="str">
        <x:v>F048</x:v>
      </x:c>
      <x:c r="B1419" s="32" t="str">
        <x:v>C05</x:v>
      </x:c>
      <x:c r="C1419" s="32" t="n">
        <x:v>5</x:v>
      </x:c>
      <x:c r="D1419" s="33" t="str">
        <x:v>{"Data":"sáb., 5 de set. de 2026","Cliques":"0","Visualizações públicas do YouTube":"0","Shorts":"—","Custo":"R$ 0,00"}</x:v>
      </x:c>
    </x:row>
    <x:row r="1420" ht="24" customHeight="1">
      <x:c r="A1420" s="32" t="str">
        <x:v>F048</x:v>
      </x:c>
      <x:c r="B1420" s="32" t="str">
        <x:v>C05</x:v>
      </x:c>
      <x:c r="C1420" s="32" t="n">
        <x:v>6</x:v>
      </x:c>
      <x:c r="D1420" s="33" t="str">
        <x:v>{"Data":"dom., 6 de set. de 2026","Cliques":"0","Visualizações públicas do YouTube":"0","Shorts":"—","Custo":"R$ 0,00"}</x:v>
      </x:c>
    </x:row>
    <x:row r="1421" ht="24" customHeight="1">
      <x:c r="A1421" s="32" t="str">
        <x:v>F048</x:v>
      </x:c>
      <x:c r="B1421" s="32" t="str">
        <x:v>C05</x:v>
      </x:c>
      <x:c r="C1421" s="32" t="n">
        <x:v>7</x:v>
      </x:c>
      <x:c r="D1421" s="33" t="str">
        <x:v>{"Data":"seg., 7 de set. de 2026","Cliques":"0","Visualizações públicas do YouTube":"0","Shorts":"—","Custo":"R$ 0,00"}</x:v>
      </x:c>
    </x:row>
    <x:row r="1422" ht="24" customHeight="1">
      <x:c r="A1422" s="32" t="str">
        <x:v>F048</x:v>
      </x:c>
      <x:c r="B1422" s="32" t="str">
        <x:v>C05</x:v>
      </x:c>
      <x:c r="C1422" s="32" t="n">
        <x:v>8</x:v>
      </x:c>
      <x:c r="D1422" s="33" t="str">
        <x:v>{"Data":"ter., 8 de set. de 2026","Cliques":"0","Visualizações públicas do YouTube":"0","Shorts":"—","Custo":"R$ 0,00"}</x:v>
      </x:c>
    </x:row>
    <x:row r="1423" ht="24" customHeight="1">
      <x:c r="A1423" s="32" t="str">
        <x:v>F048</x:v>
      </x:c>
      <x:c r="B1423" s="32" t="str">
        <x:v>C05</x:v>
      </x:c>
      <x:c r="C1423" s="32" t="n">
        <x:v>9</x:v>
      </x:c>
      <x:c r="D1423" s="33" t="str">
        <x:v>{"Data":"qua., 9 de set. de 2026","Cliques":"0","Visualizações públicas do YouTube":"0","Shorts":"—","Custo":"R$ 0,00"}</x:v>
      </x:c>
    </x:row>
    <x:row r="1424" ht="24" customHeight="1">
      <x:c r="A1424" s="32" t="str">
        <x:v>F048</x:v>
      </x:c>
      <x:c r="B1424" s="32" t="str">
        <x:v>C05</x:v>
      </x:c>
      <x:c r="C1424" s="32" t="n">
        <x:v>10</x:v>
      </x:c>
      <x:c r="D1424" s="33" t="str">
        <x:v>{"Data":"qui., 10 de set. de 2026","Cliques":"0","Visualizações públicas do YouTube":"0","Shorts":"—","Custo":"R$ 0,00"}</x:v>
      </x:c>
    </x:row>
    <x:row r="1425" ht="24" customHeight="1">
      <x:c r="A1425" s="32" t="str">
        <x:v>F048</x:v>
      </x:c>
      <x:c r="B1425" s="32" t="str">
        <x:v>C05</x:v>
      </x:c>
      <x:c r="C1425" s="32" t="n">
        <x:v>11</x:v>
      </x:c>
      <x:c r="D1425" s="33" t="str">
        <x:v>{"Data":"sex., 11 de set. de 2026","Cliques":"0","Visualizações públicas do YouTube":"0","Shorts":"—","Custo":"R$ 0,00"}</x:v>
      </x:c>
    </x:row>
    <x:row r="1426" ht="24" customHeight="1">
      <x:c r="A1426" s="32" t="str">
        <x:v>F048</x:v>
      </x:c>
      <x:c r="B1426" s="32" t="str">
        <x:v>C05</x:v>
      </x:c>
      <x:c r="C1426" s="32" t="n">
        <x:v>12</x:v>
      </x:c>
      <x:c r="D1426" s="33" t="str">
        <x:v>{"Data":"sáb., 12 de set. de 2026","Cliques":"0","Visualizações públicas do YouTube":"0","Shorts":"—","Custo":"R$ 0,00"}</x:v>
      </x:c>
    </x:row>
    <x:row r="1427" ht="24" customHeight="1">
      <x:c r="A1427" s="32" t="str">
        <x:v>F048</x:v>
      </x:c>
      <x:c r="B1427" s="32" t="str">
        <x:v>C05</x:v>
      </x:c>
      <x:c r="C1427" s="32" t="n">
        <x:v>13</x:v>
      </x:c>
      <x:c r="D1427" s="33" t="str">
        <x:v>{"Data":"dom., 13 de set. de 2026","Cliques":"0","Visualizações públicas do YouTube":"0","Shorts":"—","Custo":"R$ 0,00"}</x:v>
      </x:c>
    </x:row>
    <x:row r="1428" ht="24" customHeight="1">
      <x:c r="A1428" s="32" t="str">
        <x:v>F048</x:v>
      </x:c>
      <x:c r="B1428" s="32" t="str">
        <x:v>C05</x:v>
      </x:c>
      <x:c r="C1428" s="32" t="n">
        <x:v>14</x:v>
      </x:c>
      <x:c r="D1428" s="33" t="str">
        <x:v>{"Data":"seg., 14 de set. de 2026","Cliques":"0","Visualizações públicas do YouTube":"0","Shorts":"—","Custo":"R$ 0,00"}</x:v>
      </x:c>
    </x:row>
    <x:row r="1429" ht="24" customHeight="1">
      <x:c r="A1429" s="32" t="str">
        <x:v>F048</x:v>
      </x:c>
      <x:c r="B1429" s="32" t="str">
        <x:v>C05</x:v>
      </x:c>
      <x:c r="C1429" s="32" t="n">
        <x:v>15</x:v>
      </x:c>
      <x:c r="D1429" s="33" t="str">
        <x:v>{"Data":"ter., 15 de set. de 2026","Cliques":"0","Visualizações públicas do YouTube":"0","Shorts":"—","Custo":"R$ 0,00"}</x:v>
      </x:c>
    </x:row>
    <x:row r="1430" ht="24" customHeight="1">
      <x:c r="A1430" s="32" t="str">
        <x:v>F048</x:v>
      </x:c>
      <x:c r="B1430" s="32" t="str">
        <x:v>C05</x:v>
      </x:c>
      <x:c r="C1430" s="32" t="n">
        <x:v>16</x:v>
      </x:c>
      <x:c r="D1430" s="33" t="str">
        <x:v>{"Data":"qua., 16 de set. de 2026","Cliques":"0","Visualizações públicas do YouTube":"0","Shorts":"—","Custo":"R$ 0,00"}</x:v>
      </x:c>
    </x:row>
    <x:row r="1431" ht="24" customHeight="1">
      <x:c r="A1431" s="32" t="str">
        <x:v>F048</x:v>
      </x:c>
      <x:c r="B1431" s="32" t="str">
        <x:v>C05</x:v>
      </x:c>
      <x:c r="C1431" s="32" t="n">
        <x:v>17</x:v>
      </x:c>
      <x:c r="D1431" s="33" t="str">
        <x:v>{"Data":"qui., 17 de set. de 2026","Cliques":"0","Visualizações públicas do YouTube":"0","Shorts":"—","Custo":"R$ 0,00"}</x:v>
      </x:c>
    </x:row>
    <x:row r="1432" ht="24" customHeight="1">
      <x:c r="A1432" s="32" t="str">
        <x:v>F048</x:v>
      </x:c>
      <x:c r="B1432" s="32" t="str">
        <x:v>C05</x:v>
      </x:c>
      <x:c r="C1432" s="32" t="n">
        <x:v>18</x:v>
      </x:c>
      <x:c r="D1432" s="33" t="str">
        <x:v>{"Data":"sex., 18 de set. de 2026","Cliques":"0","Visualizações públicas do YouTube":"0","Shorts":"—","Custo":"R$ 0,00"}</x:v>
      </x:c>
    </x:row>
    <x:row r="1433" ht="24" customHeight="1">
      <x:c r="A1433" s="32" t="str">
        <x:v>F048</x:v>
      </x:c>
      <x:c r="B1433" s="32" t="str">
        <x:v>C05</x:v>
      </x:c>
      <x:c r="C1433" s="32" t="n">
        <x:v>19</x:v>
      </x:c>
      <x:c r="D1433" s="33" t="str">
        <x:v>{"Data":"sáb., 19 de set. de 2026","Cliques":"0","Visualizações públicas do YouTube":"0","Shorts":"—","Custo":"R$ 0,00"}</x:v>
      </x:c>
    </x:row>
    <x:row r="1434" ht="24" customHeight="1">
      <x:c r="A1434" s="32" t="str">
        <x:v>F048</x:v>
      </x:c>
      <x:c r="B1434" s="32" t="str">
        <x:v>C05</x:v>
      </x:c>
      <x:c r="C1434" s="32" t="n">
        <x:v>20</x:v>
      </x:c>
      <x:c r="D1434" s="33" t="str">
        <x:v>{"Data":"dom., 20 de set. de 2026","Cliques":"0","Visualizações públicas do YouTube":"0","Shorts":"—","Custo":"R$ 0,00"}</x:v>
      </x:c>
    </x:row>
    <x:row r="1435" ht="24" customHeight="1">
      <x:c r="A1435" s="32" t="str">
        <x:v>F048</x:v>
      </x:c>
      <x:c r="B1435" s="32" t="str">
        <x:v>C05</x:v>
      </x:c>
      <x:c r="C1435" s="32" t="n">
        <x:v>21</x:v>
      </x:c>
      <x:c r="D1435" s="33" t="str">
        <x:v>{"Data":"seg., 21 de set. de 2026","Cliques":"0","Visualizações públicas do YouTube":"0","Shorts":"—","Custo":"R$ 0,00"}</x:v>
      </x:c>
    </x:row>
    <x:row r="1436" ht="24" customHeight="1">
      <x:c r="A1436" s="32" t="str">
        <x:v>F048</x:v>
      </x:c>
      <x:c r="B1436" s="32" t="str">
        <x:v>C05</x:v>
      </x:c>
      <x:c r="C1436" s="32" t="n">
        <x:v>22</x:v>
      </x:c>
      <x:c r="D1436" s="33" t="str">
        <x:v>{"Data":"ter., 22 de set. de 2026","Cliques":"0","Visualizações públicas do YouTube":"0","Shorts":"—","Custo":"R$ 0,00"}</x:v>
      </x:c>
    </x:row>
    <x:row r="1437" ht="24" customHeight="1">
      <x:c r="A1437" s="32" t="str">
        <x:v>F048</x:v>
      </x:c>
      <x:c r="B1437" s="32" t="str">
        <x:v>C05</x:v>
      </x:c>
      <x:c r="C1437" s="32" t="n">
        <x:v>23</x:v>
      </x:c>
      <x:c r="D1437" s="33" t="str">
        <x:v>{"Data":"qua., 23 de set. de 2026","Cliques":"0","Visualizações públicas do YouTube":"0","Shorts":"—","Custo":"R$ 0,00"}</x:v>
      </x:c>
    </x:row>
    <x:row r="1438" ht="24" customHeight="1">
      <x:c r="A1438" s="32" t="str">
        <x:v>F048</x:v>
      </x:c>
      <x:c r="B1438" s="32" t="str">
        <x:v>C05</x:v>
      </x:c>
      <x:c r="C1438" s="32" t="n">
        <x:v>24</x:v>
      </x:c>
      <x:c r="D1438" s="33" t="str">
        <x:v>{"Data":"qui., 24 de set. de 2026","Cliques":"0","Visualizações públicas do YouTube":"0","Shorts":"—","Custo":"R$ 0,00"}</x:v>
      </x:c>
    </x:row>
    <x:row r="1439" ht="24" customHeight="1">
      <x:c r="A1439" s="32" t="str">
        <x:v>F048</x:v>
      </x:c>
      <x:c r="B1439" s="32" t="str">
        <x:v>C05</x:v>
      </x:c>
      <x:c r="C1439" s="32" t="n">
        <x:v>25</x:v>
      </x:c>
      <x:c r="D1439" s="33" t="str">
        <x:v>{"Data":"sex., 25 de set. de 2026","Cliques":"0","Visualizações públicas do YouTube":"0","Shorts":"—","Custo":"R$ 0,00"}</x:v>
      </x:c>
    </x:row>
    <x:row r="1440" ht="24" customHeight="1">
      <x:c r="A1440" s="32" t="str">
        <x:v>F048</x:v>
      </x:c>
      <x:c r="B1440" s="32" t="str">
        <x:v>C05</x:v>
      </x:c>
      <x:c r="C1440" s="32" t="n">
        <x:v>26</x:v>
      </x:c>
      <x:c r="D1440" s="33" t="str">
        <x:v>{"Data":"sáb., 26 de set. de 2026","Cliques":"0","Visualizações públicas do YouTube":"0","Shorts":"—","Custo":"R$ 0,00"}</x:v>
      </x:c>
    </x:row>
    <x:row r="1441" ht="24" customHeight="1">
      <x:c r="A1441" s="32" t="str">
        <x:v>F048</x:v>
      </x:c>
      <x:c r="B1441" s="32" t="str">
        <x:v>C05</x:v>
      </x:c>
      <x:c r="C1441" s="32" t="n">
        <x:v>27</x:v>
      </x:c>
      <x:c r="D1441" s="33" t="str">
        <x:v>{"Data":"dom., 27 de set. de 2026","Cliques":"0","Visualizações públicas do YouTube":"0","Shorts":"—","Custo":"R$ 0,00"}</x:v>
      </x:c>
    </x:row>
    <x:row r="1442" ht="24" customHeight="1">
      <x:c r="A1442" s="32" t="str">
        <x:v>F048</x:v>
      </x:c>
      <x:c r="B1442" s="32" t="str">
        <x:v>C05</x:v>
      </x:c>
      <x:c r="C1442" s="32" t="n">
        <x:v>28</x:v>
      </x:c>
      <x:c r="D1442" s="33" t="str">
        <x:v>{"Data":"seg., 28 de set. de 2026","Cliques":"0","Visualizações públicas do YouTube":"0","Shorts":"—","Custo":"R$ 0,00"}</x:v>
      </x:c>
    </x:row>
    <x:row r="1443" ht="24" customHeight="1">
      <x:c r="A1443" s="32" t="str">
        <x:v>F048</x:v>
      </x:c>
      <x:c r="B1443" s="32" t="str">
        <x:v>C05</x:v>
      </x:c>
      <x:c r="C1443" s="32" t="n">
        <x:v>29</x:v>
      </x:c>
      <x:c r="D1443" s="33" t="str">
        <x:v>{"Data":"ter., 29 de set. de 2026","Cliques":"0","Visualizações públicas do YouTube":"0","Shorts":"—","Custo":"R$ 0,00"}</x:v>
      </x:c>
    </x:row>
    <x:row r="1444" ht="24" customHeight="1">
      <x:c r="A1444" s="32" t="str">
        <x:v>F048</x:v>
      </x:c>
      <x:c r="B1444" s="32" t="str">
        <x:v>C05</x:v>
      </x:c>
      <x:c r="C1444" s="32" t="n">
        <x:v>30</x:v>
      </x:c>
      <x:c r="D1444" s="33" t="str">
        <x:v>{"Data":"qua., 30 de set. de 2026","Cliques":"0","Visualizações públicas do YouTube":"0","Shorts":"—","Custo":"R$ 0,00"}</x:v>
      </x:c>
    </x:row>
    <x:row r="1445" ht="24" customHeight="1">
      <x:c r="A1445" s="32" t="str">
        <x:v>F048</x:v>
      </x:c>
      <x:c r="B1445" s="32" t="str">
        <x:v>C05</x:v>
      </x:c>
      <x:c r="C1445" s="32" t="n">
        <x:v>31</x:v>
      </x:c>
      <x:c r="D1445" s="33" t="str">
        <x:v>{"Data":"qui., 1 de out. de 2026","Cliques":"0","Visualizações públicas do YouTube":"0","Shorts":"—","Custo":"R$ 0,00"}</x:v>
      </x:c>
    </x:row>
    <x:row r="1446" ht="24" customHeight="1">
      <x:c r="A1446" s="32" t="str">
        <x:v>F048</x:v>
      </x:c>
      <x:c r="B1446" s="32" t="str">
        <x:v>C05</x:v>
      </x:c>
      <x:c r="C1446" s="32" t="n">
        <x:v>32</x:v>
      </x:c>
      <x:c r="D1446" s="33" t="str">
        <x:v>{"Data":"sex., 2 de out. de 2026","Cliques":"0","Visualizações públicas do YouTube":"0","Shorts":"—","Custo":"R$ 0,00"}</x:v>
      </x:c>
    </x:row>
    <x:row r="1447" ht="24" customHeight="1">
      <x:c r="A1447" s="32" t="str">
        <x:v>F048</x:v>
      </x:c>
      <x:c r="B1447" s="32" t="str">
        <x:v>C05</x:v>
      </x:c>
      <x:c r="C1447" s="32" t="n">
        <x:v>33</x:v>
      </x:c>
      <x:c r="D1447" s="33" t="str">
        <x:v>{"Data":"sáb., 3 de out. de 2026","Cliques":"0","Visualizações públicas do YouTube":"0","Shorts":"—","Custo":"R$ 0,00"}</x:v>
      </x:c>
    </x:row>
    <x:row r="1448" ht="24" customHeight="1">
      <x:c r="A1448" s="32" t="str">
        <x:v>F048</x:v>
      </x:c>
      <x:c r="B1448" s="32" t="str">
        <x:v>C05</x:v>
      </x:c>
      <x:c r="C1448" s="32" t="n">
        <x:v>34</x:v>
      </x:c>
      <x:c r="D1448" s="33" t="str">
        <x:v>{"Data":"dom., 4 de out. de 2026","Cliques":"0","Visualizações públicas do YouTube":"0","Shorts":"—","Custo":"R$ 0,00"}</x:v>
      </x:c>
    </x:row>
    <x:row r="1449" ht="24" customHeight="1">
      <x:c r="A1449" s="32" t="str">
        <x:v>F048</x:v>
      </x:c>
      <x:c r="B1449" s="32" t="str">
        <x:v>C05</x:v>
      </x:c>
      <x:c r="C1449" s="32" t="n">
        <x:v>35</x:v>
      </x:c>
      <x:c r="D1449" s="33" t="str">
        <x:v>{"Data":"seg., 5 de out. de 2026","Cliques":"0","Visualizações públicas do YouTube":"0","Shorts":"—","Custo":"R$ 0,00"}</x:v>
      </x:c>
    </x:row>
    <x:row r="1450" ht="24" customHeight="1">
      <x:c r="A1450" s="32" t="str">
        <x:v>F048</x:v>
      </x:c>
      <x:c r="B1450" s="32" t="str">
        <x:v>C05</x:v>
      </x:c>
      <x:c r="C1450" s="32" t="n">
        <x:v>36</x:v>
      </x:c>
      <x:c r="D1450" s="33" t="str">
        <x:v>{"Data":"ter., 6 de out. de 2026","Cliques":"0","Visualizações públicas do YouTube":"0","Shorts":"—","Custo":"R$ 0,00"}</x:v>
      </x:c>
    </x:row>
    <x:row r="1451" ht="24" customHeight="1">
      <x:c r="A1451" s="32" t="str">
        <x:v>F048</x:v>
      </x:c>
      <x:c r="B1451" s="32" t="str">
        <x:v>C05</x:v>
      </x:c>
      <x:c r="C1451" s="32" t="n">
        <x:v>37</x:v>
      </x:c>
      <x:c r="D1451" s="33" t="str">
        <x:v>{"Data":"qua., 7 de out. de 2026","Cliques":"0","Visualizações públicas do YouTube":"21","Shorts":"0,00%","Custo":"R$ 0,18"}</x:v>
      </x:c>
    </x:row>
    <x:row r="1452" ht="24" customHeight="1">
      <x:c r="A1452" s="32" t="str">
        <x:v>F048</x:v>
      </x:c>
      <x:c r="B1452" s="32" t="str">
        <x:v>C05</x:v>
      </x:c>
      <x:c r="C1452" s="32" t="n">
        <x:v>38</x:v>
      </x:c>
      <x:c r="D1452" s="33" t="str">
        <x:v>{"Data":"qui., 8 de out. de 2026","Cliques":"0","Visualizações públicas do YouTube":"13","Shorts":"0,00%","Custo":"R$ 0,17"}</x:v>
      </x:c>
    </x:row>
    <x:row r="1453" ht="24" customHeight="1">
      <x:c r="A1453" s="32" t="str">
        <x:v>F048</x:v>
      </x:c>
      <x:c r="B1453" s="32" t="str">
        <x:v>C05</x:v>
      </x:c>
      <x:c r="C1453" s="32" t="n">
        <x:v>39</x:v>
      </x:c>
      <x:c r="D1453" s="33" t="str">
        <x:v>{"Data":"sex., 9 de out. de 2026","Cliques":"0","Visualizações públicas do YouTube":"26","Shorts":"0,00%","Custo":"R$ 0,17"}</x:v>
      </x:c>
    </x:row>
    <x:row r="1454" ht="24" customHeight="1">
      <x:c r="A1454" s="32" t="str">
        <x:v>F048</x:v>
      </x:c>
      <x:c r="B1454" s="32" t="str">
        <x:v>C05</x:v>
      </x:c>
      <x:c r="C1454" s="32" t="n">
        <x:v>40</x:v>
      </x:c>
      <x:c r="D1454" s="33" t="str">
        <x:v>{"Data":"sáb., 10 de out. de 2026","Cliques":"0","Visualizações públicas do YouTube":"50","Shorts":"0,00%","Custo":"R$ 0,18"}</x:v>
      </x:c>
    </x:row>
    <x:row r="1455" ht="24" customHeight="1">
      <x:c r="A1455" s="32" t="str">
        <x:v>F048</x:v>
      </x:c>
      <x:c r="B1455" s="32" t="str">
        <x:v>C05</x:v>
      </x:c>
      <x:c r="C1455" s="32" t="n">
        <x:v>41</x:v>
      </x:c>
      <x:c r="D1455" s="33" t="str">
        <x:v>{"Data":"dom., 11 de out. de 2026","Cliques":"0","Visualizações públicas do YouTube":"20","Shorts":"0,00%","Custo":"R$ 0,17"}</x:v>
      </x:c>
    </x:row>
    <x:row r="1456" ht="24" customHeight="1">
      <x:c r="A1456" s="32" t="str">
        <x:v>F048</x:v>
      </x:c>
      <x:c r="B1456" s="32" t="str">
        <x:v>C05</x:v>
      </x:c>
      <x:c r="C1456" s="32" t="n">
        <x:v>42</x:v>
      </x:c>
      <x:c r="D1456" s="33" t="str">
        <x:v>{"Data":"seg., 12 de out. de 2026","Cliques":"0","Visualizações públicas do YouTube":"13","Shorts":"0,00%","Custo":"R$ 0,17"}</x:v>
      </x:c>
    </x:row>
    <x:row r="1457" ht="24" customHeight="1">
      <x:c r="A1457" s="32" t="str">
        <x:v>F048</x:v>
      </x:c>
      <x:c r="B1457" s="32" t="str">
        <x:v>C05</x:v>
      </x:c>
      <x:c r="C1457" s="32" t="n">
        <x:v>43</x:v>
      </x:c>
      <x:c r="D1457" s="33" t="str">
        <x:v>{"Data":"ter., 13 de out. de 2026","Cliques":"0","Visualizações públicas do YouTube":"18","Shorts":"0,00%","Custo":"R$ 0,19"}</x:v>
      </x:c>
    </x:row>
    <x:row r="1458" ht="24" customHeight="1">
      <x:c r="A1458" s="32" t="str">
        <x:v>F048</x:v>
      </x:c>
      <x:c r="B1458" s="32" t="str">
        <x:v>C05</x:v>
      </x:c>
      <x:c r="C1458" s="32" t="n">
        <x:v>44</x:v>
      </x:c>
      <x:c r="D1458" s="33" t="str">
        <x:v>{"Data":"qua., 14 de out. de 2026","Cliques":"0","Visualizações públicas do YouTube":"4","Shorts":"—","Custo":"R$ 0,03"}</x:v>
      </x:c>
    </x:row>
    <x:row r="1459" ht="24" customHeight="1">
      <x:c r="A1459" s="32" t="str">
        <x:v>F049</x:v>
      </x:c>
      <x:c r="B1459" s="32" t="str">
        <x:v>C05</x:v>
      </x:c>
      <x:c r="C1459" s="32" t="n">
        <x:v>1</x:v>
      </x:c>
      <x:c r="D1459" s="33" t="str">
        <x:v>{"Data":"ter., 1 de set. de 2026","Impr.":"0","Visualizações públicas do YouTube":"0","Custo":"R$ 0,00","Cliques":"0"}</x:v>
      </x:c>
    </x:row>
    <x:row r="1460" ht="24" customHeight="1">
      <x:c r="A1460" s="32" t="str">
        <x:v>F049</x:v>
      </x:c>
      <x:c r="B1460" s="32" t="str">
        <x:v>C05</x:v>
      </x:c>
      <x:c r="C1460" s="32" t="n">
        <x:v>2</x:v>
      </x:c>
      <x:c r="D1460" s="33" t="str">
        <x:v>{"Data":"qua., 2 de set. de 2026","Impr.":"0","Visualizações públicas do YouTube":"0","Custo":"R$ 0,00","Cliques":"0"}</x:v>
      </x:c>
    </x:row>
    <x:row r="1461" ht="24" customHeight="1">
      <x:c r="A1461" s="32" t="str">
        <x:v>F049</x:v>
      </x:c>
      <x:c r="B1461" s="32" t="str">
        <x:v>C05</x:v>
      </x:c>
      <x:c r="C1461" s="32" t="n">
        <x:v>3</x:v>
      </x:c>
      <x:c r="D1461" s="33" t="str">
        <x:v>{"Data":"qui., 3 de set. de 2026","Impr.":"0","Visualizações públicas do YouTube":"0","Custo":"R$ 0,00","Cliques":"0"}</x:v>
      </x:c>
    </x:row>
    <x:row r="1462" ht="24" customHeight="1">
      <x:c r="A1462" s="32" t="str">
        <x:v>F049</x:v>
      </x:c>
      <x:c r="B1462" s="32" t="str">
        <x:v>C05</x:v>
      </x:c>
      <x:c r="C1462" s="32" t="n">
        <x:v>4</x:v>
      </x:c>
      <x:c r="D1462" s="33" t="str">
        <x:v>{"Data":"sex., 4 de set. de 2026","Impr.":"0","Visualizações públicas do YouTube":"0","Custo":"R$ 0,00","Cliques":"0"}</x:v>
      </x:c>
    </x:row>
    <x:row r="1463" ht="24" customHeight="1">
      <x:c r="A1463" s="32" t="str">
        <x:v>F049</x:v>
      </x:c>
      <x:c r="B1463" s="32" t="str">
        <x:v>C05</x:v>
      </x:c>
      <x:c r="C1463" s="32" t="n">
        <x:v>5</x:v>
      </x:c>
      <x:c r="D1463" s="33" t="str">
        <x:v>{"Data":"sáb., 5 de set. de 2026","Impr.":"0","Visualizações públicas do YouTube":"0","Custo":"R$ 0,00","Cliques":"0"}</x:v>
      </x:c>
    </x:row>
    <x:row r="1464" ht="24" customHeight="1">
      <x:c r="A1464" s="32" t="str">
        <x:v>F049</x:v>
      </x:c>
      <x:c r="B1464" s="32" t="str">
        <x:v>C05</x:v>
      </x:c>
      <x:c r="C1464" s="32" t="n">
        <x:v>6</x:v>
      </x:c>
      <x:c r="D1464" s="33" t="str">
        <x:v>{"Data":"dom., 6 de set. de 2026","Impr.":"0","Visualizações públicas do YouTube":"0","Custo":"R$ 0,00","Cliques":"0"}</x:v>
      </x:c>
    </x:row>
    <x:row r="1465" ht="24" customHeight="1">
      <x:c r="A1465" s="32" t="str">
        <x:v>F049</x:v>
      </x:c>
      <x:c r="B1465" s="32" t="str">
        <x:v>C05</x:v>
      </x:c>
      <x:c r="C1465" s="32" t="n">
        <x:v>7</x:v>
      </x:c>
      <x:c r="D1465" s="33" t="str">
        <x:v>{"Data":"seg., 7 de set. de 2026","Impr.":"0","Visualizações públicas do YouTube":"0","Custo":"R$ 0,00","Cliques":"0"}</x:v>
      </x:c>
    </x:row>
    <x:row r="1466" ht="24" customHeight="1">
      <x:c r="A1466" s="32" t="str">
        <x:v>F049</x:v>
      </x:c>
      <x:c r="B1466" s="32" t="str">
        <x:v>C05</x:v>
      </x:c>
      <x:c r="C1466" s="32" t="n">
        <x:v>8</x:v>
      </x:c>
      <x:c r="D1466" s="33" t="str">
        <x:v>{"Data":"ter., 8 de set. de 2026","Impr.":"0","Visualizações públicas do YouTube":"0","Custo":"R$ 0,00","Cliques":"0"}</x:v>
      </x:c>
    </x:row>
    <x:row r="1467" ht="24" customHeight="1">
      <x:c r="A1467" s="32" t="str">
        <x:v>F049</x:v>
      </x:c>
      <x:c r="B1467" s="32" t="str">
        <x:v>C05</x:v>
      </x:c>
      <x:c r="C1467" s="32" t="n">
        <x:v>9</x:v>
      </x:c>
      <x:c r="D1467" s="33" t="str">
        <x:v>{"Data":"qua., 9 de set. de 2026","Impr.":"0","Visualizações públicas do YouTube":"0","Custo":"R$ 0,00","Cliques":"0"}</x:v>
      </x:c>
    </x:row>
    <x:row r="1468" ht="24" customHeight="1">
      <x:c r="A1468" s="32" t="str">
        <x:v>F049</x:v>
      </x:c>
      <x:c r="B1468" s="32" t="str">
        <x:v>C05</x:v>
      </x:c>
      <x:c r="C1468" s="32" t="n">
        <x:v>10</x:v>
      </x:c>
      <x:c r="D1468" s="33" t="str">
        <x:v>{"Data":"qui., 10 de set. de 2026","Impr.":"0","Visualizações públicas do YouTube":"0","Custo":"R$ 0,00","Cliques":"0"}</x:v>
      </x:c>
    </x:row>
    <x:row r="1469" ht="24" customHeight="1">
      <x:c r="A1469" s="32" t="str">
        <x:v>F049</x:v>
      </x:c>
      <x:c r="B1469" s="32" t="str">
        <x:v>C05</x:v>
      </x:c>
      <x:c r="C1469" s="32" t="n">
        <x:v>11</x:v>
      </x:c>
      <x:c r="D1469" s="33" t="str">
        <x:v>{"Data":"sex., 11 de set. de 2026","Impr.":"0","Visualizações públicas do YouTube":"0","Custo":"R$ 0,00","Cliques":"0"}</x:v>
      </x:c>
    </x:row>
    <x:row r="1470" ht="24" customHeight="1">
      <x:c r="A1470" s="32" t="str">
        <x:v>F049</x:v>
      </x:c>
      <x:c r="B1470" s="32" t="str">
        <x:v>C05</x:v>
      </x:c>
      <x:c r="C1470" s="32" t="n">
        <x:v>12</x:v>
      </x:c>
      <x:c r="D1470" s="33" t="str">
        <x:v>{"Data":"sáb., 12 de set. de 2026","Impr.":"0","Visualizações públicas do YouTube":"0","Custo":"R$ 0,00","Cliques":"0"}</x:v>
      </x:c>
    </x:row>
    <x:row r="1471" ht="24" customHeight="1">
      <x:c r="A1471" s="32" t="str">
        <x:v>F049</x:v>
      </x:c>
      <x:c r="B1471" s="32" t="str">
        <x:v>C05</x:v>
      </x:c>
      <x:c r="C1471" s="32" t="n">
        <x:v>13</x:v>
      </x:c>
      <x:c r="D1471" s="33" t="str">
        <x:v>{"Data":"dom., 13 de set. de 2026","Impr.":"0","Visualizações públicas do YouTube":"0","Custo":"R$ 0,00","Cliques":"0"}</x:v>
      </x:c>
    </x:row>
    <x:row r="1472" ht="24" customHeight="1">
      <x:c r="A1472" s="32" t="str">
        <x:v>F049</x:v>
      </x:c>
      <x:c r="B1472" s="32" t="str">
        <x:v>C05</x:v>
      </x:c>
      <x:c r="C1472" s="32" t="n">
        <x:v>14</x:v>
      </x:c>
      <x:c r="D1472" s="33" t="str">
        <x:v>{"Data":"seg., 14 de set. de 2026","Impr.":"0","Visualizações públicas do YouTube":"0","Custo":"R$ 0,00","Cliques":"0"}</x:v>
      </x:c>
    </x:row>
    <x:row r="1473" ht="24" customHeight="1">
      <x:c r="A1473" s="32" t="str">
        <x:v>F049</x:v>
      </x:c>
      <x:c r="B1473" s="32" t="str">
        <x:v>C05</x:v>
      </x:c>
      <x:c r="C1473" s="32" t="n">
        <x:v>15</x:v>
      </x:c>
      <x:c r="D1473" s="33" t="str">
        <x:v>{"Data":"ter., 15 de set. de 2026","Impr.":"0","Visualizações públicas do YouTube":"0","Custo":"R$ 0,00","Cliques":"0"}</x:v>
      </x:c>
    </x:row>
    <x:row r="1474" ht="24" customHeight="1">
      <x:c r="A1474" s="32" t="str">
        <x:v>F049</x:v>
      </x:c>
      <x:c r="B1474" s="32" t="str">
        <x:v>C05</x:v>
      </x:c>
      <x:c r="C1474" s="32" t="n">
        <x:v>16</x:v>
      </x:c>
      <x:c r="D1474" s="33" t="str">
        <x:v>{"Data":"qua., 16 de set. de 2026","Impr.":"0","Visualizações públicas do YouTube":"0","Custo":"R$ 0,00","Cliques":"0"}</x:v>
      </x:c>
    </x:row>
    <x:row r="1475" ht="24" customHeight="1">
      <x:c r="A1475" s="32" t="str">
        <x:v>F049</x:v>
      </x:c>
      <x:c r="B1475" s="32" t="str">
        <x:v>C05</x:v>
      </x:c>
      <x:c r="C1475" s="32" t="n">
        <x:v>17</x:v>
      </x:c>
      <x:c r="D1475" s="33" t="str">
        <x:v>{"Data":"qui., 17 de set. de 2026","Impr.":"0","Visualizações públicas do YouTube":"0","Custo":"R$ 0,00","Cliques":"0"}</x:v>
      </x:c>
    </x:row>
    <x:row r="1476" ht="24" customHeight="1">
      <x:c r="A1476" s="32" t="str">
        <x:v>F049</x:v>
      </x:c>
      <x:c r="B1476" s="32" t="str">
        <x:v>C05</x:v>
      </x:c>
      <x:c r="C1476" s="32" t="n">
        <x:v>18</x:v>
      </x:c>
      <x:c r="D1476" s="33" t="str">
        <x:v>{"Data":"sex., 18 de set. de 2026","Impr.":"0","Visualizações públicas do YouTube":"0","Custo":"R$ 0,00","Cliques":"0"}</x:v>
      </x:c>
    </x:row>
    <x:row r="1477" ht="24" customHeight="1">
      <x:c r="A1477" s="32" t="str">
        <x:v>F049</x:v>
      </x:c>
      <x:c r="B1477" s="32" t="str">
        <x:v>C05</x:v>
      </x:c>
      <x:c r="C1477" s="32" t="n">
        <x:v>19</x:v>
      </x:c>
      <x:c r="D1477" s="33" t="str">
        <x:v>{"Data":"sáb., 19 de set. de 2026","Impr.":"0","Visualizações públicas do YouTube":"0","Custo":"R$ 0,00","Cliques":"0"}</x:v>
      </x:c>
    </x:row>
    <x:row r="1478" ht="24" customHeight="1">
      <x:c r="A1478" s="32" t="str">
        <x:v>F049</x:v>
      </x:c>
      <x:c r="B1478" s="32" t="str">
        <x:v>C05</x:v>
      </x:c>
      <x:c r="C1478" s="32" t="n">
        <x:v>20</x:v>
      </x:c>
      <x:c r="D1478" s="33" t="str">
        <x:v>{"Data":"dom., 20 de set. de 2026","Impr.":"0","Visualizações públicas do YouTube":"0","Custo":"R$ 0,00","Cliques":"0"}</x:v>
      </x:c>
    </x:row>
    <x:row r="1479" ht="24" customHeight="1">
      <x:c r="A1479" s="32" t="str">
        <x:v>F049</x:v>
      </x:c>
      <x:c r="B1479" s="32" t="str">
        <x:v>C05</x:v>
      </x:c>
      <x:c r="C1479" s="32" t="n">
        <x:v>21</x:v>
      </x:c>
      <x:c r="D1479" s="33" t="str">
        <x:v>{"Data":"seg., 21 de set. de 2026","Impr.":"0","Visualizações públicas do YouTube":"0","Custo":"R$ 0,00","Cliques":"0"}</x:v>
      </x:c>
    </x:row>
    <x:row r="1480" ht="24" customHeight="1">
      <x:c r="A1480" s="32" t="str">
        <x:v>F049</x:v>
      </x:c>
      <x:c r="B1480" s="32" t="str">
        <x:v>C05</x:v>
      </x:c>
      <x:c r="C1480" s="32" t="n">
        <x:v>22</x:v>
      </x:c>
      <x:c r="D1480" s="33" t="str">
        <x:v>{"Data":"ter., 22 de set. de 2026","Impr.":"0","Visualizações públicas do YouTube":"0","Custo":"R$ 0,00","Cliques":"0"}</x:v>
      </x:c>
    </x:row>
    <x:row r="1481" ht="24" customHeight="1">
      <x:c r="A1481" s="32" t="str">
        <x:v>F049</x:v>
      </x:c>
      <x:c r="B1481" s="32" t="str">
        <x:v>C05</x:v>
      </x:c>
      <x:c r="C1481" s="32" t="n">
        <x:v>23</x:v>
      </x:c>
      <x:c r="D1481" s="33" t="str">
        <x:v>{"Data":"qua., 23 de set. de 2026","Impr.":"0","Visualizações públicas do YouTube":"0","Custo":"R$ 0,00","Cliques":"0"}</x:v>
      </x:c>
    </x:row>
    <x:row r="1482" ht="24" customHeight="1">
      <x:c r="A1482" s="32" t="str">
        <x:v>F049</x:v>
      </x:c>
      <x:c r="B1482" s="32" t="str">
        <x:v>C05</x:v>
      </x:c>
      <x:c r="C1482" s="32" t="n">
        <x:v>24</x:v>
      </x:c>
      <x:c r="D1482" s="33" t="str">
        <x:v>{"Data":"qui., 24 de set. de 2026","Impr.":"0","Visualizações públicas do YouTube":"0","Custo":"R$ 0,00","Cliques":"0"}</x:v>
      </x:c>
    </x:row>
    <x:row r="1483" ht="24" customHeight="1">
      <x:c r="A1483" s="32" t="str">
        <x:v>F049</x:v>
      </x:c>
      <x:c r="B1483" s="32" t="str">
        <x:v>C05</x:v>
      </x:c>
      <x:c r="C1483" s="32" t="n">
        <x:v>25</x:v>
      </x:c>
      <x:c r="D1483" s="33" t="str">
        <x:v>{"Data":"sex., 25 de set. de 2026","Impr.":"0","Visualizações públicas do YouTube":"0","Custo":"R$ 0,00","Cliques":"0"}</x:v>
      </x:c>
    </x:row>
    <x:row r="1484" ht="24" customHeight="1">
      <x:c r="A1484" s="32" t="str">
        <x:v>F049</x:v>
      </x:c>
      <x:c r="B1484" s="32" t="str">
        <x:v>C05</x:v>
      </x:c>
      <x:c r="C1484" s="32" t="n">
        <x:v>26</x:v>
      </x:c>
      <x:c r="D1484" s="33" t="str">
        <x:v>{"Data":"sáb., 26 de set. de 2026","Impr.":"0","Visualizações públicas do YouTube":"0","Custo":"R$ 0,00","Cliques":"0"}</x:v>
      </x:c>
    </x:row>
    <x:row r="1485" ht="24" customHeight="1">
      <x:c r="A1485" s="32" t="str">
        <x:v>F049</x:v>
      </x:c>
      <x:c r="B1485" s="32" t="str">
        <x:v>C05</x:v>
      </x:c>
      <x:c r="C1485" s="32" t="n">
        <x:v>27</x:v>
      </x:c>
      <x:c r="D1485" s="33" t="str">
        <x:v>{"Data":"dom., 27 de set. de 2026","Impr.":"0","Visualizações públicas do YouTube":"0","Custo":"R$ 0,00","Cliques":"0"}</x:v>
      </x:c>
    </x:row>
    <x:row r="1486" ht="24" customHeight="1">
      <x:c r="A1486" s="32" t="str">
        <x:v>F049</x:v>
      </x:c>
      <x:c r="B1486" s="32" t="str">
        <x:v>C05</x:v>
      </x:c>
      <x:c r="C1486" s="32" t="n">
        <x:v>28</x:v>
      </x:c>
      <x:c r="D1486" s="33" t="str">
        <x:v>{"Data":"seg., 28 de set. de 2026","Impr.":"0","Visualizações públicas do YouTube":"0","Custo":"R$ 0,00","Cliques":"0"}</x:v>
      </x:c>
    </x:row>
    <x:row r="1487" ht="24" customHeight="1">
      <x:c r="A1487" s="32" t="str">
        <x:v>F049</x:v>
      </x:c>
      <x:c r="B1487" s="32" t="str">
        <x:v>C05</x:v>
      </x:c>
      <x:c r="C1487" s="32" t="n">
        <x:v>29</x:v>
      </x:c>
      <x:c r="D1487" s="33" t="str">
        <x:v>{"Data":"ter., 29 de set. de 2026","Impr.":"0","Visualizações públicas do YouTube":"0","Custo":"R$ 0,00","Cliques":"0"}</x:v>
      </x:c>
    </x:row>
    <x:row r="1488" ht="24" customHeight="1">
      <x:c r="A1488" s="32" t="str">
        <x:v>F049</x:v>
      </x:c>
      <x:c r="B1488" s="32" t="str">
        <x:v>C05</x:v>
      </x:c>
      <x:c r="C1488" s="32" t="n">
        <x:v>30</x:v>
      </x:c>
      <x:c r="D1488" s="33" t="str">
        <x:v>{"Data":"qua., 30 de set. de 2026","Impr.":"0","Visualizações públicas do YouTube":"0","Custo":"R$ 0,00","Cliques":"0"}</x:v>
      </x:c>
    </x:row>
    <x:row r="1489" ht="24" customHeight="1">
      <x:c r="A1489" s="32" t="str">
        <x:v>F049</x:v>
      </x:c>
      <x:c r="B1489" s="32" t="str">
        <x:v>C05</x:v>
      </x:c>
      <x:c r="C1489" s="32" t="n">
        <x:v>31</x:v>
      </x:c>
      <x:c r="D1489" s="33" t="str">
        <x:v>{"Data":"qui., 1 de out. de 2026","Impr.":"0","Visualizações públicas do YouTube":"0","Custo":"R$ 0,00","Cliques":"0"}</x:v>
      </x:c>
    </x:row>
    <x:row r="1490" ht="24" customHeight="1">
      <x:c r="A1490" s="32" t="str">
        <x:v>F049</x:v>
      </x:c>
      <x:c r="B1490" s="32" t="str">
        <x:v>C05</x:v>
      </x:c>
      <x:c r="C1490" s="32" t="n">
        <x:v>32</x:v>
      </x:c>
      <x:c r="D1490" s="33" t="str">
        <x:v>{"Data":"sex., 2 de out. de 2026","Impr.":"0","Visualizações públicas do YouTube":"0","Custo":"R$ 0,00","Cliques":"0"}</x:v>
      </x:c>
    </x:row>
    <x:row r="1491" ht="24" customHeight="1">
      <x:c r="A1491" s="32" t="str">
        <x:v>F049</x:v>
      </x:c>
      <x:c r="B1491" s="32" t="str">
        <x:v>C05</x:v>
      </x:c>
      <x:c r="C1491" s="32" t="n">
        <x:v>33</x:v>
      </x:c>
      <x:c r="D1491" s="33" t="str">
        <x:v>{"Data":"sáb., 3 de out. de 2026","Impr.":"0","Visualizações públicas do YouTube":"0","Custo":"R$ 0,00","Cliques":"0"}</x:v>
      </x:c>
    </x:row>
    <x:row r="1492" ht="24" customHeight="1">
      <x:c r="A1492" s="32" t="str">
        <x:v>F049</x:v>
      </x:c>
      <x:c r="B1492" s="32" t="str">
        <x:v>C05</x:v>
      </x:c>
      <x:c r="C1492" s="32" t="n">
        <x:v>34</x:v>
      </x:c>
      <x:c r="D1492" s="33" t="str">
        <x:v>{"Data":"dom., 4 de out. de 2026","Impr.":"0","Visualizações públicas do YouTube":"0","Custo":"R$ 0,00","Cliques":"0"}</x:v>
      </x:c>
    </x:row>
    <x:row r="1493" ht="24" customHeight="1">
      <x:c r="A1493" s="32" t="str">
        <x:v>F049</x:v>
      </x:c>
      <x:c r="B1493" s="32" t="str">
        <x:v>C05</x:v>
      </x:c>
      <x:c r="C1493" s="32" t="n">
        <x:v>35</x:v>
      </x:c>
      <x:c r="D1493" s="33" t="str">
        <x:v>{"Data":"seg., 5 de out. de 2026","Impr.":"0","Visualizações públicas do YouTube":"0","Custo":"R$ 0,00","Cliques":"0"}</x:v>
      </x:c>
    </x:row>
    <x:row r="1494" ht="24" customHeight="1">
      <x:c r="A1494" s="32" t="str">
        <x:v>F049</x:v>
      </x:c>
      <x:c r="B1494" s="32" t="str">
        <x:v>C05</x:v>
      </x:c>
      <x:c r="C1494" s="32" t="n">
        <x:v>36</x:v>
      </x:c>
      <x:c r="D1494" s="33" t="str">
        <x:v>{"Data":"ter., 6 de out. de 2026","Impr.":"0","Visualizações públicas do YouTube":"0","Custo":"R$ 0,00","Cliques":"0"}</x:v>
      </x:c>
    </x:row>
    <x:row r="1495" ht="24" customHeight="1">
      <x:c r="A1495" s="32" t="str">
        <x:v>F049</x:v>
      </x:c>
      <x:c r="B1495" s="32" t="str">
        <x:v>C05</x:v>
      </x:c>
      <x:c r="C1495" s="32" t="n">
        <x:v>37</x:v>
      </x:c>
      <x:c r="D1495" s="33" t="str">
        <x:v>{"Data":"qua., 7 de out. de 2026","Impr.":"40","Visualizações públicas do YouTube":"21","Custo":"R$ 0,18","Cliques":"0"}</x:v>
      </x:c>
    </x:row>
    <x:row r="1496" ht="24" customHeight="1">
      <x:c r="A1496" s="32" t="str">
        <x:v>F049</x:v>
      </x:c>
      <x:c r="B1496" s="32" t="str">
        <x:v>C05</x:v>
      </x:c>
      <x:c r="C1496" s="32" t="n">
        <x:v>38</x:v>
      </x:c>
      <x:c r="D1496" s="33" t="str">
        <x:v>{"Data":"qui., 8 de out. de 2026","Impr.":"49","Visualizações públicas do YouTube":"13","Custo":"R$ 0,17","Cliques":"0"}</x:v>
      </x:c>
    </x:row>
    <x:row r="1497" ht="24" customHeight="1">
      <x:c r="A1497" s="32" t="str">
        <x:v>F049</x:v>
      </x:c>
      <x:c r="B1497" s="32" t="str">
        <x:v>C05</x:v>
      </x:c>
      <x:c r="C1497" s="32" t="n">
        <x:v>39</x:v>
      </x:c>
      <x:c r="D1497" s="33" t="str">
        <x:v>{"Data":"sex., 9 de out. de 2026","Impr.":"76","Visualizações públicas do YouTube":"26","Custo":"R$ 0,17","Cliques":"0"}</x:v>
      </x:c>
    </x:row>
    <x:row r="1498" ht="24" customHeight="1">
      <x:c r="A1498" s="32" t="str">
        <x:v>F049</x:v>
      </x:c>
      <x:c r="B1498" s="32" t="str">
        <x:v>C05</x:v>
      </x:c>
      <x:c r="C1498" s="32" t="n">
        <x:v>40</x:v>
      </x:c>
      <x:c r="D1498" s="33" t="str">
        <x:v>{"Data":"sáb., 10 de out. de 2026","Impr.":"149","Visualizações públicas do YouTube":"50","Custo":"R$ 0,18","Cliques":"0"}</x:v>
      </x:c>
    </x:row>
    <x:row r="1499" ht="24" customHeight="1">
      <x:c r="A1499" s="32" t="str">
        <x:v>F049</x:v>
      </x:c>
      <x:c r="B1499" s="32" t="str">
        <x:v>C05</x:v>
      </x:c>
      <x:c r="C1499" s="32" t="n">
        <x:v>41</x:v>
      </x:c>
      <x:c r="D1499" s="33" t="str">
        <x:v>{"Data":"dom., 11 de out. de 2026","Impr.":"103","Visualizações públicas do YouTube":"20","Custo":"R$ 0,17","Cliques":"0"}</x:v>
      </x:c>
    </x:row>
    <x:row r="1500" ht="24" customHeight="1">
      <x:c r="A1500" s="32" t="str">
        <x:v>F049</x:v>
      </x:c>
      <x:c r="B1500" s="32" t="str">
        <x:v>C05</x:v>
      </x:c>
      <x:c r="C1500" s="32" t="n">
        <x:v>42</x:v>
      </x:c>
      <x:c r="D1500" s="33" t="str">
        <x:v>{"Data":"seg., 12 de out. de 2026","Impr.":"105","Visualizações públicas do YouTube":"13","Custo":"R$ 0,17","Cliques":"0"}</x:v>
      </x:c>
    </x:row>
    <x:row r="1501" ht="24" customHeight="1">
      <x:c r="A1501" s="32" t="str">
        <x:v>F049</x:v>
      </x:c>
      <x:c r="B1501" s="32" t="str">
        <x:v>C05</x:v>
      </x:c>
      <x:c r="C1501" s="32" t="n">
        <x:v>43</x:v>
      </x:c>
      <x:c r="D1501" s="33" t="str">
        <x:v>{"Data":"ter., 13 de out. de 2026","Impr.":"69","Visualizações públicas do YouTube":"18","Custo":"R$ 0,19","Cliques":"0"}</x:v>
      </x:c>
    </x:row>
    <x:row r="1502" ht="24" customHeight="1">
      <x:c r="A1502" s="32" t="str">
        <x:v>F049</x:v>
      </x:c>
      <x:c r="B1502" s="32" t="str">
        <x:v>C05</x:v>
      </x:c>
      <x:c r="C1502" s="32" t="n">
        <x:v>44</x:v>
      </x:c>
      <x:c r="D1502" s="33" t="str">
        <x:v>{"Data":"qua., 14 de out. de 2026","Impr.":"11","Visualizações públicas do YouTube":"4","Custo":"R$ 0,03","Cliques":"0"}</x:v>
      </x:c>
    </x:row>
    <x:row r="1503" ht="159" customHeight="1">
      <x:c r="A1503" s="32" t="str">
        <x:v>F050</x:v>
      </x:c>
      <x:c r="B1503" s="32" t="str">
        <x:v>C05</x:v>
      </x:c>
      <x:c r="C1503" s="32" t="n">
        <x:v>1</x:v>
      </x:c>
      <x:c r="D1503" s="33" t="str">
        <x:v>{"Status do anúncio":"Ativado","URL final":"https://www.cooperja.com.br/cacarola","URLs de beacon":" --","Título":" --","Título longo 1":"A gente faz porque tem amor por aquilo que faz","Título longo 2":" --","Título longo 3":" --","Título longo 4":" --","Título longo 5":" --","Título 1":" --","Título 2":" --","Título 3":" --","Título 4":" --","Título 5":" --","Descrição 1":"Amor Cultivado","Descrição 2":" --","Descrição 3":" --","Descrição 4":" --","Descrição 5":" --","Código do logotipo":"397701685159","Nome da empresa":"Alimentos Caçarola","Texto de call-to-action":" --","Texto de call-to-action 1":" --","Texto de call-to-action 2":" --","Texto de call-to-action 3":" --","Texto de call-to-action 4":" --","Texto de call-to-action 5":" --","Título da call-to-action":" --","ID do vídeo":"428300314398","Banner complementar":" --","Nome do anúncio":"VT 01 - A gente faz porque tem amor por aquilo que faz","ad.display_url":" --","Caminho 1":" --","Caminho 2":" --","URL final para dispositivos móveis":"","Modelo de rastreamento":" --","Sufixo do URL final":" --","Parâmetro personalizado":"","Grupo de anúncios":"Vídeo - Alcance eficiente - 06/10 = Região SC","Status":"Qualificado","Motivos do status":"","Tipo de anúncio":"Anúncio responsivo em vídeo","Impr.":"602","Visualizações do TrueView":"3","Código da moeda":"BRL","CPM médio":"2,11","Custo":"1,27","Vídeo":"https://www.youtube.com/watch?v=IV5hrQ9oqjk","Taxa de conv.":"0,00%","Conversões":"0,00","Custo / conv.":"0,00"}</x:v>
      </x:c>
    </x:row>
    <x:row r="1504" ht="144" customHeight="1">
      <x:c r="A1504" s="32" t="str">
        <x:v>F050</x:v>
      </x:c>
      <x:c r="B1504" s="32" t="str">
        <x:v>C05</x:v>
      </x:c>
      <x:c r="C1504" s="32" t="n">
        <x:v>2</x:v>
      </x:c>
      <x:c r="D1504" s="33" t="str">
        <x:v>{"Status do anúncio":"Total: Todos os anúncios, exceto os removidos","URL final":"","URLs de beacon":" --","Título":" --","Título longo 1":" --","Título longo 2":" --","Título longo 3":" --","Título longo 4":" --","Título longo 5":" --","Título 1":" --","Título 2":" --","Título 3":" --","Título 4":" --","Título 5":" --","Descrição 1":" --","Descrição 2":" --","Descrição 3":" --","Descrição 4":" --","Descrição 5":" --","Código do logotipo":" --","Nome da empresa":" --","Texto de call-to-action":" --","Texto de call-to-action 1":" --","Texto de call-to-action 2":" --","Texto de call-to-action 3":" --","Texto de call-to-action 4":" --","Texto de call-to-action 5":" --","Título da call-to-action":" --","ID do vídeo":" --","Banner complementar":" --","Nome do anúncio":" --","ad.display_url":" --","Caminho 1":" --","Caminho 2":" --","URL final para dispositivos móveis":"","Modelo de rastreamento":" --","Sufixo do URL final":" --","Parâmetro personalizado":" --","Grupo de anúncios":" --","Status":" --","Motivos do status":"","Tipo de anúncio":" --","Impr.":"602","Visualizações do TrueView":"3","Código da moeda":"BRL","CPM médio":"2,11","Custo":"1,27","Vídeo":" --","Taxa de conv.":"0,00%","Conversões":"0,00","Custo / conv.":"0,00"}</x:v>
      </x:c>
    </x:row>
    <x:row r="1505" ht="129" customHeight="1">
      <x:c r="A1505" s="32" t="str">
        <x:v>F050</x:v>
      </x:c>
      <x:c r="B1505" s="32" t="str">
        <x:v>C05</x:v>
      </x:c>
      <x:c r="C1505" s="32" t="n">
        <x:v>3</x:v>
      </x:c>
      <x:c r="D1505" s="33" t="str">
        <x:v>{"Status do anúncio":"Total: Campanha","URL final":"","URLs de beacon":"","Título":"","Título longo 1":"","Título longo 2":"","Título longo 3":"","Título longo 4":"","Título longo 5":"","Título 1":"","Título 2":"","Título 3":"","Título 4":"","Título 5":"","Descrição 1":"","Descrição 2":"","Descrição 3":"","Descrição 4":"","Descrição 5":"","Código do logotipo":"","Nome da empresa":"","Texto de call-to-action":"","Texto de call-to-action 1":"","Texto de call-to-action 2":"","Texto de call-to-action 3":"","Texto de call-to-action 4":"","Texto de call-to-action 5":"","Título da call-to-action":"","ID do vídeo":"","Banner complementar":"","Nome do anúncio":"","ad.display_url":"","Caminho 1":"","Caminho 2":"","URL final para dispositivos móveis":"","Modelo de rastreamento":"","Sufixo do URL final":"","Parâmetro personalizado":"","Grupo de anúncios":"","Status":"","Motivos do status":"","Tipo de anúncio":"","Impr.":"602","Visualizações do TrueView":"3","Código da moeda":"BRL","CPM médio":"2,11","Custo":"1,27","Vídeo":"","Taxa de conv.":"0,00%","Conversões":"0,00","Custo / conv.":"0,00"}</x:v>
      </x:c>
    </x:row>
    <x:row r="1506" ht="69" customHeight="1">
      <x:c r="A1506" s="32" t="str">
        <x:v>F051</x:v>
      </x:c>
      <x:c r="B1506" s="32" t="str">
        <x:v>C05</x:v>
      </x:c>
      <x:c r="C1506" s="32" t="n">
        <x:v>1</x:v>
      </x:c>
      <x:c r="D1506" s="33" t="str">
        <x:v>{"Status da campanha":"Ativada","Campanha":"[TRON] - YouTube 01 -  VT 5 Seg - {Reg SC} - 07/10","Orçamento":"15,00","Nome do orçamento":" --","Tipo de orçamento":"Total da campanha","Código da moeda":"BRL","Status":"Qualificado (limitado)","Motivos do status":"limitado pelo orçamento","Pontuação de otimização":"74,06","Subtipo da campanha":"Alcance eficiente","Tipo de campanha":"Vídeo","Usuários exclusivos":"372","Impr.":"602","Visualizações do TrueView":"3","CPM médio":"2,11","CPV médio do TrueView":"0,20","Custo":"1,27","Marcações com \"Gostei\"":"0","Comentários":"0","Shares":"0"}</x:v>
      </x:c>
    </x:row>
    <x:row r="1507" ht="69" customHeight="1">
      <x:c r="A1507" s="32" t="str">
        <x:v>F051</x:v>
      </x:c>
      <x:c r="B1507" s="32" t="str">
        <x:v>C05</x:v>
      </x:c>
      <x:c r="C1507" s="32" t="n">
        <x:v>2</x:v>
      </x:c>
      <x:c r="D1507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exclusivos":"372","Impr.":"602","Visualizações do TrueView":"3","CPM médio":"2,11","CPV médio do TrueView":"0,20","Custo":"1,27","Marcações com \"Gostei\"":"0","Comentários":"0","Shares":"0"}</x:v>
      </x:c>
    </x:row>
    <x:row r="1508" ht="54" customHeight="1">
      <x:c r="A1508" s="32" t="str">
        <x:v>F051</x:v>
      </x:c>
      <x:c r="B1508" s="32" t="str">
        <x:v>C05</x:v>
      </x:c>
      <x:c r="C1508" s="32" t="n">
        <x:v>3</x:v>
      </x:c>
      <x:c r="D1508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exclusivos":"372","Impr.":"602","Visualizações do TrueView":"3","CPM médio":"2,11","CPV médio do TrueView":"0,20","Custo":"1,27","Marcações com \"Gostei\"":"0","Comentários":"0","Shares":"0"}</x:v>
      </x:c>
    </x:row>
    <x:row r="1509" ht="54" customHeight="1">
      <x:c r="A1509" s="32" t="str">
        <x:v>F052</x:v>
      </x:c>
      <x:c r="B1509" s="32" t="str">
        <x:v>C05</x:v>
      </x:c>
      <x:c r="C1509" s="32" t="n">
        <x:v>1</x:v>
      </x:c>
      <x:c r="D1509" s="33" t="str">
        <x:v>{"Dispositivo":"Smartphones","Nível":"Campanha","Campanha":"[TRON] - YouTube 01 -  VT 5 Seg - {Reg SC} - 07/10","Grupo de anúncios":" --","Ajuste de lance":" --","Aj. de lance do grupo de anúncios":"Nenhum","Impr.":"400","Visualizações do TrueView":"0","Taxa de visualização do TrueView":"0,00%","Código da moeda":"BRL","CPM médio":"1,88","Custo":"0,75","Taxa de conv.":"0,00%","Conversões":"0,00","Custo / conv.":"0,00"}</x:v>
      </x:c>
    </x:row>
    <x:row r="1510" ht="54" customHeight="1">
      <x:c r="A1510" s="32" t="str">
        <x:v>F052</x:v>
      </x:c>
      <x:c r="B1510" s="32" t="str">
        <x:v>C05</x:v>
      </x:c>
      <x:c r="C1510" s="32" t="n">
        <x:v>2</x:v>
      </x:c>
      <x:c r="D1510" s="33" t="str">
        <x:v>{"Dispositivo":"Computadores","Nível":"Campanha","Campanha":"[TRON] - YouTube 01 -  VT 5 Seg - {Reg SC} - 07/10","Grupo de anúncios":" --","Ajuste de lance":" --","Aj. de lance do grupo de anúncios":"Nenhum","Impr.":"38","Visualizações do TrueView":"0","Taxa de visualização do TrueView":"0,00%","Código da moeda":"BRL","CPM médio":"0,61","Custo":"0,02","Taxa de conv.":"0,00%","Conversões":"0,00","Custo / conv.":"0,00"}</x:v>
      </x:c>
    </x:row>
    <x:row r="1511" ht="54" customHeight="1">
      <x:c r="A1511" s="32" t="str">
        <x:v>F052</x:v>
      </x:c>
      <x:c r="B1511" s="32" t="str">
        <x:v>C05</x:v>
      </x:c>
      <x:c r="C1511" s="32" t="n">
        <x:v>3</x:v>
      </x:c>
      <x:c r="D1511" s="33" t="str">
        <x:v>{"Dispositivo":"Telas de TV","Nível":"Campanha","Campanha":"[TRON] - YouTube 01 -  VT 5 Seg - {Reg SC} - 07/10","Grupo de anúncios":" --","Ajuste de lance":" --","Aj. de lance do grupo de anúncios":"Nenhum","Impr.":"142","Visualizações do TrueView":"2","Taxa de visualização do TrueView":"6,67%","Código da moeda":"BRL","CPM médio":"3,23","Custo":"0,46","Taxa de conv.":"0,00%","Conversões":"0,00","Custo / conv.":"0,00"}</x:v>
      </x:c>
    </x:row>
    <x:row r="1512" ht="54" customHeight="1">
      <x:c r="A1512" s="32" t="str">
        <x:v>F052</x:v>
      </x:c>
      <x:c r="B1512" s="32" t="str">
        <x:v>C05</x:v>
      </x:c>
      <x:c r="C1512" s="32" t="n">
        <x:v>4</x:v>
      </x:c>
      <x:c r="D1512" s="33" t="str">
        <x:v>{"Dispositivo":"Tablets","Nível":"Campanha","Campanha":"[TRON] - YouTube 01 -  VT 5 Seg - {Reg SC} - 07/10","Grupo de anúncios":" --","Ajuste de lance":" --","Aj. de lance do grupo de anúncios":"Nenhum","Impr.":"22","Visualizações do TrueView":"1","Taxa de visualização do TrueView":"9,09%","Código da moeda":"BRL","CPM médio":"1,55","Custo":"0,03","Taxa de conv.":"0,00%","Conversões":"0,00","Custo / conv.":"0,00"}</x:v>
      </x:c>
    </x:row>
    <x:row r="1513" ht="54" customHeight="1">
      <x:c r="A1513" s="32" t="str">
        <x:v>F052</x:v>
      </x:c>
      <x:c r="B1513" s="32" t="str">
        <x:v>C05</x:v>
      </x:c>
      <x:c r="C1513" s="32" t="n">
        <x:v>5</x:v>
      </x:c>
      <x:c r="D1513" s="33" t="str">
        <x:v>{"Dispositivo":"Total: Campanha","Nível":"","Campanha":"","Grupo de anúncios":"","Ajuste de lance":"","Aj. de lance do grupo de anúncios":"","Impr.":"602","Visualizações do TrueView":"3","Taxa de visualização do TrueView":"0,80%","Código da moeda":"BRL","CPM médio":"2,11","Custo":"1,27","Taxa de conv.":"0,00%","Conversões":"0,00","Custo / conv.":"0,00"}</x:v>
      </x:c>
    </x:row>
    <x:row r="1514" ht="54" customHeight="1">
      <x:c r="A1514" s="32" t="str">
        <x:v>F053</x:v>
      </x:c>
      <x:c r="B1514" s="32" t="str">
        <x:v>C05</x:v>
      </x:c>
      <x:c r="C1514" s="32" t="n">
        <x:v>1</x:v>
      </x:c>
      <x:c r="D1514" s="33" t="str">
        <x:v>{"Local":"5,0|km|R. Arnoldo Pedro Meira - Ipiranga, São José - SC, 88111-370","Ajuste de lance":" --","Impr.":"28","Visualizações do TrueView":"0","Taxa de visualização do TrueView":"0,00%","Código da moeda":"BRL","Custo":"0,04","CPM médio":"1,53","Taxa de conv.":"0,00%","Conversões":"0,00","Custo / conv.":"0,00"}</x:v>
      </x:c>
    </x:row>
    <x:row r="1515" ht="54" customHeight="1">
      <x:c r="A1515" s="32" t="str">
        <x:v>F053</x:v>
      </x:c>
      <x:c r="B1515" s="32" t="str">
        <x:v>C05</x:v>
      </x:c>
      <x:c r="C1515" s="32" t="n">
        <x:v>2</x:v>
      </x:c>
      <x:c r="D1515" s="33" t="str">
        <x:v>{"Local":"5,0|km|Av. Delamar José da Silva, s/n - Kobrasol, São José - SC, 88102-080","Ajuste de lance":" --","Impr.":"3","Visualizações do TrueView":"0","Taxa de visualização do TrueView":" --","Código da moeda":"BRL","Custo":"0,00","CPM médio":"0,59","Taxa de conv.":"0,00%","Conversões":"0,00","Custo / conv.":"0,00"}</x:v>
      </x:c>
    </x:row>
    <x:row r="1516" ht="39" customHeight="1">
      <x:c r="A1516" s="32" t="str">
        <x:v>F053</x:v>
      </x:c>
      <x:c r="B1516" s="32" t="str">
        <x:v>C05</x:v>
      </x:c>
      <x:c r="C1516" s="32" t="n">
        <x:v>3</x:v>
      </x:c>
      <x:c r="D1516" s="33" t="str">
        <x:v>{"Local":"0,0||","Ajuste de lance":" --","Impr.":"7","Visualizações do TrueView":"0","Taxa de visualização do TrueView":"0,00%","Código da moeda":"BRL","Custo":"0,01","CPM médio":"1,02","Taxa de conv.":"0,00%","Conversões":"0,00","Custo / conv.":"0,00"}</x:v>
      </x:c>
    </x:row>
    <x:row r="1517" ht="54" customHeight="1">
      <x:c r="A1517" s="32" t="str">
        <x:v>F053</x:v>
      </x:c>
      <x:c r="B1517" s="32" t="str">
        <x:v>C05</x:v>
      </x:c>
      <x:c r="C1517" s="32" t="n">
        <x:v>4</x:v>
      </x:c>
      <x:c r="D1517" s="33" t="str">
        <x:v>{"Local":"5,0|km|R. Paralela Novo Horizonte, 3530 - Capoeiras, Florianópolis - SC, 88090-085","Ajuste de lance":" --","Impr.":"18","Visualizações do TrueView":"0","Taxa de visualização do TrueView":"0,00%","Código da moeda":"BRL","Custo":"0,04","CPM médio":"2,22","Taxa de conv.":"0,00%","Conversões":"0,00","Custo / conv.":"0,00"}</x:v>
      </x:c>
    </x:row>
    <x:row r="1518" ht="39" customHeight="1">
      <x:c r="A1518" s="32" t="str">
        <x:v>F053</x:v>
      </x:c>
      <x:c r="B1518" s="32" t="str">
        <x:v>C05</x:v>
      </x:c>
      <x:c r="C1518" s="32" t="n">
        <x:v>5</x:v>
      </x:c>
      <x:c r="D1518" s="33" t="str">
        <x:v>{"Local":"5,0|km|Av. Vidal Procópio Lohn - Rio Grande, Palhoça - SC","Ajuste de lance":" --","Impr.":"76","Visualizações do TrueView":"0","Taxa de visualização do TrueView":"0,00%","Código da moeda":"BRL","Custo":"0,13","CPM médio":"1,77","Taxa de conv.":"0,00%","Conversões":"0,00","Custo / conv.":"0,00"}</x:v>
      </x:c>
    </x:row>
    <x:row r="1519" ht="54" customHeight="1">
      <x:c r="A1519" s="32" t="str">
        <x:v>F053</x:v>
      </x:c>
      <x:c r="B1519" s="32" t="str">
        <x:v>C05</x:v>
      </x:c>
      <x:c r="C1519" s="32" t="n">
        <x:v>6</x:v>
      </x:c>
      <x:c r="D1519" s="33" t="str">
        <x:v>{"Local":"5,0|km|Av. Eng. Max de Souza, 740 - Coqueiros, Florianópolis - SC, 88080-000","Ajuste de lance":" --","Impr.":"60","Visualizações do TrueView":"1","Taxa de visualização do TrueView":"3,45%","Código da moeda":"BRL","Custo":"0,20","CPM médio":"3,37","Taxa de conv.":"0,00%","Conversões":"0,00","Custo / conv.":"0,00"}</x:v>
      </x:c>
    </x:row>
    <x:row r="1520" ht="54" customHeight="1">
      <x:c r="A1520" s="32" t="str">
        <x:v>F053</x:v>
      </x:c>
      <x:c r="B1520" s="32" t="str">
        <x:v>C05</x:v>
      </x:c>
      <x:c r="C1520" s="32" t="n">
        <x:v>7</x:v>
      </x:c>
      <x:c r="D1520" s="33" t="str">
        <x:v>{"Local":"5,0|km|Rua João Coan, 390 Bairro - Universitarios, Biguaçu - SC, 88160-000","Ajuste de lance":" --","Impr.":"21","Visualizações do TrueView":"0","Taxa de visualização do TrueView":"0,00%","Código da moeda":"BRL","Custo":"0,07","CPM médio":"3,53","Taxa de conv.":"0,00%","Conversões":"0,00","Custo / conv.":"0,00"}</x:v>
      </x:c>
    </x:row>
    <x:row r="1521" ht="54" customHeight="1">
      <x:c r="A1521" s="32" t="str">
        <x:v>F053</x:v>
      </x:c>
      <x:c r="B1521" s="32" t="str">
        <x:v>C05</x:v>
      </x:c>
      <x:c r="C1521" s="32" t="n">
        <x:v>8</x:v>
      </x:c>
      <x:c r="D1521" s="33" t="str">
        <x:v>{"Local":"5,0|km|Av. Juscelino K. de Oliveira, 469 - Capoeiras, Florianópolis - SC, 88070-120","Ajuste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1522" ht="54" customHeight="1">
      <x:c r="A1522" s="32" t="str">
        <x:v>F053</x:v>
      </x:c>
      <x:c r="B1522" s="32" t="str">
        <x:v>C05</x:v>
      </x:c>
      <x:c r="C1522" s="32" t="n">
        <x:v>9</x:v>
      </x:c>
      <x:c r="D1522" s="33" t="str">
        <x:v>{"Local":"5,0|km|R. Lauro Linhares, 2010 - Trindade, Florianópolis - SC, 88036-002","Ajuste de lance":" --","Impr.":"9","Visualizações do TrueView":"0","Taxa de visualização do TrueView":"0,00%","Código da moeda":"BRL","Custo":"0,02","CPM médio":"2,33","Taxa de conv.":"0,00%","Conversões":"0,00","Custo / conv.":"0,00"}</x:v>
      </x:c>
    </x:row>
    <x:row r="1523" ht="54" customHeight="1">
      <x:c r="A1523" s="32" t="str">
        <x:v>F053</x:v>
      </x:c>
      <x:c r="B1523" s="32" t="str">
        <x:v>C05</x:v>
      </x:c>
      <x:c r="C1523" s="32" t="n">
        <x:v>10</x:v>
      </x:c>
      <x:c r="D1523" s="33" t="str">
        <x:v>{"Local":"5,0|km|Estrada, Rod. Armando Calil Bulos, 5890 - Ingleses Centro, Florianópolis - SC","Ajuste de lance":" --","Impr.":"52","Visualizações do TrueView":"0","Taxa de visualização do TrueView":"0,00%","Código da moeda":"BRL","Custo":"0,09","CPM médio":"1,78","Taxa de conv.":"0,00%","Conversões":"0,00","Custo / conv.":"0,00"}</x:v>
      </x:c>
    </x:row>
    <x:row r="1524" ht="54" customHeight="1">
      <x:c r="A1524" s="32" t="str">
        <x:v>F053</x:v>
      </x:c>
      <x:c r="B1524" s="32" t="str">
        <x:v>C05</x:v>
      </x:c>
      <x:c r="C1524" s="32" t="n">
        <x:v>11</x:v>
      </x:c>
      <x:c r="D1524" s="33" t="str">
        <x:v>{"Local":"5,0|km|Rua João Motta Espezim, 549-461 - Saco dos Limões, Florianópolis - SC, 88045-400","Ajuste de lance":" --","Impr.":"2","Visualizações do TrueView":"0","Taxa de visualização do TrueView":"0,00%","Código da moeda":"BRL","Custo":"0,00","CPM médio":"1,38","Taxa de conv.":"0,00%","Conversões":"0,00","Custo / conv.":"0,00"}</x:v>
      </x:c>
    </x:row>
    <x:row r="1525" ht="54" customHeight="1">
      <x:c r="A1525" s="32" t="str">
        <x:v>F053</x:v>
      </x:c>
      <x:c r="B1525" s="32" t="str">
        <x:v>C05</x:v>
      </x:c>
      <x:c r="C1525" s="32" t="n">
        <x:v>12</x:v>
      </x:c>
      <x:c r="D1525" s="33" t="str">
        <x:v>{"Local":"5,0|km|R. Gen. Liberato Bittencourt, 1885 - Estreito, Florianópolis - SC, 88070-800","Ajuste de lance":" --","Impr.":"1","Visualizações do TrueView":"0","Taxa de visualização do TrueView":" --","Código da moeda":"BRL","Custo":"0,00","CPM médio":"0,32","Taxa de conv.":"0,00%","Conversões":"0,00","Custo / conv.":"0,00"}</x:v>
      </x:c>
    </x:row>
    <x:row r="1526" ht="54" customHeight="1">
      <x:c r="A1526" s="32" t="str">
        <x:v>F053</x:v>
      </x:c>
      <x:c r="B1526" s="32" t="str">
        <x:v>C05</x:v>
      </x:c>
      <x:c r="C1526" s="32" t="n">
        <x:v>13</x:v>
      </x:c>
      <x:c r="D1526" s="33" t="str">
        <x:v>{"Local":"5,0|km|Av. Presidente Kennedy, 861 - Campinas, São José - SC, 88101-001","Ajuste de lance":" --","Impr.":"22","Visualizações do TrueView":"0","Taxa de visualização do TrueView":"0,00%","Código da moeda":"BRL","Custo":"0,06","CPM médio":"2,76","Taxa de conv.":"0,00%","Conversões":"0,00","Custo / conv.":"0,00"}</x:v>
      </x:c>
    </x:row>
    <x:row r="1527" ht="39" customHeight="1">
      <x:c r="A1527" s="32" t="str">
        <x:v>F053</x:v>
      </x:c>
      <x:c r="B1527" s="32" t="str">
        <x:v>C05</x:v>
      </x:c>
      <x:c r="C1527" s="32" t="n">
        <x:v>14</x:v>
      </x:c>
      <x:c r="D1527" s="33" t="str">
        <x:v>{"Local":"5,0|km|R. Bocaiúva, 2468 - Centro, Florianópolis - SC","Ajuste de lance":" --","Impr.":"0","Visualizações do TrueView":"0","Taxa de visualização do TrueView":" --","Código da moeda":"BRL","Custo":"0,00","CPM médio":"0","Taxa de conv.":"0,00%","Conversões":"0,00","Custo / conv.":"0,00"}</x:v>
      </x:c>
    </x:row>
    <x:row r="1528" ht="54" customHeight="1">
      <x:c r="A1528" s="32" t="str">
        <x:v>F053</x:v>
      </x:c>
      <x:c r="B1528" s="32" t="str">
        <x:v>C05</x:v>
      </x:c>
      <x:c r="C1528" s="32" t="n">
        <x:v>15</x:v>
      </x:c>
      <x:c r="D1528" s="33" t="str">
        <x:v>{"Local":"5,0|km|Av. das Nações, 192 - Canasvieiras, Florianópolis - SC, 88054-010","Ajuste de lance":" --","Impr.":"57","Visualizações do TrueView":"0","Taxa de visualização do TrueView":"0,00%","Código da moeda":"BRL","Custo":"0,09","CPM médio":"1,56","Taxa de conv.":"0,00%","Conversões":"0,00","Custo / conv.":"0,00"}</x:v>
      </x:c>
    </x:row>
    <x:row r="1529" ht="54" customHeight="1">
      <x:c r="A1529" s="32" t="str">
        <x:v>F053</x:v>
      </x:c>
      <x:c r="B1529" s="32" t="str">
        <x:v>C05</x:v>
      </x:c>
      <x:c r="C1529" s="32" t="n">
        <x:v>16</x:v>
      </x:c>
      <x:c r="D1529" s="33" t="str">
        <x:v>{"Local":"5,0|km|Rodovia Jornalista Maurício Sirotski Sobrinho, 5451 - Jurerê, Florianópolis - SC","Ajuste de lance":" --","Impr.":"1","Visualizações do TrueView":"0","Taxa de visualização do TrueView":"0,00%","Código da moeda":"BRL","Custo":"0,00","CPM médio":"1,44","Taxa de conv.":"0,00%","Conversões":"0,00","Custo / conv.":"0,00"}</x:v>
      </x:c>
    </x:row>
    <x:row r="1530" ht="54" customHeight="1">
      <x:c r="A1530" s="32" t="str">
        <x:v>F053</x:v>
      </x:c>
      <x:c r="B1530" s="32" t="str">
        <x:v>C05</x:v>
      </x:c>
      <x:c r="C1530" s="32" t="n">
        <x:v>17</x:v>
      </x:c>
      <x:c r="D1530" s="33" t="str">
        <x:v>{"Local":"5,0|km|Av. Mauro Ramos, 982 - Centro, Florianópolis - SC, 88020-300","Ajuste de lance":" --","Impr.":"16","Visualizações do TrueView":"0","Taxa de visualização do TrueView":"0,00%","Código da moeda":"BRL","Custo":"0,07","CPM médio":"4,51","Taxa de conv.":"0,00%","Conversões":"0,00","Custo / conv.":"0,00"}</x:v>
      </x:c>
    </x:row>
    <x:row r="1531" ht="54" customHeight="1">
      <x:c r="A1531" s="32" t="str">
        <x:v>F053</x:v>
      </x:c>
      <x:c r="B1531" s="32" t="str">
        <x:v>C05</x:v>
      </x:c>
      <x:c r="C1531" s="32" t="n">
        <x:v>18</x:v>
      </x:c>
      <x:c r="D1531" s="33" t="str">
        <x:v>{"Local":"5,0|km|Av. Prof. Othon Gama D'Eça, 771 - Centro, Florianópolis - SC, 88015-240","Ajuste de lance":" --","Impr.":"22","Visualizações do TrueView":"0","Taxa de visualização do TrueView":"0,00%","Código da moeda":"BRL","Custo":"0,04","CPM médio":"1,87","Taxa de conv.":"0,00%","Conversões":"0,00","Custo / conv.":"0,00"}</x:v>
      </x:c>
    </x:row>
    <x:row r="1532" ht="54" customHeight="1">
      <x:c r="A1532" s="32" t="str">
        <x:v>F053</x:v>
      </x:c>
      <x:c r="B1532" s="32" t="str">
        <x:v>C05</x:v>
      </x:c>
      <x:c r="C1532" s="32" t="n">
        <x:v>19</x:v>
      </x:c>
      <x:c r="D1532" s="33" t="str">
        <x:v>{"Local":"5,0|km|Rod. Francisco Magno Vieira, 373 - Costeira do Pirajubaé, Florianópolis - SC, 88063-700","Ajuste de lance":" --","Impr.":"20","Visualizações do TrueView":"0","Taxa de visualização do TrueView":"0,00%","Código da moeda":"BRL","Custo":"0,07","CPM médio":"3,40","Taxa de conv.":"0,00%","Conversões":"0,00","Custo / conv.":"0,00"}</x:v>
      </x:c>
    </x:row>
    <x:row r="1533" ht="54" customHeight="1">
      <x:c r="A1533" s="32" t="str">
        <x:v>F053</x:v>
      </x:c>
      <x:c r="B1533" s="32" t="str">
        <x:v>C05</x:v>
      </x:c>
      <x:c r="C1533" s="32" t="n">
        <x:v>20</x:v>
      </x:c>
      <x:c r="D1533" s="33" t="str">
        <x:v>{"Local":"5,0|km|R. João Pio Duarte Silva, 1623 - Córrego Grande, Florianópolis - SC, 88037-001","Ajuste de lance":" --","Impr.":"4","Visualizações do TrueView":"0","Taxa de visualização do TrueView":"0,00%","Código da moeda":"BRL","Custo":"0,00","CPM médio":"0,78","Taxa de conv.":"0,00%","Conversões":"0,00","Custo / conv.":"0,00"}</x:v>
      </x:c>
    </x:row>
    <x:row r="1534" ht="54" customHeight="1">
      <x:c r="A1534" s="32" t="str">
        <x:v>F053</x:v>
      </x:c>
      <x:c r="B1534" s="32" t="str">
        <x:v>C05</x:v>
      </x:c>
      <x:c r="C1534" s="32" t="n">
        <x:v>21</x:v>
      </x:c>
      <x:c r="D1534" s="33" t="str">
        <x:v>{"Local":"5,0|km|Av. Aniceto Zacchi, 222 - Pte. do Imaruim, Palhoça - SC, 88130-300","Ajuste de lance":" --","Impr.":"36","Visualizações do TrueView":"1","Taxa de visualização do TrueView":"4,17%","Código da moeda":"BRL","Custo":"0,07","CPM médio":"1,97","Taxa de conv.":"0,00%","Conversões":"0,00","Custo / conv.":"0,00"}</x:v>
      </x:c>
    </x:row>
    <x:row r="1535" ht="39" customHeight="1">
      <x:c r="A1535" s="32" t="str">
        <x:v>F053</x:v>
      </x:c>
      <x:c r="B1535" s="32" t="str">
        <x:v>C05</x:v>
      </x:c>
      <x:c r="C1535" s="32" t="n">
        <x:v>22</x:v>
      </x:c>
      <x:c r="D1535" s="33" t="str">
        <x:v>{"Local":"5,0|km|Rod. Gov. Mario Covas, 415 - Roçado, São José - SC","Ajuste de lance":" --","Impr.":"123","Visualizações do TrueView":"1","Taxa de visualização do TrueView":"1,43%","Código da moeda":"BRL","Custo":"0,19","CPM médio":"1,54","Taxa de conv.":"0,00%","Conversões":"0,00","Custo / conv.":"0,00"}</x:v>
      </x:c>
    </x:row>
    <x:row r="1536" ht="54" customHeight="1">
      <x:c r="A1536" s="32" t="str">
        <x:v>F053</x:v>
      </x:c>
      <x:c r="B1536" s="32" t="str">
        <x:v>C05</x:v>
      </x:c>
      <x:c r="C1536" s="32" t="n">
        <x:v>23</x:v>
      </x:c>
      <x:c r="D1536" s="33" t="str">
        <x:v>{"Local":"5,0|km|Supermercado Brasil Atacadista - SC-281, 2665 - Sertão do Maruim, São José - SC","Ajuste de lance":" --","Impr.":"6","Visualizações do TrueView":"0","Taxa de visualização do TrueView":"0,00%","Código da moeda":"BRL","Custo":"0,02","CPM médio":"3,20","Taxa de conv.":"0,00%","Conversões":"0,00","Custo / conv.":"0,00"}</x:v>
      </x:c>
    </x:row>
    <x:row r="1537" ht="54" customHeight="1">
      <x:c r="A1537" s="32" t="str">
        <x:v>F053</x:v>
      </x:c>
      <x:c r="B1537" s="32" t="str">
        <x:v>C05</x:v>
      </x:c>
      <x:c r="C1537" s="32" t="n">
        <x:v>24</x:v>
      </x:c>
      <x:c r="D1537" s="33" t="str">
        <x:v>{"Local":"5,0|km|Shineray - Palhoça - Aririú - BR-101 - Aririu, Palhoça - SC","Ajuste de lance":" --","Impr.":"11","Visualizações do TrueView":"0","Taxa de visualização do TrueView":"0,00%","Código da moeda":"BRL","Custo":"0,02","CPM médio":"1,38","Taxa de conv.":"0,00%","Conversões":"0,00","Custo / conv.":"0,00"}</x:v>
      </x:c>
    </x:row>
    <x:row r="1538" ht="54" customHeight="1">
      <x:c r="A1538" s="32" t="str">
        <x:v>F053</x:v>
      </x:c>
      <x:c r="B1538" s="32" t="str">
        <x:v>C05</x:v>
      </x:c>
      <x:c r="C1538" s="32" t="n">
        <x:v>25</x:v>
      </x:c>
      <x:c r="D1538" s="33" t="str">
        <x:v>{"Local":"5,0|km|R. Alexandre Sergio Godinho, 853 - Mar das Pedras, Biguaçu - SC, 88160-000","Ajuste de lance":" --","Impr.":"4","Visualizações do TrueView":"0","Taxa de visualização do TrueView":"0,00%","Código da moeda":"BRL","Custo":"0,01","CPM médio":"2,28","Taxa de conv.":"0,00%","Conversões":"0,00","Custo / conv.":"0,00"}</x:v>
      </x:c>
    </x:row>
    <x:row r="1539" ht="54" customHeight="1">
      <x:c r="A1539" s="32" t="str">
        <x:v>F053</x:v>
      </x:c>
      <x:c r="B1539" s="32" t="str">
        <x:v>C05</x:v>
      </x:c>
      <x:c r="C1539" s="32" t="n">
        <x:v>26</x:v>
      </x:c>
      <x:c r="D1539" s="33" t="str">
        <x:v>{"Local":"5,0|km|R. Maj. Joaquim Alexandre​ Campos, 6037 - Centro, Santo Amaro da Imperatriz - SC, 88140-000","Ajuste de lance":" --","Impr.":"3","Visualizações do TrueView":"0","Taxa de visualização do TrueView":"0,00%","Código da moeda":"BRL","Custo":"0,01","CPM médio":"3,59","Taxa de conv.":"0,00%","Conversões":"0,00","Custo / conv.":"0,00"}</x:v>
      </x:c>
    </x:row>
    <x:row r="1540" ht="39" customHeight="1">
      <x:c r="A1540" s="32" t="str">
        <x:v>F053</x:v>
      </x:c>
      <x:c r="B1540" s="32" t="str">
        <x:v>C05</x:v>
      </x:c>
      <x:c r="C1540" s="32" t="n">
        <x:v>27</x:v>
      </x:c>
      <x:c r="D1540" s="33" t="str">
        <x:v>{"Local":"Total: Locais","Ajuste de lance":"","Impr.":"602","Visualizações do TrueView":"3","Taxa de visualização do TrueView":"0,80%","Código da moeda":"BRL","Custo":"1,27","CPM médio":"2,11","Taxa de conv.":"0,00%","Conversões":"0,00","Custo / conv.":"0,00"}</x:v>
      </x:c>
    </x:row>
    <x:row r="1541" ht="39" customHeight="1">
      <x:c r="A1541" s="32" t="str">
        <x:v>F053</x:v>
      </x:c>
      <x:c r="B1541" s="32" t="str">
        <x:v>C05</x:v>
      </x:c>
      <x:c r="C1541" s="32" t="n">
        <x:v>28</x:v>
      </x:c>
      <x:c r="D1541" s="33" t="str">
        <x:v>{"Local":"Total: Outros locais","Ajuste de lance":"","Impr.":"0","Visualizações do TrueView":"0","Taxa de visualização do TrueView":" --","Código da moeda":"BRL","Custo":"0,00","CPM médio":"0","Taxa de conv.":"0,00%","Conversões":"0,00","Custo / conv.":"0,00"}</x:v>
      </x:c>
    </x:row>
    <x:row r="1542" ht="39" customHeight="1">
      <x:c r="A1542" s="32" t="str">
        <x:v>F053</x:v>
      </x:c>
      <x:c r="B1542" s="32" t="str">
        <x:v>C05</x:v>
      </x:c>
      <x:c r="C1542" s="32" t="n">
        <x:v>29</x:v>
      </x:c>
      <x:c r="D1542" s="33" t="str">
        <x:v>{"Local":"Total: Campanha","Ajuste de lance":"","Impr.":"602","Visualizações do TrueView":"3","Taxa de visualização do TrueView":"0,80%","Código da moeda":"BRL","Custo":"1,27","CPM médio":"2,11","Taxa de conv.":"0,00%","Conversões":"0,00","Custo / conv.":"0,00"}</x:v>
      </x:c>
    </x:row>
    <x:row r="1543" ht="69" customHeight="1">
      <x:c r="A1543" s="32" t="str">
        <x:v>F054</x:v>
      </x:c>
      <x:c r="B1543" s="32" t="str">
        <x:v>C05</x:v>
      </x:c>
      <x:c r="C1543" s="32" t="n">
        <x:v>1</x:v>
      </x:c>
      <x:c r="D1543" s="33" t="str">
        <x:v>{"Status do grupo de anúncios":"Ativado","Grupo de anúncios":"Vídeo - Alcance eficiente - 06/10 = Região SC","Status":"Qualificado","Motivos do status":"desconhecido","Código da moeda":"BRL","CPM desejado":"5,00","Subtipo da campanha":"Alcance eficiente","Tipo de grupo de anúncios":"Anúncio responsivo em vídeo","Impr.":"602","Visualizações do TrueView":"3","CPM médio":"2,11","Custo":"1,27","Inclusões de marca":"[]","Taxa de conv.":"0,00%","Conversões":"0,00","Custo / conv.":"0,00"}</x:v>
      </x:c>
    </x:row>
    <x:row r="1544" ht="54" customHeight="1">
      <x:c r="A1544" s="32" t="str">
        <x:v>F054</x:v>
      </x:c>
      <x:c r="B1544" s="32" t="str">
        <x:v>C05</x:v>
      </x:c>
      <x:c r="C1544" s="32" t="n">
        <x:v>2</x:v>
      </x:c>
      <x:c r="D1544" s="33" t="str">
        <x:v>{"Status do grupo de anúncios":"Total: Grupos de anúncios","Grupo de anúncios":"","Status":"","Motivos do status":"","Código da moeda":"BRL","CPM desejado":"","Subtipo da campanha":"","Tipo de grupo de anúncios":"","Impr.":"602","Visualizações do TrueView":"3","CPM médio":"2,11","Custo":"1,27","Inclusões de marca":"","Taxa de conv.":"0,00%","Conversões":"0,00","Custo / conv.":"0,00"}</x:v>
      </x:c>
    </x:row>
    <x:row r="1545" ht="54" customHeight="1">
      <x:c r="A1545" s="32" t="str">
        <x:v>F054</x:v>
      </x:c>
      <x:c r="B1545" s="32" t="str">
        <x:v>C05</x:v>
      </x:c>
      <x:c r="C1545" s="32" t="n">
        <x:v>3</x:v>
      </x:c>
      <x:c r="D1545" s="33" t="str">
        <x:v>{"Status do grupo de anúncios":"Total: Campanha","Grupo de anúncios":"","Status":"","Motivos do status":"","Código da moeda":"BRL","CPM desejado":"","Subtipo da campanha":"","Tipo de grupo de anúncios":"","Impr.":"602","Visualizações do TrueView":"3","CPM médio":"2,11","Custo":"1,27","Inclusões de marca":"","Taxa de conv.":"0,00%","Conversões":"0,00","Custo / conv.":"0,00"}</x:v>
      </x:c>
    </x:row>
    <x:row r="1546" ht="54" customHeight="1">
      <x:c r="A1546" s="32" t="str">
        <x:v>F055</x:v>
      </x:c>
      <x:c r="B1546" s="32" t="str">
        <x:v>C05</x:v>
      </x:c>
      <x:c r="C1546" s="32" t="n">
        <x:v>1</x:v>
      </x:c>
      <x:c r="D1546" s="33" t="str">
        <x:v>{"Local das lojas":"Supermercado Cooperja - Três Cachoeiras","address_line_1":"Av. Inácio José Schaefer","address_line_2":" --","city":"Três Cachoeiras","country_code":"BR","phone_number":" +55 51 99676-4364","postal_code":"95580-000","province":"Rio Grande do Sul","Alcance do local (impressões)":"0","Visitas à loja":"0","Cliques de chamada":"0","Como chegar":"0","Visitas ao site":"0"}</x:v>
      </x:c>
    </x:row>
    <x:row r="1547" ht="54" customHeight="1">
      <x:c r="A1547" s="32" t="str">
        <x:v>F055</x:v>
      </x:c>
      <x:c r="B1547" s="32" t="str">
        <x:v>C05</x:v>
      </x:c>
      <x:c r="C1547" s="32" t="n">
        <x:v>2</x:v>
      </x:c>
      <x:c r="D1547" s="33" t="str">
        <x:v>{"Local das lojas":"Centro de Distribuição Cooperja - Supermercados","address_line_1":"Rua Dr. Nereu Ramos","address_line_2":"Rod. José Tiscoski, 1162","city":"Jacinto Machado","country_code":"BR","phone_number":" +55 48 3535-1074","postal_code":"88950-000","province":"Santa Catarina","Alcance do local (impressões)":"0","Visitas à loja":"0","Cliques de chamada":"0","Como chegar":"0","Visitas ao site":"0"}</x:v>
      </x:c>
    </x:row>
    <x:row r="1548" ht="54" customHeight="1">
      <x:c r="A1548" s="32" t="str">
        <x:v>F055</x:v>
      </x:c>
      <x:c r="B1548" s="32" t="str">
        <x:v>C05</x:v>
      </x:c>
      <x:c r="C1548" s="32" t="n">
        <x:v>3</x:v>
      </x:c>
      <x:c r="D1548" s="33" t="str">
        <x:v>{"Local das lojas":"Supermercado Cooperja - Santa Rosa do Sul","address_line_1":"Rua Manoel Idalino Pereira, 505 - Quadra 70","address_line_2":" --","city":"Santa Rosa do Sul","country_code":"BR","phone_number":" +55 48 3534-1202","postal_code":"88965-000","province":"Santa Catarina","Alcance do local (impressões)":"0","Visitas à loja":"0","Cliques de chamada":"0","Como chegar":"0","Visitas ao site":"0"}</x:v>
      </x:c>
    </x:row>
    <x:row r="1549" ht="54" customHeight="1">
      <x:c r="A1549" s="32" t="str">
        <x:v>F055</x:v>
      </x:c>
      <x:c r="B1549" s="32" t="str">
        <x:v>C05</x:v>
      </x:c>
      <x:c r="C1549" s="32" t="n">
        <x:v>4</x:v>
      </x:c>
      <x:c r="D1549" s="33" t="str">
        <x:v>{"Local das lojas":"Supermercado Cooperja - Balneário Gaivota","address_line_1":"Av. Santa Catarina","address_line_2":" --","city":"Balneário Gaivota","country_code":"BR","phone_number":" +55 48 3583-0315","postal_code":"88955-000","province":"Santa Catarina","Alcance do local (impressões)":"0","Visitas à loja":"0","Cliques de chamada":"0","Como chegar":"0","Visitas ao site":"0"}</x:v>
      </x:c>
    </x:row>
    <x:row r="1550" ht="54" customHeight="1">
      <x:c r="A1550" s="32" t="str">
        <x:v>F055</x:v>
      </x:c>
      <x:c r="B1550" s="32" t="str">
        <x:v>C05</x:v>
      </x:c>
      <x:c r="C1550" s="32" t="n">
        <x:v>5</x:v>
      </x:c>
      <x:c r="D1550" s="33" t="str">
        <x:v>{"Local das lojas":"Supermercado Cooperja","address_line_1":"R. Padre Humberto Oening, 471","address_line_2":" --","city":"Praia Grande","country_code":"BR","phone_number":" +55 48 3532-6000","postal_code":"88990-000","province":"Santa Catarina","Alcance do local (impressões)":"0","Visitas à loja":"0","Cliques de chamada":"0","Como chegar":"0","Visitas ao site":"0"}</x:v>
      </x:c>
    </x:row>
    <x:row r="1551" ht="54" customHeight="1">
      <x:c r="A1551" s="32" t="str">
        <x:v>F055</x:v>
      </x:c>
      <x:c r="B1551" s="32" t="str">
        <x:v>C05</x:v>
      </x:c>
      <x:c r="C1551" s="32" t="n">
        <x:v>6</x:v>
      </x:c>
      <x:c r="D1551" s="33" t="str">
        <x:v>{"Local das lojas":"Supermercado Cooperja","address_line_1":"Avenida Padre Herval Fontanella, 1369","address_line_2":" --","city":"Jacinto Machado","country_code":"BR","phone_number":" +55 48 3535-6000","postal_code":"88950-000","province":"Santa Catarina","Alcance do local (impressões)":"0","Visitas à loja":"0","Cliques de chamada":"0","Como chegar":"0","Visitas ao site":"0"}</x:v>
      </x:c>
    </x:row>
    <x:row r="1552" ht="24" customHeight="1">
      <x:c r="A1552" s="32" t="str">
        <x:v>F056</x:v>
      </x:c>
      <x:c r="B1552" s="32" t="str">
        <x:v>C06</x:v>
      </x:c>
      <x:c r="C1552" s="32" t="n">
        <x:v>1</x:v>
      </x:c>
      <x:c r="D1552" s="33" t="str">
        <x:v>{"Date":"8/31/2026","Freq. méd. impr. / usuário (covisualizadas)":"null"}</x:v>
      </x:c>
    </x:row>
    <x:row r="1553" ht="24" customHeight="1">
      <x:c r="A1553" s="32" t="str">
        <x:v>F056</x:v>
      </x:c>
      <x:c r="B1553" s="32" t="str">
        <x:v>C06</x:v>
      </x:c>
      <x:c r="C1553" s="32" t="n">
        <x:v>2</x:v>
      </x:c>
      <x:c r="D1553" s="33" t="str">
        <x:v>{"Date":"9/7/2026","Freq. méd. impr. / usuário (covisualizadas)":"null"}</x:v>
      </x:c>
    </x:row>
    <x:row r="1554" ht="24" customHeight="1">
      <x:c r="A1554" s="32" t="str">
        <x:v>F056</x:v>
      </x:c>
      <x:c r="B1554" s="32" t="str">
        <x:v>C06</x:v>
      </x:c>
      <x:c r="C1554" s="32" t="n">
        <x:v>3</x:v>
      </x:c>
      <x:c r="D1554" s="33" t="str">
        <x:v>{"Date":"9/14/2026","Freq. méd. impr. / usuário (covisualizadas)":"null"}</x:v>
      </x:c>
    </x:row>
    <x:row r="1555" ht="24" customHeight="1">
      <x:c r="A1555" s="32" t="str">
        <x:v>F056</x:v>
      </x:c>
      <x:c r="B1555" s="32" t="str">
        <x:v>C06</x:v>
      </x:c>
      <x:c r="C1555" s="32" t="n">
        <x:v>4</x:v>
      </x:c>
      <x:c r="D1555" s="33" t="str">
        <x:v>{"Date":"9/21/2026","Freq. méd. impr. / usuário (covisualizadas)":"null"}</x:v>
      </x:c>
    </x:row>
    <x:row r="1556" ht="24" customHeight="1">
      <x:c r="A1556" s="32" t="str">
        <x:v>F056</x:v>
      </x:c>
      <x:c r="B1556" s="32" t="str">
        <x:v>C06</x:v>
      </x:c>
      <x:c r="C1556" s="32" t="n">
        <x:v>5</x:v>
      </x:c>
      <x:c r="D1556" s="33" t="str">
        <x:v>{"Date":"9/28/2026","Freq. méd. impr. / usuário (covisualizadas)":"null"}</x:v>
      </x:c>
    </x:row>
    <x:row r="1557" ht="24" customHeight="1">
      <x:c r="A1557" s="32" t="str">
        <x:v>F056</x:v>
      </x:c>
      <x:c r="B1557" s="32" t="str">
        <x:v>C06</x:v>
      </x:c>
      <x:c r="C1557" s="32" t="n">
        <x:v>6</x:v>
      </x:c>
      <x:c r="D1557" s="33" t="str">
        <x:v>{"Date":"10/5/2026","Freq. méd. impr. / usuário (covisualizadas)":"1.3558611710135493"}</x:v>
      </x:c>
    </x:row>
    <x:row r="1558" ht="24" customHeight="1">
      <x:c r="A1558" s="32" t="str">
        <x:v>F056</x:v>
      </x:c>
      <x:c r="B1558" s="32" t="str">
        <x:v>C06</x:v>
      </x:c>
      <x:c r="C1558" s="32" t="n">
        <x:v>7</x:v>
      </x:c>
      <x:c r="D1558" s="33" t="str">
        <x:v>{"Date":"10/12/2026","Freq. méd. impr. / usuário (covisualizadas)":"1.228297967057427"}</x:v>
      </x:c>
    </x:row>
    <x:row r="1559" ht="24" customHeight="1">
      <x:c r="A1559" s="32" t="str">
        <x:v>F057</x:v>
      </x:c>
      <x:c r="B1559" s="32" t="str">
        <x:v>C06</x:v>
      </x:c>
      <x:c r="C1559" s="32" t="n">
        <x:v>1</x:v>
      </x:c>
      <x:c r="D1559" s="33" t="str">
        <x:v>{"Formato de anúncio":"Shorts","Tipo de canal de publicidade":"Total: campanhas de vídeo","Usuários únicos (covisualizados)":"1922"}</x:v>
      </x:c>
    </x:row>
    <x:row r="1560" ht="24" customHeight="1">
      <x:c r="A1560" s="32" t="str">
        <x:v>F057</x:v>
      </x:c>
      <x:c r="B1560" s="32" t="str">
        <x:v>C06</x:v>
      </x:c>
      <x:c r="C1560" s="32" t="n">
        <x:v>2</x:v>
      </x:c>
      <x:c r="D1560" s="33" t="str">
        <x:v>{"Formato de anúncio":"In-feed","Tipo de canal de publicidade":"Total: campanhas de vídeo","Usuários únicos (covisualizados)":"13099"}</x:v>
      </x:c>
    </x:row>
    <x:row r="1561" ht="24" customHeight="1">
      <x:c r="A1561" s="32" t="str">
        <x:v>F057</x:v>
      </x:c>
      <x:c r="B1561" s="32" t="str">
        <x:v>C06</x:v>
      </x:c>
      <x:c r="C1561" s="32" t="n">
        <x:v>3</x:v>
      </x:c>
      <x:c r="D1561" s="33" t="str">
        <x:v>{"Formato de anúncio":"Bumper","Tipo de canal de publicidade":"Total: campanhas de vídeo","Usuários únicos (covisualizados)":"22637"}</x:v>
      </x:c>
    </x:row>
    <x:row r="1562" ht="24" customHeight="1">
      <x:c r="A1562" s="32" t="str">
        <x:v>F058</x:v>
      </x:c>
      <x:c r="B1562" s="32" t="str">
        <x:v>C06</x:v>
      </x:c>
      <x:c r="C1562" s="32" t="n">
        <x:v>1</x:v>
      </x:c>
      <x:c r="D1562" s="33" t="str">
        <x:v>{"Formato de anúncio":"Shorts","Freq. méd. impr. / usuário (covisualizadas)":"2.1160249739854318"}</x:v>
      </x:c>
    </x:row>
    <x:row r="1563" ht="24" customHeight="1">
      <x:c r="A1563" s="32" t="str">
        <x:v>F058</x:v>
      </x:c>
      <x:c r="B1563" s="32" t="str">
        <x:v>C06</x:v>
      </x:c>
      <x:c r="C1563" s="32" t="n">
        <x:v>2</x:v>
      </x:c>
      <x:c r="D1563" s="33" t="str">
        <x:v>{"Formato de anúncio":"In-feed","Freq. méd. impr. / usuário (covisualizadas)":"1.4588899916024125"}</x:v>
      </x:c>
    </x:row>
    <x:row r="1564" ht="24" customHeight="1">
      <x:c r="A1564" s="32" t="str">
        <x:v>F058</x:v>
      </x:c>
      <x:c r="B1564" s="32" t="str">
        <x:v>C06</x:v>
      </x:c>
      <x:c r="C1564" s="32" t="n">
        <x:v>3</x:v>
      </x:c>
      <x:c r="D1564" s="33" t="str">
        <x:v>{"Formato de anúncio":"Bumper","Freq. méd. impr. / usuário (covisualizadas)":"1.1795290895436674"}</x:v>
      </x:c>
    </x:row>
    <x:row r="1565" ht="24" customHeight="1">
      <x:c r="A1565" s="32" t="str">
        <x:v>F059</x:v>
      </x:c>
      <x:c r="B1565" s="32" t="str">
        <x:v>C06</x:v>
      </x:c>
      <x:c r="C1565" s="32" t="n">
        <x:v>1</x:v>
      </x:c>
      <x:c r="D1565" s="33" t="str">
        <x:v>{"Dispositivo":"Tablets","Usuários únicos (covisualizados)":"842"}</x:v>
      </x:c>
    </x:row>
    <x:row r="1566" ht="24" customHeight="1">
      <x:c r="A1566" s="32" t="str">
        <x:v>F059</x:v>
      </x:c>
      <x:c r="B1566" s="32" t="str">
        <x:v>C06</x:v>
      </x:c>
      <x:c r="C1566" s="32" t="n">
        <x:v>2</x:v>
      </x:c>
      <x:c r="D1566" s="33" t="str">
        <x:v>{"Dispositivo":"Dispositivos móveis","Usuários únicos (covisualizados)":"11959"}</x:v>
      </x:c>
    </x:row>
    <x:row r="1567" ht="24" customHeight="1">
      <x:c r="A1567" s="32" t="str">
        <x:v>F059</x:v>
      </x:c>
      <x:c r="B1567" s="32" t="str">
        <x:v>C06</x:v>
      </x:c>
      <x:c r="C1567" s="32" t="n">
        <x:v>3</x:v>
      </x:c>
      <x:c r="D1567" s="33" t="str">
        <x:v>{"Dispositivo":"Computadores","Usuários únicos (covisualizados)":"1788"}</x:v>
      </x:c>
    </x:row>
    <x:row r="1568" ht="24" customHeight="1">
      <x:c r="A1568" s="32" t="str">
        <x:v>F059</x:v>
      </x:c>
      <x:c r="B1568" s="32" t="str">
        <x:v>C06</x:v>
      </x:c>
      <x:c r="C1568" s="32" t="n">
        <x:v>4</x:v>
      </x:c>
      <x:c r="D1568" s="33" t="str">
        <x:v>{"Dispositivo":"Telas de TV","Usuários únicos (covisualizados)":"22965"}</x:v>
      </x:c>
    </x:row>
    <x:row r="1569" ht="24" customHeight="1">
      <x:c r="A1569" s="32" t="str">
        <x:v>F060</x:v>
      </x:c>
      <x:c r="B1569" s="32" t="str">
        <x:v>C06</x:v>
      </x:c>
      <x:c r="C1569" s="32" t="n">
        <x:v>1</x:v>
      </x:c>
      <x:c r="D1569" s="33" t="str">
        <x:v>{"Dispositivo":"Tablets","Freq. méd. impr. / usuário (covisualizadas)":"1.3467933491686461"}</x:v>
      </x:c>
    </x:row>
    <x:row r="1570" ht="24" customHeight="1">
      <x:c r="A1570" s="32" t="str">
        <x:v>F060</x:v>
      </x:c>
      <x:c r="B1570" s="32" t="str">
        <x:v>C06</x:v>
      </x:c>
      <x:c r="C1570" s="32" t="n">
        <x:v>2</x:v>
      </x:c>
      <x:c r="D1570" s="33" t="str">
        <x:v>{"Dispositivo":"Dispositivos móveis","Freq. méd. impr. / usuário (covisualizadas)":"1.7628435385514996"}</x:v>
      </x:c>
    </x:row>
    <x:row r="1571" ht="24" customHeight="1">
      <x:c r="A1571" s="32" t="str">
        <x:v>F060</x:v>
      </x:c>
      <x:c r="B1571" s="32" t="str">
        <x:v>C06</x:v>
      </x:c>
      <x:c r="C1571" s="32" t="n">
        <x:v>3</x:v>
      </x:c>
      <x:c r="D1571" s="33" t="str">
        <x:v>{"Dispositivo":"Computadores","Freq. méd. impr. / usuário (covisualizadas)":"1.3434343434343434"}</x:v>
      </x:c>
    </x:row>
    <x:row r="1572" ht="24" customHeight="1">
      <x:c r="A1572" s="32" t="str">
        <x:v>F060</x:v>
      </x:c>
      <x:c r="B1572" s="32" t="str">
        <x:v>C06</x:v>
      </x:c>
      <x:c r="C1572" s="32" t="n">
        <x:v>4</x:v>
      </x:c>
      <x:c r="D1572" s="33" t="str">
        <x:v>{"Dispositivo":"Telas de TV","Freq. méd. impr. / usuário (covisualizadas)":"1.0992728697696694"}</x:v>
      </x:c>
    </x:row>
    <x:row r="1573" ht="24" customHeight="1">
      <x:c r="A1573" s="32" t="str">
        <x:v>F061</x:v>
      </x:c>
      <x:c r="B1573" s="32" t="str">
        <x:v>C06</x:v>
      </x:c>
      <x:c r="C1573" s="32" t="n">
        <x:v>1</x:v>
      </x:c>
      <x:c r="D1573" s="33" t="str">
        <x:v>{"País":"Brazil","Usuários únicos (covisualizados)":"37469","Freq. méd. impr. / usuário (covisualizadas)":"1.331153753769783"}</x:v>
      </x:c>
    </x:row>
    <x:row r="1574" ht="24" customHeight="1">
      <x:c r="A1574" s="32" t="str">
        <x:v>F062</x:v>
      </x:c>
      <x:c r="B1574" s="32" t="str">
        <x:v>C06</x:v>
      </x:c>
      <x:c r="C1574" s="32" t="n">
        <x:v>1</x:v>
      </x:c>
      <x:c r="D1574" s="33" t="str">
        <x:v>{"Data":"ter., 1 de set. de 2026","Impr.":"0","Cliques":"0","Conversões":"0,00","Custo":"R$ 0,00"}</x:v>
      </x:c>
    </x:row>
    <x:row r="1575" ht="24" customHeight="1">
      <x:c r="A1575" s="32" t="str">
        <x:v>F062</x:v>
      </x:c>
      <x:c r="B1575" s="32" t="str">
        <x:v>C06</x:v>
      </x:c>
      <x:c r="C1575" s="32" t="n">
        <x:v>2</x:v>
      </x:c>
      <x:c r="D1575" s="33" t="str">
        <x:v>{"Data":"qua., 2 de set. de 2026","Impr.":"0","Cliques":"0","Conversões":"0,00","Custo":"R$ 0,00"}</x:v>
      </x:c>
    </x:row>
    <x:row r="1576" ht="24" customHeight="1">
      <x:c r="A1576" s="32" t="str">
        <x:v>F062</x:v>
      </x:c>
      <x:c r="B1576" s="32" t="str">
        <x:v>C06</x:v>
      </x:c>
      <x:c r="C1576" s="32" t="n">
        <x:v>3</x:v>
      </x:c>
      <x:c r="D1576" s="33" t="str">
        <x:v>{"Data":"qui., 3 de set. de 2026","Impr.":"0","Cliques":"0","Conversões":"0,00","Custo":"R$ 0,00"}</x:v>
      </x:c>
    </x:row>
    <x:row r="1577" ht="24" customHeight="1">
      <x:c r="A1577" s="32" t="str">
        <x:v>F062</x:v>
      </x:c>
      <x:c r="B1577" s="32" t="str">
        <x:v>C06</x:v>
      </x:c>
      <x:c r="C1577" s="32" t="n">
        <x:v>4</x:v>
      </x:c>
      <x:c r="D1577" s="33" t="str">
        <x:v>{"Data":"sex., 4 de set. de 2026","Impr.":"0","Cliques":"0","Conversões":"0,00","Custo":"R$ 0,00"}</x:v>
      </x:c>
    </x:row>
    <x:row r="1578" ht="24" customHeight="1">
      <x:c r="A1578" s="32" t="str">
        <x:v>F062</x:v>
      </x:c>
      <x:c r="B1578" s="32" t="str">
        <x:v>C06</x:v>
      </x:c>
      <x:c r="C1578" s="32" t="n">
        <x:v>5</x:v>
      </x:c>
      <x:c r="D1578" s="33" t="str">
        <x:v>{"Data":"sáb., 5 de set. de 2026","Impr.":"0","Cliques":"0","Conversões":"0,00","Custo":"R$ 0,00"}</x:v>
      </x:c>
    </x:row>
    <x:row r="1579" ht="24" customHeight="1">
      <x:c r="A1579" s="32" t="str">
        <x:v>F062</x:v>
      </x:c>
      <x:c r="B1579" s="32" t="str">
        <x:v>C06</x:v>
      </x:c>
      <x:c r="C1579" s="32" t="n">
        <x:v>6</x:v>
      </x:c>
      <x:c r="D1579" s="33" t="str">
        <x:v>{"Data":"dom., 6 de set. de 2026","Impr.":"0","Cliques":"0","Conversões":"0,00","Custo":"R$ 0,00"}</x:v>
      </x:c>
    </x:row>
    <x:row r="1580" ht="24" customHeight="1">
      <x:c r="A1580" s="32" t="str">
        <x:v>F062</x:v>
      </x:c>
      <x:c r="B1580" s="32" t="str">
        <x:v>C06</x:v>
      </x:c>
      <x:c r="C1580" s="32" t="n">
        <x:v>7</x:v>
      </x:c>
      <x:c r="D1580" s="33" t="str">
        <x:v>{"Data":"seg., 7 de set. de 2026","Impr.":"0","Cliques":"0","Conversões":"0,00","Custo":"R$ 0,00"}</x:v>
      </x:c>
    </x:row>
    <x:row r="1581" ht="24" customHeight="1">
      <x:c r="A1581" s="32" t="str">
        <x:v>F062</x:v>
      </x:c>
      <x:c r="B1581" s="32" t="str">
        <x:v>C06</x:v>
      </x:c>
      <x:c r="C1581" s="32" t="n">
        <x:v>8</x:v>
      </x:c>
      <x:c r="D1581" s="33" t="str">
        <x:v>{"Data":"ter., 8 de set. de 2026","Impr.":"0","Cliques":"0","Conversões":"0,00","Custo":"R$ 0,00"}</x:v>
      </x:c>
    </x:row>
    <x:row r="1582" ht="24" customHeight="1">
      <x:c r="A1582" s="32" t="str">
        <x:v>F062</x:v>
      </x:c>
      <x:c r="B1582" s="32" t="str">
        <x:v>C06</x:v>
      </x:c>
      <x:c r="C1582" s="32" t="n">
        <x:v>9</x:v>
      </x:c>
      <x:c r="D1582" s="33" t="str">
        <x:v>{"Data":"qua., 9 de set. de 2026","Impr.":"0","Cliques":"0","Conversões":"0,00","Custo":"R$ 0,00"}</x:v>
      </x:c>
    </x:row>
    <x:row r="1583" ht="24" customHeight="1">
      <x:c r="A1583" s="32" t="str">
        <x:v>F062</x:v>
      </x:c>
      <x:c r="B1583" s="32" t="str">
        <x:v>C06</x:v>
      </x:c>
      <x:c r="C1583" s="32" t="n">
        <x:v>10</x:v>
      </x:c>
      <x:c r="D1583" s="33" t="str">
        <x:v>{"Data":"qui., 10 de set. de 2026","Impr.":"0","Cliques":"0","Conversões":"0,00","Custo":"R$ 0,00"}</x:v>
      </x:c>
    </x:row>
    <x:row r="1584" ht="24" customHeight="1">
      <x:c r="A1584" s="32" t="str">
        <x:v>F062</x:v>
      </x:c>
      <x:c r="B1584" s="32" t="str">
        <x:v>C06</x:v>
      </x:c>
      <x:c r="C1584" s="32" t="n">
        <x:v>11</x:v>
      </x:c>
      <x:c r="D1584" s="33" t="str">
        <x:v>{"Data":"sex., 11 de set. de 2026","Impr.":"0","Cliques":"0","Conversões":"0,00","Custo":"R$ 0,00"}</x:v>
      </x:c>
    </x:row>
    <x:row r="1585" ht="24" customHeight="1">
      <x:c r="A1585" s="32" t="str">
        <x:v>F062</x:v>
      </x:c>
      <x:c r="B1585" s="32" t="str">
        <x:v>C06</x:v>
      </x:c>
      <x:c r="C1585" s="32" t="n">
        <x:v>12</x:v>
      </x:c>
      <x:c r="D1585" s="33" t="str">
        <x:v>{"Data":"sáb., 12 de set. de 2026","Impr.":"0","Cliques":"0","Conversões":"0,00","Custo":"R$ 0,00"}</x:v>
      </x:c>
    </x:row>
    <x:row r="1586" ht="24" customHeight="1">
      <x:c r="A1586" s="32" t="str">
        <x:v>F062</x:v>
      </x:c>
      <x:c r="B1586" s="32" t="str">
        <x:v>C06</x:v>
      </x:c>
      <x:c r="C1586" s="32" t="n">
        <x:v>13</x:v>
      </x:c>
      <x:c r="D1586" s="33" t="str">
        <x:v>{"Data":"dom., 13 de set. de 2026","Impr.":"0","Cliques":"0","Conversões":"0,00","Custo":"R$ 0,00"}</x:v>
      </x:c>
    </x:row>
    <x:row r="1587" ht="24" customHeight="1">
      <x:c r="A1587" s="32" t="str">
        <x:v>F062</x:v>
      </x:c>
      <x:c r="B1587" s="32" t="str">
        <x:v>C06</x:v>
      </x:c>
      <x:c r="C1587" s="32" t="n">
        <x:v>14</x:v>
      </x:c>
      <x:c r="D1587" s="33" t="str">
        <x:v>{"Data":"seg., 14 de set. de 2026","Impr.":"0","Cliques":"0","Conversões":"0,00","Custo":"R$ 0,00"}</x:v>
      </x:c>
    </x:row>
    <x:row r="1588" ht="24" customHeight="1">
      <x:c r="A1588" s="32" t="str">
        <x:v>F062</x:v>
      </x:c>
      <x:c r="B1588" s="32" t="str">
        <x:v>C06</x:v>
      </x:c>
      <x:c r="C1588" s="32" t="n">
        <x:v>15</x:v>
      </x:c>
      <x:c r="D1588" s="33" t="str">
        <x:v>{"Data":"ter., 15 de set. de 2026","Impr.":"0","Cliques":"0","Conversões":"0,00","Custo":"R$ 0,00"}</x:v>
      </x:c>
    </x:row>
    <x:row r="1589" ht="24" customHeight="1">
      <x:c r="A1589" s="32" t="str">
        <x:v>F062</x:v>
      </x:c>
      <x:c r="B1589" s="32" t="str">
        <x:v>C06</x:v>
      </x:c>
      <x:c r="C1589" s="32" t="n">
        <x:v>16</x:v>
      </x:c>
      <x:c r="D1589" s="33" t="str">
        <x:v>{"Data":"qua., 16 de set. de 2026","Impr.":"0","Cliques":"0","Conversões":"0,00","Custo":"R$ 0,00"}</x:v>
      </x:c>
    </x:row>
    <x:row r="1590" ht="24" customHeight="1">
      <x:c r="A1590" s="32" t="str">
        <x:v>F062</x:v>
      </x:c>
      <x:c r="B1590" s="32" t="str">
        <x:v>C06</x:v>
      </x:c>
      <x:c r="C1590" s="32" t="n">
        <x:v>17</x:v>
      </x:c>
      <x:c r="D1590" s="33" t="str">
        <x:v>{"Data":"qui., 17 de set. de 2026","Impr.":"0","Cliques":"0","Conversões":"0,00","Custo":"R$ 0,00"}</x:v>
      </x:c>
    </x:row>
    <x:row r="1591" ht="24" customHeight="1">
      <x:c r="A1591" s="32" t="str">
        <x:v>F062</x:v>
      </x:c>
      <x:c r="B1591" s="32" t="str">
        <x:v>C06</x:v>
      </x:c>
      <x:c r="C1591" s="32" t="n">
        <x:v>18</x:v>
      </x:c>
      <x:c r="D1591" s="33" t="str">
        <x:v>{"Data":"sex., 18 de set. de 2026","Impr.":"0","Cliques":"0","Conversões":"0,00","Custo":"R$ 0,00"}</x:v>
      </x:c>
    </x:row>
    <x:row r="1592" ht="24" customHeight="1">
      <x:c r="A1592" s="32" t="str">
        <x:v>F062</x:v>
      </x:c>
      <x:c r="B1592" s="32" t="str">
        <x:v>C06</x:v>
      </x:c>
      <x:c r="C1592" s="32" t="n">
        <x:v>19</x:v>
      </x:c>
      <x:c r="D1592" s="33" t="str">
        <x:v>{"Data":"sáb., 19 de set. de 2026","Impr.":"0","Cliques":"0","Conversões":"0,00","Custo":"R$ 0,00"}</x:v>
      </x:c>
    </x:row>
    <x:row r="1593" ht="24" customHeight="1">
      <x:c r="A1593" s="32" t="str">
        <x:v>F062</x:v>
      </x:c>
      <x:c r="B1593" s="32" t="str">
        <x:v>C06</x:v>
      </x:c>
      <x:c r="C1593" s="32" t="n">
        <x:v>20</x:v>
      </x:c>
      <x:c r="D1593" s="33" t="str">
        <x:v>{"Data":"dom., 20 de set. de 2026","Impr.":"0","Cliques":"0","Conversões":"0,00","Custo":"R$ 0,00"}</x:v>
      </x:c>
    </x:row>
    <x:row r="1594" ht="24" customHeight="1">
      <x:c r="A1594" s="32" t="str">
        <x:v>F062</x:v>
      </x:c>
      <x:c r="B1594" s="32" t="str">
        <x:v>C06</x:v>
      </x:c>
      <x:c r="C1594" s="32" t="n">
        <x:v>21</x:v>
      </x:c>
      <x:c r="D1594" s="33" t="str">
        <x:v>{"Data":"seg., 21 de set. de 2026","Impr.":"0","Cliques":"0","Conversões":"0,00","Custo":"R$ 0,00"}</x:v>
      </x:c>
    </x:row>
    <x:row r="1595" ht="24" customHeight="1">
      <x:c r="A1595" s="32" t="str">
        <x:v>F062</x:v>
      </x:c>
      <x:c r="B1595" s="32" t="str">
        <x:v>C06</x:v>
      </x:c>
      <x:c r="C1595" s="32" t="n">
        <x:v>22</x:v>
      </x:c>
      <x:c r="D1595" s="33" t="str">
        <x:v>{"Data":"ter., 22 de set. de 2026","Impr.":"0","Cliques":"0","Conversões":"0,00","Custo":"R$ 0,00"}</x:v>
      </x:c>
    </x:row>
    <x:row r="1596" ht="24" customHeight="1">
      <x:c r="A1596" s="32" t="str">
        <x:v>F062</x:v>
      </x:c>
      <x:c r="B1596" s="32" t="str">
        <x:v>C06</x:v>
      </x:c>
      <x:c r="C1596" s="32" t="n">
        <x:v>23</x:v>
      </x:c>
      <x:c r="D1596" s="33" t="str">
        <x:v>{"Data":"qua., 23 de set. de 2026","Impr.":"0","Cliques":"0","Conversões":"0,00","Custo":"R$ 0,00"}</x:v>
      </x:c>
    </x:row>
    <x:row r="1597" ht="24" customHeight="1">
      <x:c r="A1597" s="32" t="str">
        <x:v>F062</x:v>
      </x:c>
      <x:c r="B1597" s="32" t="str">
        <x:v>C06</x:v>
      </x:c>
      <x:c r="C1597" s="32" t="n">
        <x:v>24</x:v>
      </x:c>
      <x:c r="D1597" s="33" t="str">
        <x:v>{"Data":"qui., 24 de set. de 2026","Impr.":"0","Cliques":"0","Conversões":"0,00","Custo":"R$ 0,00"}</x:v>
      </x:c>
    </x:row>
    <x:row r="1598" ht="24" customHeight="1">
      <x:c r="A1598" s="32" t="str">
        <x:v>F062</x:v>
      </x:c>
      <x:c r="B1598" s="32" t="str">
        <x:v>C06</x:v>
      </x:c>
      <x:c r="C1598" s="32" t="n">
        <x:v>25</x:v>
      </x:c>
      <x:c r="D1598" s="33" t="str">
        <x:v>{"Data":"sex., 25 de set. de 2026","Impr.":"0","Cliques":"0","Conversões":"0,00","Custo":"R$ 0,00"}</x:v>
      </x:c>
    </x:row>
    <x:row r="1599" ht="24" customHeight="1">
      <x:c r="A1599" s="32" t="str">
        <x:v>F062</x:v>
      </x:c>
      <x:c r="B1599" s="32" t="str">
        <x:v>C06</x:v>
      </x:c>
      <x:c r="C1599" s="32" t="n">
        <x:v>26</x:v>
      </x:c>
      <x:c r="D1599" s="33" t="str">
        <x:v>{"Data":"sáb., 26 de set. de 2026","Impr.":"0","Cliques":"0","Conversões":"0,00","Custo":"R$ 0,00"}</x:v>
      </x:c>
    </x:row>
    <x:row r="1600" ht="24" customHeight="1">
      <x:c r="A1600" s="32" t="str">
        <x:v>F062</x:v>
      </x:c>
      <x:c r="B1600" s="32" t="str">
        <x:v>C06</x:v>
      </x:c>
      <x:c r="C1600" s="32" t="n">
        <x:v>27</x:v>
      </x:c>
      <x:c r="D1600" s="33" t="str">
        <x:v>{"Data":"dom., 27 de set. de 2026","Impr.":"0","Cliques":"0","Conversões":"0,00","Custo":"R$ 0,00"}</x:v>
      </x:c>
    </x:row>
    <x:row r="1601" ht="24" customHeight="1">
      <x:c r="A1601" s="32" t="str">
        <x:v>F062</x:v>
      </x:c>
      <x:c r="B1601" s="32" t="str">
        <x:v>C06</x:v>
      </x:c>
      <x:c r="C1601" s="32" t="n">
        <x:v>28</x:v>
      </x:c>
      <x:c r="D1601" s="33" t="str">
        <x:v>{"Data":"seg., 28 de set. de 2026","Impr.":"0","Cliques":"0","Conversões":"0,00","Custo":"R$ 0,00"}</x:v>
      </x:c>
    </x:row>
    <x:row r="1602" ht="24" customHeight="1">
      <x:c r="A1602" s="32" t="str">
        <x:v>F062</x:v>
      </x:c>
      <x:c r="B1602" s="32" t="str">
        <x:v>C06</x:v>
      </x:c>
      <x:c r="C1602" s="32" t="n">
        <x:v>29</x:v>
      </x:c>
      <x:c r="D1602" s="33" t="str">
        <x:v>{"Data":"ter., 29 de set. de 2026","Impr.":"0","Cliques":"0","Conversões":"0,00","Custo":"R$ 0,00"}</x:v>
      </x:c>
    </x:row>
    <x:row r="1603" ht="24" customHeight="1">
      <x:c r="A1603" s="32" t="str">
        <x:v>F062</x:v>
      </x:c>
      <x:c r="B1603" s="32" t="str">
        <x:v>C06</x:v>
      </x:c>
      <x:c r="C1603" s="32" t="n">
        <x:v>30</x:v>
      </x:c>
      <x:c r="D1603" s="33" t="str">
        <x:v>{"Data":"qua., 30 de set. de 2026","Impr.":"0","Cliques":"0","Conversões":"0,00","Custo":"R$ 0,00"}</x:v>
      </x:c>
    </x:row>
    <x:row r="1604" ht="24" customHeight="1">
      <x:c r="A1604" s="32" t="str">
        <x:v>F062</x:v>
      </x:c>
      <x:c r="B1604" s="32" t="str">
        <x:v>C06</x:v>
      </x:c>
      <x:c r="C1604" s="32" t="n">
        <x:v>31</x:v>
      </x:c>
      <x:c r="D1604" s="33" t="str">
        <x:v>{"Data":"qui., 1 de out. de 2026","Impr.":"0","Cliques":"0","Conversões":"0,00","Custo":"R$ 0,00"}</x:v>
      </x:c>
    </x:row>
    <x:row r="1605" ht="24" customHeight="1">
      <x:c r="A1605" s="32" t="str">
        <x:v>F062</x:v>
      </x:c>
      <x:c r="B1605" s="32" t="str">
        <x:v>C06</x:v>
      </x:c>
      <x:c r="C1605" s="32" t="n">
        <x:v>32</x:v>
      </x:c>
      <x:c r="D1605" s="33" t="str">
        <x:v>{"Data":"sex., 2 de out. de 2026","Impr.":"0","Cliques":"0","Conversões":"0,00","Custo":"R$ 0,00"}</x:v>
      </x:c>
    </x:row>
    <x:row r="1606" ht="24" customHeight="1">
      <x:c r="A1606" s="32" t="str">
        <x:v>F062</x:v>
      </x:c>
      <x:c r="B1606" s="32" t="str">
        <x:v>C06</x:v>
      </x:c>
      <x:c r="C1606" s="32" t="n">
        <x:v>33</x:v>
      </x:c>
      <x:c r="D1606" s="33" t="str">
        <x:v>{"Data":"sáb., 3 de out. de 2026","Impr.":"0","Cliques":"0","Conversões":"0,00","Custo":"R$ 0,00"}</x:v>
      </x:c>
    </x:row>
    <x:row r="1607" ht="24" customHeight="1">
      <x:c r="A1607" s="32" t="str">
        <x:v>F062</x:v>
      </x:c>
      <x:c r="B1607" s="32" t="str">
        <x:v>C06</x:v>
      </x:c>
      <x:c r="C1607" s="32" t="n">
        <x:v>34</x:v>
      </x:c>
      <x:c r="D1607" s="33" t="str">
        <x:v>{"Data":"dom., 4 de out. de 2026","Impr.":"0","Cliques":"0","Conversões":"0,00","Custo":"R$ 0,00"}</x:v>
      </x:c>
    </x:row>
    <x:row r="1608" ht="24" customHeight="1">
      <x:c r="A1608" s="32" t="str">
        <x:v>F062</x:v>
      </x:c>
      <x:c r="B1608" s="32" t="str">
        <x:v>C06</x:v>
      </x:c>
      <x:c r="C1608" s="32" t="n">
        <x:v>35</x:v>
      </x:c>
      <x:c r="D1608" s="33" t="str">
        <x:v>{"Data":"seg., 5 de out. de 2026","Impr.":"0","Cliques":"0","Conversões":"0,00","Custo":"R$ 0,00"}</x:v>
      </x:c>
    </x:row>
    <x:row r="1609" ht="24" customHeight="1">
      <x:c r="A1609" s="32" t="str">
        <x:v>F062</x:v>
      </x:c>
      <x:c r="B1609" s="32" t="str">
        <x:v>C06</x:v>
      </x:c>
      <x:c r="C1609" s="32" t="n">
        <x:v>36</x:v>
      </x:c>
      <x:c r="D1609" s="33" t="str">
        <x:v>{"Data":"ter., 6 de out. de 2026","Impr.":"0","Cliques":"0","Conversões":"0,00","Custo":"R$ 0,00"}</x:v>
      </x:c>
    </x:row>
    <x:row r="1610" ht="24" customHeight="1">
      <x:c r="A1610" s="32" t="str">
        <x:v>F062</x:v>
      </x:c>
      <x:c r="B1610" s="32" t="str">
        <x:v>C06</x:v>
      </x:c>
      <x:c r="C1610" s="32" t="n">
        <x:v>37</x:v>
      </x:c>
      <x:c r="D1610" s="33" t="str">
        <x:v>{"Data":"qua., 7 de out. de 2026","Impr.":"4.219","Cliques":"23","Conversões":"0,00","Custo":"R$ 15,04"}</x:v>
      </x:c>
    </x:row>
    <x:row r="1611" ht="24" customHeight="1">
      <x:c r="A1611" s="32" t="str">
        <x:v>F062</x:v>
      </x:c>
      <x:c r="B1611" s="32" t="str">
        <x:v>C06</x:v>
      </x:c>
      <x:c r="C1611" s="32" t="n">
        <x:v>38</x:v>
      </x:c>
      <x:c r="D1611" s="33" t="str">
        <x:v>{"Data":"qui., 8 de out. de 2026","Impr.":"6.322","Cliques":"10","Conversões":"0,00","Custo":"R$ 15,75"}</x:v>
      </x:c>
    </x:row>
    <x:row r="1612" ht="24" customHeight="1">
      <x:c r="A1612" s="32" t="str">
        <x:v>F062</x:v>
      </x:c>
      <x:c r="B1612" s="32" t="str">
        <x:v>C06</x:v>
      </x:c>
      <x:c r="C1612" s="32" t="n">
        <x:v>39</x:v>
      </x:c>
      <x:c r="D1612" s="33" t="str">
        <x:v>{"Data":"sex., 9 de out. de 2026","Impr.":"5.937","Cliques":"4","Conversões":"0,00","Custo":"R$ 15,83"}</x:v>
      </x:c>
    </x:row>
    <x:row r="1613" ht="24" customHeight="1">
      <x:c r="A1613" s="32" t="str">
        <x:v>F062</x:v>
      </x:c>
      <x:c r="B1613" s="32" t="str">
        <x:v>C06</x:v>
      </x:c>
      <x:c r="C1613" s="32" t="n">
        <x:v>40</x:v>
      </x:c>
      <x:c r="D1613" s="33" t="str">
        <x:v>{"Data":"sáb., 10 de out. de 2026","Impr.":"6.523","Cliques":"2","Conversões":"0,00","Custo":"R$ 15,70"}</x:v>
      </x:c>
    </x:row>
    <x:row r="1614" ht="24" customHeight="1">
      <x:c r="A1614" s="32" t="str">
        <x:v>F062</x:v>
      </x:c>
      <x:c r="B1614" s="32" t="str">
        <x:v>C06</x:v>
      </x:c>
      <x:c r="C1614" s="32" t="n">
        <x:v>41</x:v>
      </x:c>
      <x:c r="D1614" s="33" t="str">
        <x:v>{"Data":"dom., 11 de out. de 2026","Impr.":"6.339","Cliques":"7","Conversões":"0,00","Custo":"R$ 15,64"}</x:v>
      </x:c>
    </x:row>
    <x:row r="1615" ht="24" customHeight="1">
      <x:c r="A1615" s="32" t="str">
        <x:v>F062</x:v>
      </x:c>
      <x:c r="B1615" s="32" t="str">
        <x:v>C06</x:v>
      </x:c>
      <x:c r="C1615" s="32" t="n">
        <x:v>42</x:v>
      </x:c>
      <x:c r="D1615" s="33" t="str">
        <x:v>{"Data":"seg., 12 de out. de 2026","Impr.":"6.636","Cliques":"5","Conversões":"0,00","Custo":"R$ 15,71"}</x:v>
      </x:c>
    </x:row>
    <x:row r="1616" ht="24" customHeight="1">
      <x:c r="A1616" s="32" t="str">
        <x:v>F062</x:v>
      </x:c>
      <x:c r="B1616" s="32" t="str">
        <x:v>C06</x:v>
      </x:c>
      <x:c r="C1616" s="32" t="n">
        <x:v>43</x:v>
      </x:c>
      <x:c r="D1616" s="33" t="str">
        <x:v>{"Data":"ter., 13 de out. de 2026","Impr.":"6.538","Cliques":"12","Conversões":"0,00","Custo":"R$ 15,60"}</x:v>
      </x:c>
    </x:row>
    <x:row r="1617" ht="24" customHeight="1">
      <x:c r="A1617" s="32" t="str">
        <x:v>F062</x:v>
      </x:c>
      <x:c r="B1617" s="32" t="str">
        <x:v>C06</x:v>
      </x:c>
      <x:c r="C1617" s="32" t="n">
        <x:v>44</x:v>
      </x:c>
      <x:c r="D1617" s="33" t="str">
        <x:v>{"Data":"qua., 14 de out. de 2026","Impr.":"1.460","Cliques":"1","Conversões":"0,00","Custo":"R$ 3,15"}</x:v>
      </x:c>
    </x:row>
    <x:row r="1618" ht="24" customHeight="1">
      <x:c r="A1618" s="32" t="str">
        <x:v>F063</x:v>
      </x:c>
      <x:c r="B1618" s="32" t="str">
        <x:v>C06</x:v>
      </x:c>
      <x:c r="C1618" s="32" t="n">
        <x:v>1</x:v>
      </x:c>
      <x:c r="D1618" s="33" t="str">
        <x:v>{"Data":"ter., 1 de set. de 2026","Cliques":"0","Visualizações públicas do YouTube":"0","Shorts":"—","Custo":"R$ 0,00"}</x:v>
      </x:c>
    </x:row>
    <x:row r="1619" ht="24" customHeight="1">
      <x:c r="A1619" s="32" t="str">
        <x:v>F063</x:v>
      </x:c>
      <x:c r="B1619" s="32" t="str">
        <x:v>C06</x:v>
      </x:c>
      <x:c r="C1619" s="32" t="n">
        <x:v>2</x:v>
      </x:c>
      <x:c r="D1619" s="33" t="str">
        <x:v>{"Data":"qua., 2 de set. de 2026","Cliques":"0","Visualizações públicas do YouTube":"0","Shorts":"—","Custo":"R$ 0,00"}</x:v>
      </x:c>
    </x:row>
    <x:row r="1620" ht="24" customHeight="1">
      <x:c r="A1620" s="32" t="str">
        <x:v>F063</x:v>
      </x:c>
      <x:c r="B1620" s="32" t="str">
        <x:v>C06</x:v>
      </x:c>
      <x:c r="C1620" s="32" t="n">
        <x:v>3</x:v>
      </x:c>
      <x:c r="D1620" s="33" t="str">
        <x:v>{"Data":"qui., 3 de set. de 2026","Cliques":"0","Visualizações públicas do YouTube":"0","Shorts":"—","Custo":"R$ 0,00"}</x:v>
      </x:c>
    </x:row>
    <x:row r="1621" ht="24" customHeight="1">
      <x:c r="A1621" s="32" t="str">
        <x:v>F063</x:v>
      </x:c>
      <x:c r="B1621" s="32" t="str">
        <x:v>C06</x:v>
      </x:c>
      <x:c r="C1621" s="32" t="n">
        <x:v>4</x:v>
      </x:c>
      <x:c r="D1621" s="33" t="str">
        <x:v>{"Data":"sex., 4 de set. de 2026","Cliques":"0","Visualizações públicas do YouTube":"0","Shorts":"—","Custo":"R$ 0,00"}</x:v>
      </x:c>
    </x:row>
    <x:row r="1622" ht="24" customHeight="1">
      <x:c r="A1622" s="32" t="str">
        <x:v>F063</x:v>
      </x:c>
      <x:c r="B1622" s="32" t="str">
        <x:v>C06</x:v>
      </x:c>
      <x:c r="C1622" s="32" t="n">
        <x:v>5</x:v>
      </x:c>
      <x:c r="D1622" s="33" t="str">
        <x:v>{"Data":"sáb., 5 de set. de 2026","Cliques":"0","Visualizações públicas do YouTube":"0","Shorts":"—","Custo":"R$ 0,00"}</x:v>
      </x:c>
    </x:row>
    <x:row r="1623" ht="24" customHeight="1">
      <x:c r="A1623" s="32" t="str">
        <x:v>F063</x:v>
      </x:c>
      <x:c r="B1623" s="32" t="str">
        <x:v>C06</x:v>
      </x:c>
      <x:c r="C1623" s="32" t="n">
        <x:v>6</x:v>
      </x:c>
      <x:c r="D1623" s="33" t="str">
        <x:v>{"Data":"dom., 6 de set. de 2026","Cliques":"0","Visualizações públicas do YouTube":"0","Shorts":"—","Custo":"R$ 0,00"}</x:v>
      </x:c>
    </x:row>
    <x:row r="1624" ht="24" customHeight="1">
      <x:c r="A1624" s="32" t="str">
        <x:v>F063</x:v>
      </x:c>
      <x:c r="B1624" s="32" t="str">
        <x:v>C06</x:v>
      </x:c>
      <x:c r="C1624" s="32" t="n">
        <x:v>7</x:v>
      </x:c>
      <x:c r="D1624" s="33" t="str">
        <x:v>{"Data":"seg., 7 de set. de 2026","Cliques":"0","Visualizações públicas do YouTube":"0","Shorts":"—","Custo":"R$ 0,00"}</x:v>
      </x:c>
    </x:row>
    <x:row r="1625" ht="24" customHeight="1">
      <x:c r="A1625" s="32" t="str">
        <x:v>F063</x:v>
      </x:c>
      <x:c r="B1625" s="32" t="str">
        <x:v>C06</x:v>
      </x:c>
      <x:c r="C1625" s="32" t="n">
        <x:v>8</x:v>
      </x:c>
      <x:c r="D1625" s="33" t="str">
        <x:v>{"Data":"ter., 8 de set. de 2026","Cliques":"0","Visualizações públicas do YouTube":"0","Shorts":"—","Custo":"R$ 0,00"}</x:v>
      </x:c>
    </x:row>
    <x:row r="1626" ht="24" customHeight="1">
      <x:c r="A1626" s="32" t="str">
        <x:v>F063</x:v>
      </x:c>
      <x:c r="B1626" s="32" t="str">
        <x:v>C06</x:v>
      </x:c>
      <x:c r="C1626" s="32" t="n">
        <x:v>9</x:v>
      </x:c>
      <x:c r="D1626" s="33" t="str">
        <x:v>{"Data":"qua., 9 de set. de 2026","Cliques":"0","Visualizações públicas do YouTube":"0","Shorts":"—","Custo":"R$ 0,00"}</x:v>
      </x:c>
    </x:row>
    <x:row r="1627" ht="24" customHeight="1">
      <x:c r="A1627" s="32" t="str">
        <x:v>F063</x:v>
      </x:c>
      <x:c r="B1627" s="32" t="str">
        <x:v>C06</x:v>
      </x:c>
      <x:c r="C1627" s="32" t="n">
        <x:v>10</x:v>
      </x:c>
      <x:c r="D1627" s="33" t="str">
        <x:v>{"Data":"qui., 10 de set. de 2026","Cliques":"0","Visualizações públicas do YouTube":"0","Shorts":"—","Custo":"R$ 0,00"}</x:v>
      </x:c>
    </x:row>
    <x:row r="1628" ht="24" customHeight="1">
      <x:c r="A1628" s="32" t="str">
        <x:v>F063</x:v>
      </x:c>
      <x:c r="B1628" s="32" t="str">
        <x:v>C06</x:v>
      </x:c>
      <x:c r="C1628" s="32" t="n">
        <x:v>11</x:v>
      </x:c>
      <x:c r="D1628" s="33" t="str">
        <x:v>{"Data":"sex., 11 de set. de 2026","Cliques":"0","Visualizações públicas do YouTube":"0","Shorts":"—","Custo":"R$ 0,00"}</x:v>
      </x:c>
    </x:row>
    <x:row r="1629" ht="24" customHeight="1">
      <x:c r="A1629" s="32" t="str">
        <x:v>F063</x:v>
      </x:c>
      <x:c r="B1629" s="32" t="str">
        <x:v>C06</x:v>
      </x:c>
      <x:c r="C1629" s="32" t="n">
        <x:v>12</x:v>
      </x:c>
      <x:c r="D1629" s="33" t="str">
        <x:v>{"Data":"sáb., 12 de set. de 2026","Cliques":"0","Visualizações públicas do YouTube":"0","Shorts":"—","Custo":"R$ 0,00"}</x:v>
      </x:c>
    </x:row>
    <x:row r="1630" ht="24" customHeight="1">
      <x:c r="A1630" s="32" t="str">
        <x:v>F063</x:v>
      </x:c>
      <x:c r="B1630" s="32" t="str">
        <x:v>C06</x:v>
      </x:c>
      <x:c r="C1630" s="32" t="n">
        <x:v>13</x:v>
      </x:c>
      <x:c r="D1630" s="33" t="str">
        <x:v>{"Data":"dom., 13 de set. de 2026","Cliques":"0","Visualizações públicas do YouTube":"0","Shorts":"—","Custo":"R$ 0,00"}</x:v>
      </x:c>
    </x:row>
    <x:row r="1631" ht="24" customHeight="1">
      <x:c r="A1631" s="32" t="str">
        <x:v>F063</x:v>
      </x:c>
      <x:c r="B1631" s="32" t="str">
        <x:v>C06</x:v>
      </x:c>
      <x:c r="C1631" s="32" t="n">
        <x:v>14</x:v>
      </x:c>
      <x:c r="D1631" s="33" t="str">
        <x:v>{"Data":"seg., 14 de set. de 2026","Cliques":"0","Visualizações públicas do YouTube":"0","Shorts":"—","Custo":"R$ 0,00"}</x:v>
      </x:c>
    </x:row>
    <x:row r="1632" ht="24" customHeight="1">
      <x:c r="A1632" s="32" t="str">
        <x:v>F063</x:v>
      </x:c>
      <x:c r="B1632" s="32" t="str">
        <x:v>C06</x:v>
      </x:c>
      <x:c r="C1632" s="32" t="n">
        <x:v>15</x:v>
      </x:c>
      <x:c r="D1632" s="33" t="str">
        <x:v>{"Data":"ter., 15 de set. de 2026","Cliques":"0","Visualizações públicas do YouTube":"0","Shorts":"—","Custo":"R$ 0,00"}</x:v>
      </x:c>
    </x:row>
    <x:row r="1633" ht="24" customHeight="1">
      <x:c r="A1633" s="32" t="str">
        <x:v>F063</x:v>
      </x:c>
      <x:c r="B1633" s="32" t="str">
        <x:v>C06</x:v>
      </x:c>
      <x:c r="C1633" s="32" t="n">
        <x:v>16</x:v>
      </x:c>
      <x:c r="D1633" s="33" t="str">
        <x:v>{"Data":"qua., 16 de set. de 2026","Cliques":"0","Visualizações públicas do YouTube":"0","Shorts":"—","Custo":"R$ 0,00"}</x:v>
      </x:c>
    </x:row>
    <x:row r="1634" ht="24" customHeight="1">
      <x:c r="A1634" s="32" t="str">
        <x:v>F063</x:v>
      </x:c>
      <x:c r="B1634" s="32" t="str">
        <x:v>C06</x:v>
      </x:c>
      <x:c r="C1634" s="32" t="n">
        <x:v>17</x:v>
      </x:c>
      <x:c r="D1634" s="33" t="str">
        <x:v>{"Data":"qui., 17 de set. de 2026","Cliques":"0","Visualizações públicas do YouTube":"0","Shorts":"—","Custo":"R$ 0,00"}</x:v>
      </x:c>
    </x:row>
    <x:row r="1635" ht="24" customHeight="1">
      <x:c r="A1635" s="32" t="str">
        <x:v>F063</x:v>
      </x:c>
      <x:c r="B1635" s="32" t="str">
        <x:v>C06</x:v>
      </x:c>
      <x:c r="C1635" s="32" t="n">
        <x:v>18</x:v>
      </x:c>
      <x:c r="D1635" s="33" t="str">
        <x:v>{"Data":"sex., 18 de set. de 2026","Cliques":"0","Visualizações públicas do YouTube":"0","Shorts":"—","Custo":"R$ 0,00"}</x:v>
      </x:c>
    </x:row>
    <x:row r="1636" ht="24" customHeight="1">
      <x:c r="A1636" s="32" t="str">
        <x:v>F063</x:v>
      </x:c>
      <x:c r="B1636" s="32" t="str">
        <x:v>C06</x:v>
      </x:c>
      <x:c r="C1636" s="32" t="n">
        <x:v>19</x:v>
      </x:c>
      <x:c r="D1636" s="33" t="str">
        <x:v>{"Data":"sáb., 19 de set. de 2026","Cliques":"0","Visualizações públicas do YouTube":"0","Shorts":"—","Custo":"R$ 0,00"}</x:v>
      </x:c>
    </x:row>
    <x:row r="1637" ht="24" customHeight="1">
      <x:c r="A1637" s="32" t="str">
        <x:v>F063</x:v>
      </x:c>
      <x:c r="B1637" s="32" t="str">
        <x:v>C06</x:v>
      </x:c>
      <x:c r="C1637" s="32" t="n">
        <x:v>20</x:v>
      </x:c>
      <x:c r="D1637" s="33" t="str">
        <x:v>{"Data":"dom., 20 de set. de 2026","Cliques":"0","Visualizações públicas do YouTube":"0","Shorts":"—","Custo":"R$ 0,00"}</x:v>
      </x:c>
    </x:row>
    <x:row r="1638" ht="24" customHeight="1">
      <x:c r="A1638" s="32" t="str">
        <x:v>F063</x:v>
      </x:c>
      <x:c r="B1638" s="32" t="str">
        <x:v>C06</x:v>
      </x:c>
      <x:c r="C1638" s="32" t="n">
        <x:v>21</x:v>
      </x:c>
      <x:c r="D1638" s="33" t="str">
        <x:v>{"Data":"seg., 21 de set. de 2026","Cliques":"0","Visualizações públicas do YouTube":"0","Shorts":"—","Custo":"R$ 0,00"}</x:v>
      </x:c>
    </x:row>
    <x:row r="1639" ht="24" customHeight="1">
      <x:c r="A1639" s="32" t="str">
        <x:v>F063</x:v>
      </x:c>
      <x:c r="B1639" s="32" t="str">
        <x:v>C06</x:v>
      </x:c>
      <x:c r="C1639" s="32" t="n">
        <x:v>22</x:v>
      </x:c>
      <x:c r="D1639" s="33" t="str">
        <x:v>{"Data":"ter., 22 de set. de 2026","Cliques":"0","Visualizações públicas do YouTube":"0","Shorts":"—","Custo":"R$ 0,00"}</x:v>
      </x:c>
    </x:row>
    <x:row r="1640" ht="24" customHeight="1">
      <x:c r="A1640" s="32" t="str">
        <x:v>F063</x:v>
      </x:c>
      <x:c r="B1640" s="32" t="str">
        <x:v>C06</x:v>
      </x:c>
      <x:c r="C1640" s="32" t="n">
        <x:v>23</x:v>
      </x:c>
      <x:c r="D1640" s="33" t="str">
        <x:v>{"Data":"qua., 23 de set. de 2026","Cliques":"0","Visualizações públicas do YouTube":"0","Shorts":"—","Custo":"R$ 0,00"}</x:v>
      </x:c>
    </x:row>
    <x:row r="1641" ht="24" customHeight="1">
      <x:c r="A1641" s="32" t="str">
        <x:v>F063</x:v>
      </x:c>
      <x:c r="B1641" s="32" t="str">
        <x:v>C06</x:v>
      </x:c>
      <x:c r="C1641" s="32" t="n">
        <x:v>24</x:v>
      </x:c>
      <x:c r="D1641" s="33" t="str">
        <x:v>{"Data":"qui., 24 de set. de 2026","Cliques":"0","Visualizações públicas do YouTube":"0","Shorts":"—","Custo":"R$ 0,00"}</x:v>
      </x:c>
    </x:row>
    <x:row r="1642" ht="24" customHeight="1">
      <x:c r="A1642" s="32" t="str">
        <x:v>F063</x:v>
      </x:c>
      <x:c r="B1642" s="32" t="str">
        <x:v>C06</x:v>
      </x:c>
      <x:c r="C1642" s="32" t="n">
        <x:v>25</x:v>
      </x:c>
      <x:c r="D1642" s="33" t="str">
        <x:v>{"Data":"sex., 25 de set. de 2026","Cliques":"0","Visualizações públicas do YouTube":"0","Shorts":"—","Custo":"R$ 0,00"}</x:v>
      </x:c>
    </x:row>
    <x:row r="1643" ht="24" customHeight="1">
      <x:c r="A1643" s="32" t="str">
        <x:v>F063</x:v>
      </x:c>
      <x:c r="B1643" s="32" t="str">
        <x:v>C06</x:v>
      </x:c>
      <x:c r="C1643" s="32" t="n">
        <x:v>26</x:v>
      </x:c>
      <x:c r="D1643" s="33" t="str">
        <x:v>{"Data":"sáb., 26 de set. de 2026","Cliques":"0","Visualizações públicas do YouTube":"0","Shorts":"—","Custo":"R$ 0,00"}</x:v>
      </x:c>
    </x:row>
    <x:row r="1644" ht="24" customHeight="1">
      <x:c r="A1644" s="32" t="str">
        <x:v>F063</x:v>
      </x:c>
      <x:c r="B1644" s="32" t="str">
        <x:v>C06</x:v>
      </x:c>
      <x:c r="C1644" s="32" t="n">
        <x:v>27</x:v>
      </x:c>
      <x:c r="D1644" s="33" t="str">
        <x:v>{"Data":"dom., 27 de set. de 2026","Cliques":"0","Visualizações públicas do YouTube":"0","Shorts":"—","Custo":"R$ 0,00"}</x:v>
      </x:c>
    </x:row>
    <x:row r="1645" ht="24" customHeight="1">
      <x:c r="A1645" s="32" t="str">
        <x:v>F063</x:v>
      </x:c>
      <x:c r="B1645" s="32" t="str">
        <x:v>C06</x:v>
      </x:c>
      <x:c r="C1645" s="32" t="n">
        <x:v>28</x:v>
      </x:c>
      <x:c r="D1645" s="33" t="str">
        <x:v>{"Data":"seg., 28 de set. de 2026","Cliques":"0","Visualizações públicas do YouTube":"0","Shorts":"—","Custo":"R$ 0,00"}</x:v>
      </x:c>
    </x:row>
    <x:row r="1646" ht="24" customHeight="1">
      <x:c r="A1646" s="32" t="str">
        <x:v>F063</x:v>
      </x:c>
      <x:c r="B1646" s="32" t="str">
        <x:v>C06</x:v>
      </x:c>
      <x:c r="C1646" s="32" t="n">
        <x:v>29</x:v>
      </x:c>
      <x:c r="D1646" s="33" t="str">
        <x:v>{"Data":"ter., 29 de set. de 2026","Cliques":"0","Visualizações públicas do YouTube":"0","Shorts":"—","Custo":"R$ 0,00"}</x:v>
      </x:c>
    </x:row>
    <x:row r="1647" ht="24" customHeight="1">
      <x:c r="A1647" s="32" t="str">
        <x:v>F063</x:v>
      </x:c>
      <x:c r="B1647" s="32" t="str">
        <x:v>C06</x:v>
      </x:c>
      <x:c r="C1647" s="32" t="n">
        <x:v>30</x:v>
      </x:c>
      <x:c r="D1647" s="33" t="str">
        <x:v>{"Data":"qua., 30 de set. de 2026","Cliques":"0","Visualizações públicas do YouTube":"0","Shorts":"—","Custo":"R$ 0,00"}</x:v>
      </x:c>
    </x:row>
    <x:row r="1648" ht="24" customHeight="1">
      <x:c r="A1648" s="32" t="str">
        <x:v>F063</x:v>
      </x:c>
      <x:c r="B1648" s="32" t="str">
        <x:v>C06</x:v>
      </x:c>
      <x:c r="C1648" s="32" t="n">
        <x:v>31</x:v>
      </x:c>
      <x:c r="D1648" s="33" t="str">
        <x:v>{"Data":"qui., 1 de out. de 2026","Cliques":"0","Visualizações públicas do YouTube":"0","Shorts":"—","Custo":"R$ 0,00"}</x:v>
      </x:c>
    </x:row>
    <x:row r="1649" ht="24" customHeight="1">
      <x:c r="A1649" s="32" t="str">
        <x:v>F063</x:v>
      </x:c>
      <x:c r="B1649" s="32" t="str">
        <x:v>C06</x:v>
      </x:c>
      <x:c r="C1649" s="32" t="n">
        <x:v>32</x:v>
      </x:c>
      <x:c r="D1649" s="33" t="str">
        <x:v>{"Data":"sex., 2 de out. de 2026","Cliques":"0","Visualizações públicas do YouTube":"0","Shorts":"—","Custo":"R$ 0,00"}</x:v>
      </x:c>
    </x:row>
    <x:row r="1650" ht="24" customHeight="1">
      <x:c r="A1650" s="32" t="str">
        <x:v>F063</x:v>
      </x:c>
      <x:c r="B1650" s="32" t="str">
        <x:v>C06</x:v>
      </x:c>
      <x:c r="C1650" s="32" t="n">
        <x:v>33</x:v>
      </x:c>
      <x:c r="D1650" s="33" t="str">
        <x:v>{"Data":"sáb., 3 de out. de 2026","Cliques":"0","Visualizações públicas do YouTube":"0","Shorts":"—","Custo":"R$ 0,00"}</x:v>
      </x:c>
    </x:row>
    <x:row r="1651" ht="24" customHeight="1">
      <x:c r="A1651" s="32" t="str">
        <x:v>F063</x:v>
      </x:c>
      <x:c r="B1651" s="32" t="str">
        <x:v>C06</x:v>
      </x:c>
      <x:c r="C1651" s="32" t="n">
        <x:v>34</x:v>
      </x:c>
      <x:c r="D1651" s="33" t="str">
        <x:v>{"Data":"dom., 4 de out. de 2026","Cliques":"0","Visualizações públicas do YouTube":"0","Shorts":"—","Custo":"R$ 0,00"}</x:v>
      </x:c>
    </x:row>
    <x:row r="1652" ht="24" customHeight="1">
      <x:c r="A1652" s="32" t="str">
        <x:v>F063</x:v>
      </x:c>
      <x:c r="B1652" s="32" t="str">
        <x:v>C06</x:v>
      </x:c>
      <x:c r="C1652" s="32" t="n">
        <x:v>35</x:v>
      </x:c>
      <x:c r="D1652" s="33" t="str">
        <x:v>{"Data":"seg., 5 de out. de 2026","Cliques":"0","Visualizações públicas do YouTube":"0","Shorts":"—","Custo":"R$ 0,00"}</x:v>
      </x:c>
    </x:row>
    <x:row r="1653" ht="24" customHeight="1">
      <x:c r="A1653" s="32" t="str">
        <x:v>F063</x:v>
      </x:c>
      <x:c r="B1653" s="32" t="str">
        <x:v>C06</x:v>
      </x:c>
      <x:c r="C1653" s="32" t="n">
        <x:v>36</x:v>
      </x:c>
      <x:c r="D1653" s="33" t="str">
        <x:v>{"Data":"ter., 6 de out. de 2026","Cliques":"0","Visualizações públicas do YouTube":"0","Shorts":"—","Custo":"R$ 0,00"}</x:v>
      </x:c>
    </x:row>
    <x:row r="1654" ht="24" customHeight="1">
      <x:c r="A1654" s="32" t="str">
        <x:v>F063</x:v>
      </x:c>
      <x:c r="B1654" s="32" t="str">
        <x:v>C06</x:v>
      </x:c>
      <x:c r="C1654" s="32" t="n">
        <x:v>37</x:v>
      </x:c>
      <x:c r="D1654" s="33" t="str">
        <x:v>{"Data":"qua., 7 de out. de 2026","Cliques":"23","Visualizações públicas do YouTube":"738","Shorts":"0,00%","Custo":"R$ 15,04"}</x:v>
      </x:c>
    </x:row>
    <x:row r="1655" ht="24" customHeight="1">
      <x:c r="A1655" s="32" t="str">
        <x:v>F063</x:v>
      </x:c>
      <x:c r="B1655" s="32" t="str">
        <x:v>C06</x:v>
      </x:c>
      <x:c r="C1655" s="32" t="n">
        <x:v>38</x:v>
      </x:c>
      <x:c r="D1655" s="33" t="str">
        <x:v>{"Data":"qui., 8 de out. de 2026","Cliques":"10","Visualizações públicas do YouTube":"2.280","Shorts":"0,14%","Custo":"R$ 15,75"}</x:v>
      </x:c>
    </x:row>
    <x:row r="1656" ht="24" customHeight="1">
      <x:c r="A1656" s="32" t="str">
        <x:v>F063</x:v>
      </x:c>
      <x:c r="B1656" s="32" t="str">
        <x:v>C06</x:v>
      </x:c>
      <x:c r="C1656" s="32" t="n">
        <x:v>39</x:v>
      </x:c>
      <x:c r="D1656" s="33" t="str">
        <x:v>{"Data":"sex., 9 de out. de 2026","Cliques":"4","Visualizações públicas do YouTube":"4.073","Shorts":"0,92%","Custo":"R$ 15,83"}</x:v>
      </x:c>
    </x:row>
    <x:row r="1657" ht="24" customHeight="1">
      <x:c r="A1657" s="32" t="str">
        <x:v>F063</x:v>
      </x:c>
      <x:c r="B1657" s="32" t="str">
        <x:v>C06</x:v>
      </x:c>
      <x:c r="C1657" s="32" t="n">
        <x:v>40</x:v>
      </x:c>
      <x:c r="D1657" s="33" t="str">
        <x:v>{"Data":"sáb., 10 de out. de 2026","Cliques":"2","Visualizações públicas do YouTube":"3.132","Shorts":"0,00%","Custo":"R$ 15,70"}</x:v>
      </x:c>
    </x:row>
    <x:row r="1658" ht="24" customHeight="1">
      <x:c r="A1658" s="32" t="str">
        <x:v>F063</x:v>
      </x:c>
      <x:c r="B1658" s="32" t="str">
        <x:v>C06</x:v>
      </x:c>
      <x:c r="C1658" s="32" t="n">
        <x:v>41</x:v>
      </x:c>
      <x:c r="D1658" s="33" t="str">
        <x:v>{"Data":"dom., 11 de out. de 2026","Cliques":"7","Visualizações públicas do YouTube":"3.155","Shorts":"0,69%","Custo":"R$ 15,64"}</x:v>
      </x:c>
    </x:row>
    <x:row r="1659" ht="24" customHeight="1">
      <x:c r="A1659" s="32" t="str">
        <x:v>F063</x:v>
      </x:c>
      <x:c r="B1659" s="32" t="str">
        <x:v>C06</x:v>
      </x:c>
      <x:c r="C1659" s="32" t="n">
        <x:v>42</x:v>
      </x:c>
      <x:c r="D1659" s="33" t="str">
        <x:v>{"Data":"seg., 12 de out. de 2026","Cliques":"5","Visualizações públicas do YouTube":"3.456","Shorts":"0,77%","Custo":"R$ 15,71"}</x:v>
      </x:c>
    </x:row>
    <x:row r="1660" ht="24" customHeight="1">
      <x:c r="A1660" s="32" t="str">
        <x:v>F063</x:v>
      </x:c>
      <x:c r="B1660" s="32" t="str">
        <x:v>C06</x:v>
      </x:c>
      <x:c r="C1660" s="32" t="n">
        <x:v>43</x:v>
      </x:c>
      <x:c r="D1660" s="33" t="str">
        <x:v>{"Data":"ter., 13 de out. de 2026","Cliques":"12","Visualizações públicas do YouTube":"3.189","Shorts":"0,97%","Custo":"R$ 15,60"}</x:v>
      </x:c>
    </x:row>
    <x:row r="1661" ht="24" customHeight="1">
      <x:c r="A1661" s="32" t="str">
        <x:v>F063</x:v>
      </x:c>
      <x:c r="B1661" s="32" t="str">
        <x:v>C06</x:v>
      </x:c>
      <x:c r="C1661" s="32" t="n">
        <x:v>44</x:v>
      </x:c>
      <x:c r="D1661" s="33" t="str">
        <x:v>{"Data":"qua., 14 de out. de 2026","Cliques":"1","Visualizações públicas do YouTube":"590","Shorts":"0,00%","Custo":"R$ 3,15"}</x:v>
      </x:c>
    </x:row>
    <x:row r="1662" ht="24" customHeight="1">
      <x:c r="A1662" s="32" t="str">
        <x:v>F064</x:v>
      </x:c>
      <x:c r="B1662" s="32" t="str">
        <x:v>C06</x:v>
      </x:c>
      <x:c r="C1662" s="32" t="n">
        <x:v>1</x:v>
      </x:c>
      <x:c r="D1662" s="33" t="str">
        <x:v>{"Data":"ter., 1 de set. de 2026","Impr.":"0","Visualizações públicas do YouTube":"0","Custo":"R$ 0,00","Cliques":"0"}</x:v>
      </x:c>
    </x:row>
    <x:row r="1663" ht="24" customHeight="1">
      <x:c r="A1663" s="32" t="str">
        <x:v>F064</x:v>
      </x:c>
      <x:c r="B1663" s="32" t="str">
        <x:v>C06</x:v>
      </x:c>
      <x:c r="C1663" s="32" t="n">
        <x:v>2</x:v>
      </x:c>
      <x:c r="D1663" s="33" t="str">
        <x:v>{"Data":"qua., 2 de set. de 2026","Impr.":"0","Visualizações públicas do YouTube":"0","Custo":"R$ 0,00","Cliques":"0"}</x:v>
      </x:c>
    </x:row>
    <x:row r="1664" ht="24" customHeight="1">
      <x:c r="A1664" s="32" t="str">
        <x:v>F064</x:v>
      </x:c>
      <x:c r="B1664" s="32" t="str">
        <x:v>C06</x:v>
      </x:c>
      <x:c r="C1664" s="32" t="n">
        <x:v>3</x:v>
      </x:c>
      <x:c r="D1664" s="33" t="str">
        <x:v>{"Data":"qui., 3 de set. de 2026","Impr.":"0","Visualizações públicas do YouTube":"0","Custo":"R$ 0,00","Cliques":"0"}</x:v>
      </x:c>
    </x:row>
    <x:row r="1665" ht="24" customHeight="1">
      <x:c r="A1665" s="32" t="str">
        <x:v>F064</x:v>
      </x:c>
      <x:c r="B1665" s="32" t="str">
        <x:v>C06</x:v>
      </x:c>
      <x:c r="C1665" s="32" t="n">
        <x:v>4</x:v>
      </x:c>
      <x:c r="D1665" s="33" t="str">
        <x:v>{"Data":"sex., 4 de set. de 2026","Impr.":"0","Visualizações públicas do YouTube":"0","Custo":"R$ 0,00","Cliques":"0"}</x:v>
      </x:c>
    </x:row>
    <x:row r="1666" ht="24" customHeight="1">
      <x:c r="A1666" s="32" t="str">
        <x:v>F064</x:v>
      </x:c>
      <x:c r="B1666" s="32" t="str">
        <x:v>C06</x:v>
      </x:c>
      <x:c r="C1666" s="32" t="n">
        <x:v>5</x:v>
      </x:c>
      <x:c r="D1666" s="33" t="str">
        <x:v>{"Data":"sáb., 5 de set. de 2026","Impr.":"0","Visualizações públicas do YouTube":"0","Custo":"R$ 0,00","Cliques":"0"}</x:v>
      </x:c>
    </x:row>
    <x:row r="1667" ht="24" customHeight="1">
      <x:c r="A1667" s="32" t="str">
        <x:v>F064</x:v>
      </x:c>
      <x:c r="B1667" s="32" t="str">
        <x:v>C06</x:v>
      </x:c>
      <x:c r="C1667" s="32" t="n">
        <x:v>6</x:v>
      </x:c>
      <x:c r="D1667" s="33" t="str">
        <x:v>{"Data":"dom., 6 de set. de 2026","Impr.":"0","Visualizações públicas do YouTube":"0","Custo":"R$ 0,00","Cliques":"0"}</x:v>
      </x:c>
    </x:row>
    <x:row r="1668" ht="24" customHeight="1">
      <x:c r="A1668" s="32" t="str">
        <x:v>F064</x:v>
      </x:c>
      <x:c r="B1668" s="32" t="str">
        <x:v>C06</x:v>
      </x:c>
      <x:c r="C1668" s="32" t="n">
        <x:v>7</x:v>
      </x:c>
      <x:c r="D1668" s="33" t="str">
        <x:v>{"Data":"seg., 7 de set. de 2026","Impr.":"0","Visualizações públicas do YouTube":"0","Custo":"R$ 0,00","Cliques":"0"}</x:v>
      </x:c>
    </x:row>
    <x:row r="1669" ht="24" customHeight="1">
      <x:c r="A1669" s="32" t="str">
        <x:v>F064</x:v>
      </x:c>
      <x:c r="B1669" s="32" t="str">
        <x:v>C06</x:v>
      </x:c>
      <x:c r="C1669" s="32" t="n">
        <x:v>8</x:v>
      </x:c>
      <x:c r="D1669" s="33" t="str">
        <x:v>{"Data":"ter., 8 de set. de 2026","Impr.":"0","Visualizações públicas do YouTube":"0","Custo":"R$ 0,00","Cliques":"0"}</x:v>
      </x:c>
    </x:row>
    <x:row r="1670" ht="24" customHeight="1">
      <x:c r="A1670" s="32" t="str">
        <x:v>F064</x:v>
      </x:c>
      <x:c r="B1670" s="32" t="str">
        <x:v>C06</x:v>
      </x:c>
      <x:c r="C1670" s="32" t="n">
        <x:v>9</x:v>
      </x:c>
      <x:c r="D1670" s="33" t="str">
        <x:v>{"Data":"qua., 9 de set. de 2026","Impr.":"0","Visualizações públicas do YouTube":"0","Custo":"R$ 0,00","Cliques":"0"}</x:v>
      </x:c>
    </x:row>
    <x:row r="1671" ht="24" customHeight="1">
      <x:c r="A1671" s="32" t="str">
        <x:v>F064</x:v>
      </x:c>
      <x:c r="B1671" s="32" t="str">
        <x:v>C06</x:v>
      </x:c>
      <x:c r="C1671" s="32" t="n">
        <x:v>10</x:v>
      </x:c>
      <x:c r="D1671" s="33" t="str">
        <x:v>{"Data":"qui., 10 de set. de 2026","Impr.":"0","Visualizações públicas do YouTube":"0","Custo":"R$ 0,00","Cliques":"0"}</x:v>
      </x:c>
    </x:row>
    <x:row r="1672" ht="24" customHeight="1">
      <x:c r="A1672" s="32" t="str">
        <x:v>F064</x:v>
      </x:c>
      <x:c r="B1672" s="32" t="str">
        <x:v>C06</x:v>
      </x:c>
      <x:c r="C1672" s="32" t="n">
        <x:v>11</x:v>
      </x:c>
      <x:c r="D1672" s="33" t="str">
        <x:v>{"Data":"sex., 11 de set. de 2026","Impr.":"0","Visualizações públicas do YouTube":"0","Custo":"R$ 0,00","Cliques":"0"}</x:v>
      </x:c>
    </x:row>
    <x:row r="1673" ht="24" customHeight="1">
      <x:c r="A1673" s="32" t="str">
        <x:v>F064</x:v>
      </x:c>
      <x:c r="B1673" s="32" t="str">
        <x:v>C06</x:v>
      </x:c>
      <x:c r="C1673" s="32" t="n">
        <x:v>12</x:v>
      </x:c>
      <x:c r="D1673" s="33" t="str">
        <x:v>{"Data":"sáb., 12 de set. de 2026","Impr.":"0","Visualizações públicas do YouTube":"0","Custo":"R$ 0,00","Cliques":"0"}</x:v>
      </x:c>
    </x:row>
    <x:row r="1674" ht="24" customHeight="1">
      <x:c r="A1674" s="32" t="str">
        <x:v>F064</x:v>
      </x:c>
      <x:c r="B1674" s="32" t="str">
        <x:v>C06</x:v>
      </x:c>
      <x:c r="C1674" s="32" t="n">
        <x:v>13</x:v>
      </x:c>
      <x:c r="D1674" s="33" t="str">
        <x:v>{"Data":"dom., 13 de set. de 2026","Impr.":"0","Visualizações públicas do YouTube":"0","Custo":"R$ 0,00","Cliques":"0"}</x:v>
      </x:c>
    </x:row>
    <x:row r="1675" ht="24" customHeight="1">
      <x:c r="A1675" s="32" t="str">
        <x:v>F064</x:v>
      </x:c>
      <x:c r="B1675" s="32" t="str">
        <x:v>C06</x:v>
      </x:c>
      <x:c r="C1675" s="32" t="n">
        <x:v>14</x:v>
      </x:c>
      <x:c r="D1675" s="33" t="str">
        <x:v>{"Data":"seg., 14 de set. de 2026","Impr.":"0","Visualizações públicas do YouTube":"0","Custo":"R$ 0,00","Cliques":"0"}</x:v>
      </x:c>
    </x:row>
    <x:row r="1676" ht="24" customHeight="1">
      <x:c r="A1676" s="32" t="str">
        <x:v>F064</x:v>
      </x:c>
      <x:c r="B1676" s="32" t="str">
        <x:v>C06</x:v>
      </x:c>
      <x:c r="C1676" s="32" t="n">
        <x:v>15</x:v>
      </x:c>
      <x:c r="D1676" s="33" t="str">
        <x:v>{"Data":"ter., 15 de set. de 2026","Impr.":"0","Visualizações públicas do YouTube":"0","Custo":"R$ 0,00","Cliques":"0"}</x:v>
      </x:c>
    </x:row>
    <x:row r="1677" ht="24" customHeight="1">
      <x:c r="A1677" s="32" t="str">
        <x:v>F064</x:v>
      </x:c>
      <x:c r="B1677" s="32" t="str">
        <x:v>C06</x:v>
      </x:c>
      <x:c r="C1677" s="32" t="n">
        <x:v>16</x:v>
      </x:c>
      <x:c r="D1677" s="33" t="str">
        <x:v>{"Data":"qua., 16 de set. de 2026","Impr.":"0","Visualizações públicas do YouTube":"0","Custo":"R$ 0,00","Cliques":"0"}</x:v>
      </x:c>
    </x:row>
    <x:row r="1678" ht="24" customHeight="1">
      <x:c r="A1678" s="32" t="str">
        <x:v>F064</x:v>
      </x:c>
      <x:c r="B1678" s="32" t="str">
        <x:v>C06</x:v>
      </x:c>
      <x:c r="C1678" s="32" t="n">
        <x:v>17</x:v>
      </x:c>
      <x:c r="D1678" s="33" t="str">
        <x:v>{"Data":"qui., 17 de set. de 2026","Impr.":"0","Visualizações públicas do YouTube":"0","Custo":"R$ 0,00","Cliques":"0"}</x:v>
      </x:c>
    </x:row>
    <x:row r="1679" ht="24" customHeight="1">
      <x:c r="A1679" s="32" t="str">
        <x:v>F064</x:v>
      </x:c>
      <x:c r="B1679" s="32" t="str">
        <x:v>C06</x:v>
      </x:c>
      <x:c r="C1679" s="32" t="n">
        <x:v>18</x:v>
      </x:c>
      <x:c r="D1679" s="33" t="str">
        <x:v>{"Data":"sex., 18 de set. de 2026","Impr.":"0","Visualizações públicas do YouTube":"0","Custo":"R$ 0,00","Cliques":"0"}</x:v>
      </x:c>
    </x:row>
    <x:row r="1680" ht="24" customHeight="1">
      <x:c r="A1680" s="32" t="str">
        <x:v>F064</x:v>
      </x:c>
      <x:c r="B1680" s="32" t="str">
        <x:v>C06</x:v>
      </x:c>
      <x:c r="C1680" s="32" t="n">
        <x:v>19</x:v>
      </x:c>
      <x:c r="D1680" s="33" t="str">
        <x:v>{"Data":"sáb., 19 de set. de 2026","Impr.":"0","Visualizações públicas do YouTube":"0","Custo":"R$ 0,00","Cliques":"0"}</x:v>
      </x:c>
    </x:row>
    <x:row r="1681" ht="24" customHeight="1">
      <x:c r="A1681" s="32" t="str">
        <x:v>F064</x:v>
      </x:c>
      <x:c r="B1681" s="32" t="str">
        <x:v>C06</x:v>
      </x:c>
      <x:c r="C1681" s="32" t="n">
        <x:v>20</x:v>
      </x:c>
      <x:c r="D1681" s="33" t="str">
        <x:v>{"Data":"dom., 20 de set. de 2026","Impr.":"0","Visualizações públicas do YouTube":"0","Custo":"R$ 0,00","Cliques":"0"}</x:v>
      </x:c>
    </x:row>
    <x:row r="1682" ht="24" customHeight="1">
      <x:c r="A1682" s="32" t="str">
        <x:v>F064</x:v>
      </x:c>
      <x:c r="B1682" s="32" t="str">
        <x:v>C06</x:v>
      </x:c>
      <x:c r="C1682" s="32" t="n">
        <x:v>21</x:v>
      </x:c>
      <x:c r="D1682" s="33" t="str">
        <x:v>{"Data":"seg., 21 de set. de 2026","Impr.":"0","Visualizações públicas do YouTube":"0","Custo":"R$ 0,00","Cliques":"0"}</x:v>
      </x:c>
    </x:row>
    <x:row r="1683" ht="24" customHeight="1">
      <x:c r="A1683" s="32" t="str">
        <x:v>F064</x:v>
      </x:c>
      <x:c r="B1683" s="32" t="str">
        <x:v>C06</x:v>
      </x:c>
      <x:c r="C1683" s="32" t="n">
        <x:v>22</x:v>
      </x:c>
      <x:c r="D1683" s="33" t="str">
        <x:v>{"Data":"ter., 22 de set. de 2026","Impr.":"0","Visualizações públicas do YouTube":"0","Custo":"R$ 0,00","Cliques":"0"}</x:v>
      </x:c>
    </x:row>
    <x:row r="1684" ht="24" customHeight="1">
      <x:c r="A1684" s="32" t="str">
        <x:v>F064</x:v>
      </x:c>
      <x:c r="B1684" s="32" t="str">
        <x:v>C06</x:v>
      </x:c>
      <x:c r="C1684" s="32" t="n">
        <x:v>23</x:v>
      </x:c>
      <x:c r="D1684" s="33" t="str">
        <x:v>{"Data":"qua., 23 de set. de 2026","Impr.":"0","Visualizações públicas do YouTube":"0","Custo":"R$ 0,00","Cliques":"0"}</x:v>
      </x:c>
    </x:row>
    <x:row r="1685" ht="24" customHeight="1">
      <x:c r="A1685" s="32" t="str">
        <x:v>F064</x:v>
      </x:c>
      <x:c r="B1685" s="32" t="str">
        <x:v>C06</x:v>
      </x:c>
      <x:c r="C1685" s="32" t="n">
        <x:v>24</x:v>
      </x:c>
      <x:c r="D1685" s="33" t="str">
        <x:v>{"Data":"qui., 24 de set. de 2026","Impr.":"0","Visualizações públicas do YouTube":"0","Custo":"R$ 0,00","Cliques":"0"}</x:v>
      </x:c>
    </x:row>
    <x:row r="1686" ht="24" customHeight="1">
      <x:c r="A1686" s="32" t="str">
        <x:v>F064</x:v>
      </x:c>
      <x:c r="B1686" s="32" t="str">
        <x:v>C06</x:v>
      </x:c>
      <x:c r="C1686" s="32" t="n">
        <x:v>25</x:v>
      </x:c>
      <x:c r="D1686" s="33" t="str">
        <x:v>{"Data":"sex., 25 de set. de 2026","Impr.":"0","Visualizações públicas do YouTube":"0","Custo":"R$ 0,00","Cliques":"0"}</x:v>
      </x:c>
    </x:row>
    <x:row r="1687" ht="24" customHeight="1">
      <x:c r="A1687" s="32" t="str">
        <x:v>F064</x:v>
      </x:c>
      <x:c r="B1687" s="32" t="str">
        <x:v>C06</x:v>
      </x:c>
      <x:c r="C1687" s="32" t="n">
        <x:v>26</x:v>
      </x:c>
      <x:c r="D1687" s="33" t="str">
        <x:v>{"Data":"sáb., 26 de set. de 2026","Impr.":"0","Visualizações públicas do YouTube":"0","Custo":"R$ 0,00","Cliques":"0"}</x:v>
      </x:c>
    </x:row>
    <x:row r="1688" ht="24" customHeight="1">
      <x:c r="A1688" s="32" t="str">
        <x:v>F064</x:v>
      </x:c>
      <x:c r="B1688" s="32" t="str">
        <x:v>C06</x:v>
      </x:c>
      <x:c r="C1688" s="32" t="n">
        <x:v>27</x:v>
      </x:c>
      <x:c r="D1688" s="33" t="str">
        <x:v>{"Data":"dom., 27 de set. de 2026","Impr.":"0","Visualizações públicas do YouTube":"0","Custo":"R$ 0,00","Cliques":"0"}</x:v>
      </x:c>
    </x:row>
    <x:row r="1689" ht="24" customHeight="1">
      <x:c r="A1689" s="32" t="str">
        <x:v>F064</x:v>
      </x:c>
      <x:c r="B1689" s="32" t="str">
        <x:v>C06</x:v>
      </x:c>
      <x:c r="C1689" s="32" t="n">
        <x:v>28</x:v>
      </x:c>
      <x:c r="D1689" s="33" t="str">
        <x:v>{"Data":"seg., 28 de set. de 2026","Impr.":"0","Visualizações públicas do YouTube":"0","Custo":"R$ 0,00","Cliques":"0"}</x:v>
      </x:c>
    </x:row>
    <x:row r="1690" ht="24" customHeight="1">
      <x:c r="A1690" s="32" t="str">
        <x:v>F064</x:v>
      </x:c>
      <x:c r="B1690" s="32" t="str">
        <x:v>C06</x:v>
      </x:c>
      <x:c r="C1690" s="32" t="n">
        <x:v>29</x:v>
      </x:c>
      <x:c r="D1690" s="33" t="str">
        <x:v>{"Data":"ter., 29 de set. de 2026","Impr.":"0","Visualizações públicas do YouTube":"0","Custo":"R$ 0,00","Cliques":"0"}</x:v>
      </x:c>
    </x:row>
    <x:row r="1691" ht="24" customHeight="1">
      <x:c r="A1691" s="32" t="str">
        <x:v>F064</x:v>
      </x:c>
      <x:c r="B1691" s="32" t="str">
        <x:v>C06</x:v>
      </x:c>
      <x:c r="C1691" s="32" t="n">
        <x:v>30</x:v>
      </x:c>
      <x:c r="D1691" s="33" t="str">
        <x:v>{"Data":"qua., 30 de set. de 2026","Impr.":"0","Visualizações públicas do YouTube":"0","Custo":"R$ 0,00","Cliques":"0"}</x:v>
      </x:c>
    </x:row>
    <x:row r="1692" ht="24" customHeight="1">
      <x:c r="A1692" s="32" t="str">
        <x:v>F064</x:v>
      </x:c>
      <x:c r="B1692" s="32" t="str">
        <x:v>C06</x:v>
      </x:c>
      <x:c r="C1692" s="32" t="n">
        <x:v>31</x:v>
      </x:c>
      <x:c r="D1692" s="33" t="str">
        <x:v>{"Data":"qui., 1 de out. de 2026","Impr.":"0","Visualizações públicas do YouTube":"0","Custo":"R$ 0,00","Cliques":"0"}</x:v>
      </x:c>
    </x:row>
    <x:row r="1693" ht="24" customHeight="1">
      <x:c r="A1693" s="32" t="str">
        <x:v>F064</x:v>
      </x:c>
      <x:c r="B1693" s="32" t="str">
        <x:v>C06</x:v>
      </x:c>
      <x:c r="C1693" s="32" t="n">
        <x:v>32</x:v>
      </x:c>
      <x:c r="D1693" s="33" t="str">
        <x:v>{"Data":"sex., 2 de out. de 2026","Impr.":"0","Visualizações públicas do YouTube":"0","Custo":"R$ 0,00","Cliques":"0"}</x:v>
      </x:c>
    </x:row>
    <x:row r="1694" ht="24" customHeight="1">
      <x:c r="A1694" s="32" t="str">
        <x:v>F064</x:v>
      </x:c>
      <x:c r="B1694" s="32" t="str">
        <x:v>C06</x:v>
      </x:c>
      <x:c r="C1694" s="32" t="n">
        <x:v>33</x:v>
      </x:c>
      <x:c r="D1694" s="33" t="str">
        <x:v>{"Data":"sáb., 3 de out. de 2026","Impr.":"0","Visualizações públicas do YouTube":"0","Custo":"R$ 0,00","Cliques":"0"}</x:v>
      </x:c>
    </x:row>
    <x:row r="1695" ht="24" customHeight="1">
      <x:c r="A1695" s="32" t="str">
        <x:v>F064</x:v>
      </x:c>
      <x:c r="B1695" s="32" t="str">
        <x:v>C06</x:v>
      </x:c>
      <x:c r="C1695" s="32" t="n">
        <x:v>34</x:v>
      </x:c>
      <x:c r="D1695" s="33" t="str">
        <x:v>{"Data":"dom., 4 de out. de 2026","Impr.":"0","Visualizações públicas do YouTube":"0","Custo":"R$ 0,00","Cliques":"0"}</x:v>
      </x:c>
    </x:row>
    <x:row r="1696" ht="24" customHeight="1">
      <x:c r="A1696" s="32" t="str">
        <x:v>F064</x:v>
      </x:c>
      <x:c r="B1696" s="32" t="str">
        <x:v>C06</x:v>
      </x:c>
      <x:c r="C1696" s="32" t="n">
        <x:v>35</x:v>
      </x:c>
      <x:c r="D1696" s="33" t="str">
        <x:v>{"Data":"seg., 5 de out. de 2026","Impr.":"0","Visualizações públicas do YouTube":"0","Custo":"R$ 0,00","Cliques":"0"}</x:v>
      </x:c>
    </x:row>
    <x:row r="1697" ht="24" customHeight="1">
      <x:c r="A1697" s="32" t="str">
        <x:v>F064</x:v>
      </x:c>
      <x:c r="B1697" s="32" t="str">
        <x:v>C06</x:v>
      </x:c>
      <x:c r="C1697" s="32" t="n">
        <x:v>36</x:v>
      </x:c>
      <x:c r="D1697" s="33" t="str">
        <x:v>{"Data":"ter., 6 de out. de 2026","Impr.":"0","Visualizações públicas do YouTube":"0","Custo":"R$ 0,00","Cliques":"0"}</x:v>
      </x:c>
    </x:row>
    <x:row r="1698" ht="24" customHeight="1">
      <x:c r="A1698" s="32" t="str">
        <x:v>F064</x:v>
      </x:c>
      <x:c r="B1698" s="32" t="str">
        <x:v>C06</x:v>
      </x:c>
      <x:c r="C1698" s="32" t="n">
        <x:v>37</x:v>
      </x:c>
      <x:c r="D1698" s="33" t="str">
        <x:v>{"Data":"qua., 7 de out. de 2026","Impr.":"4.219","Visualizações públicas do YouTube":"738","Custo":"R$ 15,04","Cliques":"23"}</x:v>
      </x:c>
    </x:row>
    <x:row r="1699" ht="24" customHeight="1">
      <x:c r="A1699" s="32" t="str">
        <x:v>F064</x:v>
      </x:c>
      <x:c r="B1699" s="32" t="str">
        <x:v>C06</x:v>
      </x:c>
      <x:c r="C1699" s="32" t="n">
        <x:v>38</x:v>
      </x:c>
      <x:c r="D1699" s="33" t="str">
        <x:v>{"Data":"qui., 8 de out. de 2026","Impr.":"6.322","Visualizações públicas do YouTube":"2.280","Custo":"R$ 15,75","Cliques":"10"}</x:v>
      </x:c>
    </x:row>
    <x:row r="1700" ht="24" customHeight="1">
      <x:c r="A1700" s="32" t="str">
        <x:v>F064</x:v>
      </x:c>
      <x:c r="B1700" s="32" t="str">
        <x:v>C06</x:v>
      </x:c>
      <x:c r="C1700" s="32" t="n">
        <x:v>39</x:v>
      </x:c>
      <x:c r="D1700" s="33" t="str">
        <x:v>{"Data":"sex., 9 de out. de 2026","Impr.":"5.937","Visualizações públicas do YouTube":"4.073","Custo":"R$ 15,83","Cliques":"4"}</x:v>
      </x:c>
    </x:row>
    <x:row r="1701" ht="24" customHeight="1">
      <x:c r="A1701" s="32" t="str">
        <x:v>F064</x:v>
      </x:c>
      <x:c r="B1701" s="32" t="str">
        <x:v>C06</x:v>
      </x:c>
      <x:c r="C1701" s="32" t="n">
        <x:v>40</x:v>
      </x:c>
      <x:c r="D1701" s="33" t="str">
        <x:v>{"Data":"sáb., 10 de out. de 2026","Impr.":"6.523","Visualizações públicas do YouTube":"3.132","Custo":"R$ 15,70","Cliques":"2"}</x:v>
      </x:c>
    </x:row>
    <x:row r="1702" ht="24" customHeight="1">
      <x:c r="A1702" s="32" t="str">
        <x:v>F064</x:v>
      </x:c>
      <x:c r="B1702" s="32" t="str">
        <x:v>C06</x:v>
      </x:c>
      <x:c r="C1702" s="32" t="n">
        <x:v>41</x:v>
      </x:c>
      <x:c r="D1702" s="33" t="str">
        <x:v>{"Data":"dom., 11 de out. de 2026","Impr.":"6.339","Visualizações públicas do YouTube":"3.155","Custo":"R$ 15,64","Cliques":"7"}</x:v>
      </x:c>
    </x:row>
    <x:row r="1703" ht="24" customHeight="1">
      <x:c r="A1703" s="32" t="str">
        <x:v>F064</x:v>
      </x:c>
      <x:c r="B1703" s="32" t="str">
        <x:v>C06</x:v>
      </x:c>
      <x:c r="C1703" s="32" t="n">
        <x:v>42</x:v>
      </x:c>
      <x:c r="D1703" s="33" t="str">
        <x:v>{"Data":"seg., 12 de out. de 2026","Impr.":"6.636","Visualizações públicas do YouTube":"3.456","Custo":"R$ 15,71","Cliques":"5"}</x:v>
      </x:c>
    </x:row>
    <x:row r="1704" ht="24" customHeight="1">
      <x:c r="A1704" s="32" t="str">
        <x:v>F064</x:v>
      </x:c>
      <x:c r="B1704" s="32" t="str">
        <x:v>C06</x:v>
      </x:c>
      <x:c r="C1704" s="32" t="n">
        <x:v>43</x:v>
      </x:c>
      <x:c r="D1704" s="33" t="str">
        <x:v>{"Data":"ter., 13 de out. de 2026","Impr.":"6.538","Visualizações públicas do YouTube":"3.189","Custo":"R$ 15,60","Cliques":"12"}</x:v>
      </x:c>
    </x:row>
    <x:row r="1705" ht="24" customHeight="1">
      <x:c r="A1705" s="32" t="str">
        <x:v>F064</x:v>
      </x:c>
      <x:c r="B1705" s="32" t="str">
        <x:v>C06</x:v>
      </x:c>
      <x:c r="C1705" s="32" t="n">
        <x:v>44</x:v>
      </x:c>
      <x:c r="D1705" s="33" t="str">
        <x:v>{"Data":"qua., 14 de out. de 2026","Impr.":"1.459","Visualizações públicas do YouTube":"587","Custo":"R$ 3,15","Cliques":"1"}</x:v>
      </x:c>
    </x:row>
    <x:row r="1706" ht="159" customHeight="1">
      <x:c r="A1706" s="32" t="str">
        <x:v>F065</x:v>
      </x:c>
      <x:c r="B1706" s="32" t="str">
        <x:v>C06</x:v>
      </x:c>
      <x:c r="C1706" s="32" t="n">
        <x:v>1</x:v>
      </x:c>
      <x:c r="D1706" s="33" t="str">
        <x:v>{"Status do anúncio":"Ativado","URL final":"https://www.cooperja.com.br/cacarola","URLs de beacon":" --","Título":" --","Título longo 1":"Nunca passou pela minha cabeça abandonar essa cultura","Título longo 2":" --","Título longo 3":" --","Título longo 4":" --","Título longo 5":" --","Título 1":" --","Título 2":" --","Título 3":" --","Título 4":" --","Título 5":" --","Descrição 1":"Amor Cultivado","Descrição 2":" --","Descrição 3":" --","Descrição 4":" --","Descrição 5":" --","Código do logotipo":"397701685159","Nome da empresa":"Alimentos Caçarola","Texto de call-to-action":" --","Texto de call-to-action 1":" --","Texto de call-to-action 2":" --","Texto de call-to-action 3":" --","Texto de call-to-action 4":" --","Texto de call-to-action 5":" --","Título da call-to-action":" --","ID do vídeo":"428212195513","Banner complementar":" --","Nome do anúncio":"VT 02 - Nunca passou pela minha cabeça abandonar essa cultura | Amor Cultivado","ad.display_url":" --","Caminho 1":" --","Caminho 2":" --","URL final para dispositivos móveis":"","Modelo de rastreamento":" --","Sufixo do URL final":" --","Parâmetro personalizado":"","Grupo de anúncios":"Vídeo - Alcance eficiente - 07/10 = Região SC","Status":"Qualificado","Motivos do status":"","Tipo de anúncio":"Anúncio responsivo em vídeo","Impr.":"43.982","Visualizações do TrueView":"127","Código da moeda":"BRL","CPM médio":"2,56","Custo":"112,45","Vídeo":"https://www.youtube.com/watch?v=-Ih9_RU8Ndk","Taxa de conv.":"0,00%","Conversões":"0,00","Custo / conv.":"0,00"}</x:v>
      </x:c>
    </x:row>
    <x:row r="1707" ht="144" customHeight="1">
      <x:c r="A1707" s="32" t="str">
        <x:v>F065</x:v>
      </x:c>
      <x:c r="B1707" s="32" t="str">
        <x:v>C06</x:v>
      </x:c>
      <x:c r="C1707" s="32" t="n">
        <x:v>2</x:v>
      </x:c>
      <x:c r="D1707" s="33" t="str">
        <x:v>{"Status do anúncio":"Total: Todos os anúncios, exceto os removidos","URL final":"","URLs de beacon":" --","Título":" --","Título longo 1":" --","Título longo 2":" --","Título longo 3":" --","Título longo 4":" --","Título longo 5":" --","Título 1":" --","Título 2":" --","Título 3":" --","Título 4":" --","Título 5":" --","Descrição 1":" --","Descrição 2":" --","Descrição 3":" --","Descrição 4":" --","Descrição 5":" --","Código do logotipo":" --","Nome da empresa":" --","Texto de call-to-action":" --","Texto de call-to-action 1":" --","Texto de call-to-action 2":" --","Texto de call-to-action 3":" --","Texto de call-to-action 4":" --","Texto de call-to-action 5":" --","Título da call-to-action":" --","ID do vídeo":" --","Banner complementar":" --","Nome do anúncio":" --","ad.display_url":" --","Caminho 1":" --","Caminho 2":" --","URL final para dispositivos móveis":"","Modelo de rastreamento":" --","Sufixo do URL final":" --","Parâmetro personalizado":" --","Grupo de anúncios":" --","Status":" --","Motivos do status":"","Tipo de anúncio":" --","Impr.":"43.982","Visualizações do TrueView":"127","Código da moeda":"BRL","CPM médio":"2,56","Custo":"112,45","Vídeo":" --","Taxa de conv.":"0,00%","Conversões":"0,00","Custo / conv.":"0,00"}</x:v>
      </x:c>
    </x:row>
    <x:row r="1708" ht="129" customHeight="1">
      <x:c r="A1708" s="32" t="str">
        <x:v>F065</x:v>
      </x:c>
      <x:c r="B1708" s="32" t="str">
        <x:v>C06</x:v>
      </x:c>
      <x:c r="C1708" s="32" t="n">
        <x:v>3</x:v>
      </x:c>
      <x:c r="D1708" s="33" t="str">
        <x:v>{"Status do anúncio":"Total: Campanha","URL final":"","URLs de beacon":"","Título":"","Título longo 1":"","Título longo 2":"","Título longo 3":"","Título longo 4":"","Título longo 5":"","Título 1":"","Título 2":"","Título 3":"","Título 4":"","Título 5":"","Descrição 1":"","Descrição 2":"","Descrição 3":"","Descrição 4":"","Descrição 5":"","Código do logotipo":"","Nome da empresa":"","Texto de call-to-action":"","Texto de call-to-action 1":"","Texto de call-to-action 2":"","Texto de call-to-action 3":"","Texto de call-to-action 4":"","Texto de call-to-action 5":"","Título da call-to-action":"","ID do vídeo":"","Banner complementar":"","Nome do anúncio":"","ad.display_url":"","Caminho 1":"","Caminho 2":"","URL final para dispositivos móveis":"","Modelo de rastreamento":"","Sufixo do URL final":"","Parâmetro personalizado":"","Grupo de anúncios":"","Status":"","Motivos do status":"","Tipo de anúncio":"","Impr.":"43.982","Visualizações do TrueView":"127","Código da moeda":"BRL","CPM médio":"2,56","Custo":"112,45","Vídeo":"","Taxa de conv.":"0,00%","Conversões":"0,00","Custo / conv.":"0,00"}</x:v>
      </x:c>
    </x:row>
    <x:row r="1709" ht="69" customHeight="1">
      <x:c r="A1709" s="32" t="str">
        <x:v>F066</x:v>
      </x:c>
      <x:c r="B1709" s="32" t="str">
        <x:v>C06</x:v>
      </x:c>
      <x:c r="C1709" s="32" t="n">
        <x:v>1</x:v>
      </x:c>
      <x:c r="D1709" s="33" t="str">
        <x:v>{"Status da campanha":"Ativada","Campanha":"[TRON] - YouTube 02 -  VT 5 Seg - {Reg SC} - 07/10","Orçamento":"15,00","Nome do orçamento":" --","Tipo de orçamento":"Diário","Código da moeda":"BRL","Status":"Qualificado (limitado)","Motivos do status":"limitado pelo orçamento","Pontuação de otimização":"75,72","Subtipo da campanha":"Alcance eficiente","Tipo de campanha":"Vídeo","Usuários exclusivos":"37.469","Impr.":"43.974","Visualizações do TrueView":"127","CPM médio":"2,56","CPV médio do TrueView":"0,36","Custo":"112,43","Marcações com \"Gostei\"":"0","Comentários":"0","Shares":"0"}</x:v>
      </x:c>
    </x:row>
    <x:row r="1710" ht="69" customHeight="1">
      <x:c r="A1710" s="32" t="str">
        <x:v>F066</x:v>
      </x:c>
      <x:c r="B1710" s="32" t="str">
        <x:v>C06</x:v>
      </x:c>
      <x:c r="C1710" s="32" t="n">
        <x:v>2</x:v>
      </x:c>
      <x:c r="D1710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exclusivos":"37.469","Impr.":"43.974","Visualizações do TrueView":"127","CPM médio":"2,56","CPV médio do TrueView":"0,36","Custo":"112,43","Marcações com \"Gostei\"":"0","Comentários":"0","Shares":"0"}</x:v>
      </x:c>
    </x:row>
    <x:row r="1711" ht="54" customHeight="1">
      <x:c r="A1711" s="32" t="str">
        <x:v>F066</x:v>
      </x:c>
      <x:c r="B1711" s="32" t="str">
        <x:v>C06</x:v>
      </x:c>
      <x:c r="C1711" s="32" t="n">
        <x:v>3</x:v>
      </x:c>
      <x:c r="D1711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exclusivos":"37.469","Impr.":"43.974","Visualizações do TrueView":"127","CPM médio":"2,56","CPV médio do TrueView":"0,36","Custo":"112,43","Marcações com \"Gostei\"":"0","Comentários":"0","Shares":"0"}</x:v>
      </x:c>
    </x:row>
    <x:row r="1712" ht="54" customHeight="1">
      <x:c r="A1712" s="32" t="str">
        <x:v>F067</x:v>
      </x:c>
      <x:c r="B1712" s="32" t="str">
        <x:v>C06</x:v>
      </x:c>
      <x:c r="C1712" s="32" t="n">
        <x:v>1</x:v>
      </x:c>
      <x:c r="D1712" s="33" t="str">
        <x:v>{"Dispositivo":"Smartphones","Nível":"Campanha","Campanha":"[TRON] - YouTube 02 -  VT 5 Seg - {Reg SC} - 07/10","Grupo de anúncios":" --","Ajuste de lance":" --","Aj. de lance do grupo de anúncios":"Nenhum","Impr.":"21.106","Visualizações do TrueView":"7","Taxa de visualização do TrueView":"0,04%","Código da moeda":"BRL","CPM médio":"2,21","Custo":"46,70","Taxa de conv.":"0,00%","Conversões":"0,00","Custo / conv.":"0,00"}</x:v>
      </x:c>
    </x:row>
    <x:row r="1713" ht="54" customHeight="1">
      <x:c r="A1713" s="32" t="str">
        <x:v>F067</x:v>
      </x:c>
      <x:c r="B1713" s="32" t="str">
        <x:v>C06</x:v>
      </x:c>
      <x:c r="C1713" s="32" t="n">
        <x:v>2</x:v>
      </x:c>
      <x:c r="D1713" s="33" t="str">
        <x:v>{"Dispositivo":"Computadores","Nível":"Campanha","Campanha":"[TRON] - YouTube 02 -  VT 5 Seg - {Reg SC} - 07/10","Grupo de anúncios":" --","Ajuste de lance":" --","Aj. de lance do grupo de anúncios":"Nenhum","Impr.":"2.393","Visualizações do TrueView":"14","Taxa de visualização do TrueView":"1,24%","Código da moeda":"BRL","CPM médio":"2,39","Custo":"5,71","Taxa de conv.":"0,00%","Conversões":"0,00","Custo / conv.":"0,00"}</x:v>
      </x:c>
    </x:row>
    <x:row r="1714" ht="54" customHeight="1">
      <x:c r="A1714" s="32" t="str">
        <x:v>F067</x:v>
      </x:c>
      <x:c r="B1714" s="32" t="str">
        <x:v>C06</x:v>
      </x:c>
      <x:c r="C1714" s="32" t="n">
        <x:v>3</x:v>
      </x:c>
      <x:c r="D1714" s="33" t="str">
        <x:v>{"Dispositivo":"Telas de TV","Nível":"Campanha","Campanha":"[TRON] - YouTube 02 -  VT 5 Seg - {Reg SC} - 07/10","Grupo de anúncios":" --","Ajuste de lance":" --","Aj. de lance do grupo de anúncios":"Nenhum","Impr.":"19.339","Visualizações do TrueView":"105","Taxa de visualização do TrueView":"3,70%","Código da moeda":"BRL","CPM médio":"2,99","Custo":"57,87","Taxa de conv.":"0,00%","Conversões":"0,00","Custo / conv.":"0,00"}</x:v>
      </x:c>
    </x:row>
    <x:row r="1715" ht="54" customHeight="1">
      <x:c r="A1715" s="32" t="str">
        <x:v>F067</x:v>
      </x:c>
      <x:c r="B1715" s="32" t="str">
        <x:v>C06</x:v>
      </x:c>
      <x:c r="C1715" s="32" t="n">
        <x:v>4</x:v>
      </x:c>
      <x:c r="D1715" s="33" t="str">
        <x:v>{"Dispositivo":"Tablets","Nível":"Campanha","Campanha":"[TRON] - YouTube 02 -  VT 5 Seg - {Reg SC} - 07/10","Grupo de anúncios":" --","Ajuste de lance":" --","Aj. de lance do grupo de anúncios":"Nenhum","Impr.":"1.135","Visualizações do TrueView":"1","Taxa de visualização do TrueView":"0,13%","Código da moeda":"BRL","CPM médio":"1,89","Custo":"2,15","Taxa de conv.":"0,00%","Conversões":"0,00","Custo / conv.":"0,00"}</x:v>
      </x:c>
    </x:row>
    <x:row r="1716" ht="54" customHeight="1">
      <x:c r="A1716" s="32" t="str">
        <x:v>F067</x:v>
      </x:c>
      <x:c r="B1716" s="32" t="str">
        <x:v>C06</x:v>
      </x:c>
      <x:c r="C1716" s="32" t="n">
        <x:v>5</x:v>
      </x:c>
      <x:c r="D1716" s="33" t="str">
        <x:v>{"Dispositivo":"Total: Campanha","Nível":"","Campanha":"","Grupo de anúncios":"","Ajuste de lance":"","Aj. de lance do grupo de anúncios":"","Impr.":"43.973","Visualizações do TrueView":"127","Taxa de visualização do TrueView":"0,57%","Código da moeda":"BRL","CPM médio":"2,56","Custo":"112,42","Taxa de conv.":"0,00%","Conversões":"0,00","Custo / conv.":"0,00"}</x:v>
      </x:c>
    </x:row>
    <x:row r="1717" ht="54" customHeight="1">
      <x:c r="A1717" s="32" t="str">
        <x:v>F068</x:v>
      </x:c>
      <x:c r="B1717" s="32" t="str">
        <x:v>C06</x:v>
      </x:c>
      <x:c r="C1717" s="32" t="n">
        <x:v>1</x:v>
      </x:c>
      <x:c r="D1717" s="33" t="str">
        <x:v>{"Local":"5,0|km|Rua João Motta Espezim, 549-461 - Saco dos Limões, Florianópolis - SC, 88045-400","Ajuste de lance":" --","Impr.":"115","Visualizações do TrueView":"0","Taxa de visualização do TrueView":"0,00%","Código da moeda":"BRL","Custo":"0,30","CPM médio":"2,58","Taxa de conv.":"0,00%","Conversões":"0,00","Custo / conv.":"0,00"}</x:v>
      </x:c>
    </x:row>
    <x:row r="1718" ht="54" customHeight="1">
      <x:c r="A1718" s="32" t="str">
        <x:v>F068</x:v>
      </x:c>
      <x:c r="B1718" s="32" t="str">
        <x:v>C06</x:v>
      </x:c>
      <x:c r="C1718" s="32" t="n">
        <x:v>2</x:v>
      </x:c>
      <x:c r="D1718" s="33" t="str">
        <x:v>{"Local":"5,0|km|Shineray - Palhoça - Aririú - BR-101 - Aririu, Palhoça - SC","Ajuste de lance":" --","Impr.":"685","Visualizações do TrueView":"2","Taxa de visualização do TrueView":"0,78%","Código da moeda":"BRL","Custo":"1,91","CPM médio":"2,78","Taxa de conv.":"0,00%","Conversões":"0,00","Custo / conv.":"0,00"}</x:v>
      </x:c>
    </x:row>
    <x:row r="1719" ht="54" customHeight="1">
      <x:c r="A1719" s="32" t="str">
        <x:v>F068</x:v>
      </x:c>
      <x:c r="B1719" s="32" t="str">
        <x:v>C06</x:v>
      </x:c>
      <x:c r="C1719" s="32" t="n">
        <x:v>3</x:v>
      </x:c>
      <x:c r="D1719" s="33" t="str">
        <x:v>{"Local":"5,0|km|R. Paralela Novo Horizonte, 3530 - Capoeiras, Florianópolis - SC, 88090-085","Ajuste de lance":" --","Impr.":"1.118","Visualizações do TrueView":"3","Taxa de visualização do TrueView":"0,45%","Código da moeda":"BRL","Custo":"2,89","CPM médio":"2,58","Taxa de conv.":"0,00%","Conversões":"0,00","Custo / conv.":"0,00"}</x:v>
      </x:c>
    </x:row>
    <x:row r="1720" ht="54" customHeight="1">
      <x:c r="A1720" s="32" t="str">
        <x:v>F068</x:v>
      </x:c>
      <x:c r="B1720" s="32" t="str">
        <x:v>C06</x:v>
      </x:c>
      <x:c r="C1720" s="32" t="n">
        <x:v>4</x:v>
      </x:c>
      <x:c r="D1720" s="33" t="str">
        <x:v>{"Local":"5,0|km|Estrada, Rod. Armando Calil Bulos, 5890 - Ingleses Centro, Florianópolis - SC","Ajuste de lance":" --","Impr.":"3.984","Visualizações do TrueView":"11","Taxa de visualização do TrueView":"0,52%","Código da moeda":"BRL","Custo":"10,06","CPM médio":"2,53","Taxa de conv.":"0,00%","Conversões":"0,00","Custo / conv.":"0,00"}</x:v>
      </x:c>
    </x:row>
    <x:row r="1721" ht="54" customHeight="1">
      <x:c r="A1721" s="32" t="str">
        <x:v>F068</x:v>
      </x:c>
      <x:c r="B1721" s="32" t="str">
        <x:v>C06</x:v>
      </x:c>
      <x:c r="C1721" s="32" t="n">
        <x:v>5</x:v>
      </x:c>
      <x:c r="D1721" s="33" t="str">
        <x:v>{"Local":"5,0|km|Av. Prof. Othon Gama D'Eça, 771 - Centro, Florianópolis - SC, 88015-240","Ajuste de lance":" --","Impr.":"2.165","Visualizações do TrueView":"3","Taxa de visualização do TrueView":"0,27%","Código da moeda":"BRL","Custo":"5,29","CPM médio":"2,44","Taxa de conv.":"0,00%","Conversões":"0,00","Custo / conv.":"0,00"}</x:v>
      </x:c>
    </x:row>
    <x:row r="1722" ht="54" customHeight="1">
      <x:c r="A1722" s="32" t="str">
        <x:v>F068</x:v>
      </x:c>
      <x:c r="B1722" s="32" t="str">
        <x:v>C06</x:v>
      </x:c>
      <x:c r="C1722" s="32" t="n">
        <x:v>6</x:v>
      </x:c>
      <x:c r="D1722" s="33" t="str">
        <x:v>{"Local":"5,0|km|Av. Eng. Max de Souza, 740 - Coqueiros, Florianópolis - SC, 88080-000","Ajuste de lance":" --","Impr.":"3.336","Visualizações do TrueView":"6","Taxa de visualização do TrueView":"0,30%","Código da moeda":"BRL","Custo":"8,18","CPM médio":"2,45","Taxa de conv.":"0,00%","Conversões":"0,00","Custo / conv.":"0,00"}</x:v>
      </x:c>
    </x:row>
    <x:row r="1723" ht="54" customHeight="1">
      <x:c r="A1723" s="32" t="str">
        <x:v>F068</x:v>
      </x:c>
      <x:c r="B1723" s="32" t="str">
        <x:v>C06</x:v>
      </x:c>
      <x:c r="C1723" s="32" t="n">
        <x:v>7</x:v>
      </x:c>
      <x:c r="D1723" s="33" t="str">
        <x:v>{"Local":"5,0|km|Av. Delamar José da Silva, s/n - Kobrasol, São José - SC, 88102-080","Ajuste de lance":" --","Impr.":"84","Visualizações do TrueView":"0","Taxa de visualização do TrueView":"0,00%","Código da moeda":"BRL","Custo":"0,25","CPM médio":"2,98","Taxa de conv.":"0,00%","Conversões":"0,00","Custo / conv.":"0,00"}</x:v>
      </x:c>
    </x:row>
    <x:row r="1724" ht="54" customHeight="1">
      <x:c r="A1724" s="32" t="str">
        <x:v>F068</x:v>
      </x:c>
      <x:c r="B1724" s="32" t="str">
        <x:v>C06</x:v>
      </x:c>
      <x:c r="C1724" s="32" t="n">
        <x:v>8</x:v>
      </x:c>
      <x:c r="D1724" s="33" t="str">
        <x:v>{"Local":"5,0|km|Av. das Nações, 192 - Canasvieiras, Florianópolis - SC, 88054-010","Ajuste de lance":" --","Impr.":"1.141","Visualizações do TrueView":"5","Taxa de visualização do TrueView":"0,89%","Código da moeda":"BRL","Custo":"2,69","CPM médio":"2,36","Taxa de conv.":"0,00%","Conversões":"0,00","Custo / conv.":"0,00"}</x:v>
      </x:c>
    </x:row>
    <x:row r="1725" ht="54" customHeight="1">
      <x:c r="A1725" s="32" t="str">
        <x:v>F068</x:v>
      </x:c>
      <x:c r="B1725" s="32" t="str">
        <x:v>C06</x:v>
      </x:c>
      <x:c r="C1725" s="32" t="n">
        <x:v>9</x:v>
      </x:c>
      <x:c r="D1725" s="33" t="str">
        <x:v>{"Local":"5,0|km|Av. Vidal Procópio Lohn - Rio Grande, Palhoça - SC","Ajuste de lance":" --","Impr.":"5.120","Visualizações do TrueView":"12","Taxa de visualização do TrueView":"0,39%","Código da moeda":"BRL","Custo":"12,91","CPM médio":"2,52","Taxa de conv.":"0,00%","Conversões":"0,00","Custo / conv.":"0,00"}</x:v>
      </x:c>
    </x:row>
    <x:row r="1726" ht="54" customHeight="1">
      <x:c r="A1726" s="32" t="str">
        <x:v>F068</x:v>
      </x:c>
      <x:c r="B1726" s="32" t="str">
        <x:v>C06</x:v>
      </x:c>
      <x:c r="C1726" s="32" t="n">
        <x:v>10</x:v>
      </x:c>
      <x:c r="D1726" s="33" t="str">
        <x:v>{"Local":"5,0|km|Rod. Francisco Magno Vieira, 373 - Costeira do Pirajubaé, Florianópolis - SC, 88063-700","Ajuste de lance":" --","Impr.":"1.394","Visualizações do TrueView":"3","Taxa de visualização do TrueView":"0,36%","Código da moeda":"BRL","Custo":"3,31","CPM médio":"2,38","Taxa de conv.":"0,00%","Conversões":"0,00","Custo / conv.":"0,00"}</x:v>
      </x:c>
    </x:row>
    <x:row r="1727" ht="54" customHeight="1">
      <x:c r="A1727" s="32" t="str">
        <x:v>F068</x:v>
      </x:c>
      <x:c r="B1727" s="32" t="str">
        <x:v>C06</x:v>
      </x:c>
      <x:c r="C1727" s="32" t="n">
        <x:v>11</x:v>
      </x:c>
      <x:c r="D1727" s="33" t="str">
        <x:v>{"Local":"5,0|km|Av. Mauro Ramos, 982 - Centro, Florianópolis - SC, 88020-300","Ajuste de lance":" --","Impr.":"584","Visualizações do TrueView":"1","Taxa de visualização do TrueView":"0,32%","Código da moeda":"BRL","Custo":"1,53","CPM médio":"2,62","Taxa de conv.":"0,00%","Conversões":"0,00","Custo / conv.":"0,00"}</x:v>
      </x:c>
    </x:row>
    <x:row r="1728" ht="54" customHeight="1">
      <x:c r="A1728" s="32" t="str">
        <x:v>F068</x:v>
      </x:c>
      <x:c r="B1728" s="32" t="str">
        <x:v>C06</x:v>
      </x:c>
      <x:c r="C1728" s="32" t="n">
        <x:v>12</x:v>
      </x:c>
      <x:c r="D1728" s="33" t="str">
        <x:v>{"Local":"5,0|km|Av. Presidente Kennedy, 861 - Campinas, São José - SC, 88101-001","Ajuste de lance":" --","Impr.":"542","Visualizações do TrueView":"0","Taxa de visualização do TrueView":"0,00%","Código da moeda":"BRL","Custo":"1,37","CPM médio":"2,53","Taxa de conv.":"0,00%","Conversões":"0,00","Custo / conv.":"0,00"}</x:v>
      </x:c>
    </x:row>
    <x:row r="1729" ht="54" customHeight="1">
      <x:c r="A1729" s="32" t="str">
        <x:v>F068</x:v>
      </x:c>
      <x:c r="B1729" s="32" t="str">
        <x:v>C06</x:v>
      </x:c>
      <x:c r="C1729" s="32" t="n">
        <x:v>13</x:v>
      </x:c>
      <x:c r="D1729" s="33" t="str">
        <x:v>{"Local":"5,0|km|R. João Pio Duarte Silva, 1623 - Córrego Grande, Florianópolis - SC, 88037-001","Ajuste de lance":" --","Impr.":"333","Visualizações do TrueView":"0","Taxa de visualização do TrueView":"0,00%","Código da moeda":"BRL","Custo":"0,71","CPM médio":"2,14","Taxa de conv.":"0,00%","Conversões":"0,00","Custo / conv.":"0,00"}</x:v>
      </x:c>
    </x:row>
    <x:row r="1730" ht="54" customHeight="1">
      <x:c r="A1730" s="32" t="str">
        <x:v>F068</x:v>
      </x:c>
      <x:c r="B1730" s="32" t="str">
        <x:v>C06</x:v>
      </x:c>
      <x:c r="C1730" s="32" t="n">
        <x:v>14</x:v>
      </x:c>
      <x:c r="D1730" s="33" t="str">
        <x:v>{"Local":"5,0|km|R. Maj. Joaquim Alexandre​ Campos, 6037 - Centro, Santo Amaro da Imperatriz - SC, 88140-000","Ajuste de lance":" --","Impr.":"565","Visualizações do TrueView":"0","Taxa de visualização do TrueView":"0,00%","Código da moeda":"BRL","Custo":"1,60","CPM médio":"2,84","Taxa de conv.":"0,00%","Conversões":"0,00","Custo / conv.":"0,00"}</x:v>
      </x:c>
    </x:row>
    <x:row r="1731" ht="54" customHeight="1">
      <x:c r="A1731" s="32" t="str">
        <x:v>F068</x:v>
      </x:c>
      <x:c r="B1731" s="32" t="str">
        <x:v>C06</x:v>
      </x:c>
      <x:c r="C1731" s="32" t="n">
        <x:v>15</x:v>
      </x:c>
      <x:c r="D1731" s="33" t="str">
        <x:v>{"Local":"5,0|km|R. Alexandre Sergio Godinho, 853 - Mar das Pedras, Biguaçu - SC, 88160-000","Ajuste de lance":" --","Impr.":"645","Visualizações do TrueView":"3","Taxa de visualização do TrueView":"1,81%","Código da moeda":"BRL","Custo":"1,91","CPM médio":"2,97","Taxa de conv.":"0,00%","Conversões":"0,00","Custo / conv.":"0,00"}</x:v>
      </x:c>
    </x:row>
    <x:row r="1732" ht="54" customHeight="1">
      <x:c r="A1732" s="32" t="str">
        <x:v>F068</x:v>
      </x:c>
      <x:c r="B1732" s="32" t="str">
        <x:v>C06</x:v>
      </x:c>
      <x:c r="C1732" s="32" t="n">
        <x:v>16</x:v>
      </x:c>
      <x:c r="D1732" s="33" t="str">
        <x:v>{"Local":"5,0|km|Rodovia Jornalista Maurício Sirotski Sobrinho, 5451 - Jurerê, Florianópolis - SC","Ajuste de lance":" --","Impr.":"223","Visualizações do TrueView":"2","Taxa de visualização do TrueView":"2,25%","Código da moeda":"BRL","Custo":"0,55","CPM médio":"2,47","Taxa de conv.":"0,00%","Conversões":"0,00","Custo / conv.":"0,00"}</x:v>
      </x:c>
    </x:row>
    <x:row r="1733" ht="39" customHeight="1">
      <x:c r="A1733" s="32" t="str">
        <x:v>F068</x:v>
      </x:c>
      <x:c r="B1733" s="32" t="str">
        <x:v>C06</x:v>
      </x:c>
      <x:c r="C1733" s="32" t="n">
        <x:v>17</x:v>
      </x:c>
      <x:c r="D1733" s="33" t="str">
        <x:v>{"Local":"0,0||","Ajuste de lance":" --","Impr.":"708","Visualizações do TrueView":"2","Taxa de visualização do TrueView":"0,70%","Código da moeda":"BRL","Custo":"1,85","CPM médio":"2,62","Taxa de conv.":"0,00%","Conversões":"0,00","Custo / conv.":"0,00"}</x:v>
      </x:c>
    </x:row>
    <x:row r="1734" ht="54" customHeight="1">
      <x:c r="A1734" s="32" t="str">
        <x:v>F068</x:v>
      </x:c>
      <x:c r="B1734" s="32" t="str">
        <x:v>C06</x:v>
      </x:c>
      <x:c r="C1734" s="32" t="n">
        <x:v>18</x:v>
      </x:c>
      <x:c r="D1734" s="33" t="str">
        <x:v>{"Local":"5,0|km|R. Lauro Linhares, 2010 - Trindade, Florianópolis - SC, 88036-002","Ajuste de lance":" --","Impr.":"719","Visualizações do TrueView":"2","Taxa de visualização do TrueView":"0,57%","Código da moeda":"BRL","Custo":"1,82","CPM médio":"2,53","Taxa de conv.":"0,00%","Conversões":"0,00","Custo / conv.":"0,00"}</x:v>
      </x:c>
    </x:row>
    <x:row r="1735" ht="54" customHeight="1">
      <x:c r="A1735" s="32" t="str">
        <x:v>F068</x:v>
      </x:c>
      <x:c r="B1735" s="32" t="str">
        <x:v>C06</x:v>
      </x:c>
      <x:c r="C1735" s="32" t="n">
        <x:v>19</x:v>
      </x:c>
      <x:c r="D1735" s="33" t="str">
        <x:v>{"Local":"5,0|km|Supermercado Brasil Atacadista - SC-281, 2665 - Sertão do Maruim, São José - SC","Ajuste de lance":" --","Impr.":"1.171","Visualizações do TrueView":"6","Taxa de visualização do TrueView":"1,36%","Código da moeda":"BRL","Custo":"3,15","CPM médio":"2,69","Taxa de conv.":"0,00%","Conversões":"0,00","Custo / conv.":"0,00"}</x:v>
      </x:c>
    </x:row>
    <x:row r="1736" ht="54" customHeight="1">
      <x:c r="A1736" s="32" t="str">
        <x:v>F068</x:v>
      </x:c>
      <x:c r="B1736" s="32" t="str">
        <x:v>C06</x:v>
      </x:c>
      <x:c r="C1736" s="32" t="n">
        <x:v>20</x:v>
      </x:c>
      <x:c r="D1736" s="33" t="str">
        <x:v>{"Local":"5,0|km|Rua João Coan, 390 Bairro - Universitarios, Biguaçu - SC, 88160-000","Ajuste de lance":" --","Impr.":"2.282","Visualizações do TrueView":"14","Taxa de visualização do TrueView":"1,27%","Código da moeda":"BRL","Custo":"6,12","CPM médio":"2,68","Taxa de conv.":"0,00%","Conversões":"0,00","Custo / conv.":"0,00"}</x:v>
      </x:c>
    </x:row>
    <x:row r="1737" ht="54" customHeight="1">
      <x:c r="A1737" s="32" t="str">
        <x:v>F068</x:v>
      </x:c>
      <x:c r="B1737" s="32" t="str">
        <x:v>C06</x:v>
      </x:c>
      <x:c r="C1737" s="32" t="n">
        <x:v>21</x:v>
      </x:c>
      <x:c r="D1737" s="33" t="str">
        <x:v>{"Local":"5,0|km|R. Gen. Liberato Bittencourt, 1885 - Estreito, Florianópolis - SC, 88070-800","Ajuste de lance":" --","Impr.":"191","Visualizações do TrueView":"0","Taxa de visualização do TrueView":"0,00%","Código da moeda":"BRL","Custo":"0,62","CPM médio":"3,23","Taxa de conv.":"0,00%","Conversões":"0,00","Custo / conv.":"0,00"}</x:v>
      </x:c>
    </x:row>
    <x:row r="1738" ht="54" customHeight="1">
      <x:c r="A1738" s="32" t="str">
        <x:v>F068</x:v>
      </x:c>
      <x:c r="B1738" s="32" t="str">
        <x:v>C06</x:v>
      </x:c>
      <x:c r="C1738" s="32" t="n">
        <x:v>22</x:v>
      </x:c>
      <x:c r="D1738" s="33" t="str">
        <x:v>{"Local":"5,0|km|Rod. Gov. Mario Covas, 415 - Roçado, São José - SC","Ajuste de lance":" --","Impr.":"9.357","Visualizações do TrueView":"18","Taxa de visualização do TrueView":"0,39%","Código da moeda":"BRL","Custo":"23,81","CPM médio":"2,54","Taxa de conv.":"0,00%","Conversões":"0,00","Custo / conv.":"0,00"}</x:v>
      </x:c>
    </x:row>
    <x:row r="1739" ht="54" customHeight="1">
      <x:c r="A1739" s="32" t="str">
        <x:v>F068</x:v>
      </x:c>
      <x:c r="B1739" s="32" t="str">
        <x:v>C06</x:v>
      </x:c>
      <x:c r="C1739" s="32" t="n">
        <x:v>23</x:v>
      </x:c>
      <x:c r="D1739" s="33" t="str">
        <x:v>{"Local":"5,0|km|R. Arnoldo Pedro Meira - Ipiranga, São José - SC, 88111-370","Ajuste de lance":" --","Impr.":"2.835","Visualizações do TrueView":"13","Taxa de visualização do TrueView":"1,03%","Código da moeda":"BRL","Custo":"7,43","CPM médio":"2,62","Taxa de conv.":"0,00%","Conversões":"0,00","Custo / conv.":"0,00"}</x:v>
      </x:c>
    </x:row>
    <x:row r="1740" ht="54" customHeight="1">
      <x:c r="A1740" s="32" t="str">
        <x:v>F068</x:v>
      </x:c>
      <x:c r="B1740" s="32" t="str">
        <x:v>C06</x:v>
      </x:c>
      <x:c r="C1740" s="32" t="n">
        <x:v>24</x:v>
      </x:c>
      <x:c r="D1740" s="33" t="str">
        <x:v>{"Local":"5,0|km|Av. Aniceto Zacchi, 222 - Pte. do Imaruim, Palhoça - SC, 88130-300","Ajuste de lance":" --","Impr.":"4.649","Visualizações do TrueView":"21","Taxa de visualização do TrueView":"1,07%","Código da moeda":"BRL","Custo":"12,10","CPM médio":"2,60","Taxa de conv.":"0,00%","Conversões":"0,00","Custo / conv.":"0,00"}</x:v>
      </x:c>
    </x:row>
    <x:row r="1741" ht="54" customHeight="1">
      <x:c r="A1741" s="32" t="str">
        <x:v>F068</x:v>
      </x:c>
      <x:c r="B1741" s="32" t="str">
        <x:v>C06</x:v>
      </x:c>
      <x:c r="C1741" s="32" t="n">
        <x:v>25</x:v>
      </x:c>
      <x:c r="D1741" s="33" t="str">
        <x:v>{"Local":"5,0|km|Av. Juscelino K. de Oliveira, 469 - Capoeiras, Florianópolis - SC, 88070-120","Ajuste de lance":" --","Impr.":"24","Visualizações do TrueView":"0","Taxa de visualização do TrueView":"0,00%","Código da moeda":"BRL","Custo":"0,06","CPM médio":"2,67","Taxa de conv.":"0,00%","Conversões":"0,00","Custo / conv.":"0,00"}</x:v>
      </x:c>
    </x:row>
    <x:row r="1742" ht="39" customHeight="1">
      <x:c r="A1742" s="32" t="str">
        <x:v>F068</x:v>
      </x:c>
      <x:c r="B1742" s="32" t="str">
        <x:v>C06</x:v>
      </x:c>
      <x:c r="C1742" s="32" t="n">
        <x:v>26</x:v>
      </x:c>
      <x:c r="D1742" s="33" t="str">
        <x:v>{"Local":"5,0|km|R. Bocaiúva, 2468 - Centro, Florianópolis - SC","Ajuste de lance":" --","Impr.":"12","Visualizações do TrueView":"0","Taxa de visualização do TrueView":"0,00%","Código da moeda":"BRL","Custo":"0,02","CPM médio":"1,79","Taxa de conv.":"0,00%","Conversões":"0,00","Custo / conv.":"0,00"}</x:v>
      </x:c>
    </x:row>
    <x:row r="1743" ht="39" customHeight="1">
      <x:c r="A1743" s="32" t="str">
        <x:v>F068</x:v>
      </x:c>
      <x:c r="B1743" s="32" t="str">
        <x:v>C06</x:v>
      </x:c>
      <x:c r="C1743" s="32" t="n">
        <x:v>27</x:v>
      </x:c>
      <x:c r="D1743" s="33" t="str">
        <x:v>{"Local":"Total: Locais","Ajuste de lance":"","Impr.":"43.982","Visualizações do TrueView":"127","Taxa de visualização do TrueView":"0,57%","Código da moeda":"BRL","Custo":"112,45","CPM médio":"2,56","Taxa de conv.":"0,00%","Conversões":"0,00","Custo / conv.":"0,00"}</x:v>
      </x:c>
    </x:row>
    <x:row r="1744" ht="39" customHeight="1">
      <x:c r="A1744" s="32" t="str">
        <x:v>F068</x:v>
      </x:c>
      <x:c r="B1744" s="32" t="str">
        <x:v>C06</x:v>
      </x:c>
      <x:c r="C1744" s="32" t="n">
        <x:v>28</x:v>
      </x:c>
      <x:c r="D1744" s="33" t="str">
        <x:v>{"Local":"Total: Outros locais","Ajuste de lance":"","Impr.":"0","Visualizações do TrueView":"0","Taxa de visualização do TrueView":" --","Código da moeda":"BRL","Custo":"0,00","CPM médio":"0","Taxa de conv.":"0,00%","Conversões":"0,00","Custo / conv.":"0,00"}</x:v>
      </x:c>
    </x:row>
    <x:row r="1745" ht="39" customHeight="1">
      <x:c r="A1745" s="32" t="str">
        <x:v>F068</x:v>
      </x:c>
      <x:c r="B1745" s="32" t="str">
        <x:v>C06</x:v>
      </x:c>
      <x:c r="C1745" s="32" t="n">
        <x:v>29</x:v>
      </x:c>
      <x:c r="D1745" s="33" t="str">
        <x:v>{"Local":"Total: Campanha","Ajuste de lance":"","Impr.":"43.982","Visualizações do TrueView":"127","Taxa de visualização do TrueView":"0,57%","Código da moeda":"BRL","Custo":"112,45","CPM médio":"2,56","Taxa de conv.":"0,00%","Conversões":"0,00","Custo / conv.":"0,00"}</x:v>
      </x:c>
    </x:row>
    <x:row r="1746" ht="69" customHeight="1">
      <x:c r="A1746" s="32" t="str">
        <x:v>F069</x:v>
      </x:c>
      <x:c r="B1746" s="32" t="str">
        <x:v>C06</x:v>
      </x:c>
      <x:c r="C1746" s="32" t="n">
        <x:v>1</x:v>
      </x:c>
      <x:c r="D1746" s="33" t="str">
        <x:v>{"Status do grupo de anúncios":"Ativado","Grupo de anúncios":"Vídeo - Alcance eficiente - 07/10 = Região SC","Status":"Qualificado","Motivos do status":"desconhecido","Código da moeda":"BRL","CPM desejado":"5,00","Subtipo da campanha":"Alcance eficiente","Tipo de grupo de anúncios":"Anúncio responsivo em vídeo","Impr.":"43.976","Visualizações do TrueView":"127","CPM médio":"2,56","Custo":"112,44","Inclusões de marca":"[]","Taxa de conv.":"0,00%","Conversões":"0,00","Custo / conv.":"0,00"}</x:v>
      </x:c>
    </x:row>
    <x:row r="1747" ht="54" customHeight="1">
      <x:c r="A1747" s="32" t="str">
        <x:v>F069</x:v>
      </x:c>
      <x:c r="B1747" s="32" t="str">
        <x:v>C06</x:v>
      </x:c>
      <x:c r="C1747" s="32" t="n">
        <x:v>2</x:v>
      </x:c>
      <x:c r="D1747" s="33" t="str">
        <x:v>{"Status do grupo de anúncios":"Total: Grupos de anúncios","Grupo de anúncios":"","Status":"","Motivos do status":"","Código da moeda":"BRL","CPM desejado":"","Subtipo da campanha":"","Tipo de grupo de anúncios":"","Impr.":"43.976","Visualizações do TrueView":"127","CPM médio":"2,56","Custo":"112,44","Inclusões de marca":"","Taxa de conv.":"0,00%","Conversões":"0,00","Custo / conv.":"0,00"}</x:v>
      </x:c>
    </x:row>
    <x:row r="1748" ht="54" customHeight="1">
      <x:c r="A1748" s="32" t="str">
        <x:v>F069</x:v>
      </x:c>
      <x:c r="B1748" s="32" t="str">
        <x:v>C06</x:v>
      </x:c>
      <x:c r="C1748" s="32" t="n">
        <x:v>3</x:v>
      </x:c>
      <x:c r="D1748" s="33" t="str">
        <x:v>{"Status do grupo de anúncios":"Total: Campanha","Grupo de anúncios":"","Status":"","Motivos do status":"","Código da moeda":"BRL","CPM desejado":"","Subtipo da campanha":"","Tipo de grupo de anúncios":"","Impr.":"43.974","Visualizações do TrueView":"127","CPM médio":"2,56","Custo":"112,43","Inclusões de marca":"","Taxa de conv.":"0,00%","Conversões":"0,00","Custo / conv.":"0,00"}</x:v>
      </x:c>
    </x:row>
    <x:row r="1749" ht="54" customHeight="1">
      <x:c r="A1749" s="32" t="str">
        <x:v>F070</x:v>
      </x:c>
      <x:c r="B1749" s="32" t="str">
        <x:v>C06</x:v>
      </x:c>
      <x:c r="C1749" s="32" t="n">
        <x:v>1</x:v>
      </x:c>
      <x:c r="D1749" s="33" t="str">
        <x:v>{"Local das lojas":"Supermercado Cooperja","address_line_1":"Avenida Padre Herval Fontanella, 1369","address_line_2":" --","city":"Jacinto Machado","country_code":"BR","phone_number":" +55 48 3535-6000","postal_code":"88950-000","province":"Santa Catarina","Alcance do local (impressões)":"0","Visitas à loja":"0","Cliques de chamada":"0","Como chegar":"0","Visitas ao site":"0"}</x:v>
      </x:c>
    </x:row>
    <x:row r="1750" ht="54" customHeight="1">
      <x:c r="A1750" s="32" t="str">
        <x:v>F070</x:v>
      </x:c>
      <x:c r="B1750" s="32" t="str">
        <x:v>C06</x:v>
      </x:c>
      <x:c r="C1750" s="32" t="n">
        <x:v>2</x:v>
      </x:c>
      <x:c r="D1750" s="33" t="str">
        <x:v>{"Local das lojas":"Supermercado Cooperja - Balneário Gaivota","address_line_1":"Av. Santa Catarina","address_line_2":" --","city":"Balneário Gaivota","country_code":"BR","phone_number":" +55 48 3583-0315","postal_code":"88955-000","province":"Santa Catarina","Alcance do local (impressões)":"0","Visitas à loja":"0","Cliques de chamada":"0","Como chegar":"0","Visitas ao site":"0"}</x:v>
      </x:c>
    </x:row>
    <x:row r="1751" ht="54" customHeight="1">
      <x:c r="A1751" s="32" t="str">
        <x:v>F070</x:v>
      </x:c>
      <x:c r="B1751" s="32" t="str">
        <x:v>C06</x:v>
      </x:c>
      <x:c r="C1751" s="32" t="n">
        <x:v>3</x:v>
      </x:c>
      <x:c r="D1751" s="33" t="str">
        <x:v>{"Local das lojas":"Supermercado Cooperja","address_line_1":"R. Padre Humberto Oening, 471","address_line_2":" --","city":"Praia Grande","country_code":"BR","phone_number":" +55 48 3532-6000","postal_code":"88990-000","province":"Santa Catarina","Alcance do local (impressões)":"0","Visitas à loja":"0","Cliques de chamada":"0","Como chegar":"0","Visitas ao site":"0"}</x:v>
      </x:c>
    </x:row>
    <x:row r="1752" ht="54" customHeight="1">
      <x:c r="A1752" s="32" t="str">
        <x:v>F070</x:v>
      </x:c>
      <x:c r="B1752" s="32" t="str">
        <x:v>C06</x:v>
      </x:c>
      <x:c r="C1752" s="32" t="n">
        <x:v>4</x:v>
      </x:c>
      <x:c r="D1752" s="33" t="str">
        <x:v>{"Local das lojas":"Supermercado Cooperja - Santa Rosa do Sul","address_line_1":"Rua Manoel Idalino Pereira, 505 - Quadra 70","address_line_2":" --","city":"Santa Rosa do Sul","country_code":"BR","phone_number":" +55 48 3534-1202","postal_code":"88965-000","province":"Santa Catarina","Alcance do local (impressões)":"1","Visitas à loja":"0","Cliques de chamada":"0","Como chegar":"0","Visitas ao site":"0"}</x:v>
      </x:c>
    </x:row>
    <x:row r="1753" ht="54" customHeight="1">
      <x:c r="A1753" s="32" t="str">
        <x:v>F070</x:v>
      </x:c>
      <x:c r="B1753" s="32" t="str">
        <x:v>C06</x:v>
      </x:c>
      <x:c r="C1753" s="32" t="n">
        <x:v>5</x:v>
      </x:c>
      <x:c r="D1753" s="33" t="str">
        <x:v>{"Local das lojas":"Centro de Distribuição Cooperja - Supermercados","address_line_1":"Rua Dr. Nereu Ramos","address_line_2":"Rod. José Tiscoski, 1162","city":"Jacinto Machado","country_code":"BR","phone_number":" +55 48 3535-1074","postal_code":"88950-000","province":"Santa Catarina","Alcance do local (impressões)":"13","Visitas à loja":"0","Cliques de chamada":"0","Como chegar":"0","Visitas ao site":"0"}</x:v>
      </x:c>
    </x:row>
    <x:row r="1754" ht="54" customHeight="1">
      <x:c r="A1754" s="32" t="str">
        <x:v>F070</x:v>
      </x:c>
      <x:c r="B1754" s="32" t="str">
        <x:v>C06</x:v>
      </x:c>
      <x:c r="C1754" s="32" t="n">
        <x:v>6</x:v>
      </x:c>
      <x:c r="D1754" s="33" t="str">
        <x:v>{"Local das lojas":"Supermercado Cooperja - Três Cachoeiras","address_line_1":"Av. Inácio José Schaefer","address_line_2":" --","city":"Três Cachoeiras","country_code":"BR","phone_number":" +55 51 99676-4364","postal_code":"95580-000","province":"Rio Grande do Sul","Alcance do local (impressões)":"0","Visitas à loja":"0","Cliques de chamada":"0","Como chegar":"0","Visitas ao site":"0"}</x:v>
      </x:c>
    </x:row>
    <x:row r="1755" ht="24" customHeight="1">
      <x:c r="A1755" s="32" t="str">
        <x:v>F071</x:v>
      </x:c>
      <x:c r="B1755" s="32" t="str">
        <x:v>C07</x:v>
      </x:c>
      <x:c r="C1755" s="32" t="n">
        <x:v>1</x:v>
      </x:c>
      <x:c r="D1755" s="33" t="str">
        <x:v>{"Date":"8/31/2026","Freq. méd. impr. / usuário (covisualizadas)":"null"}</x:v>
      </x:c>
    </x:row>
    <x:row r="1756" ht="24" customHeight="1">
      <x:c r="A1756" s="32" t="str">
        <x:v>F071</x:v>
      </x:c>
      <x:c r="B1756" s="32" t="str">
        <x:v>C07</x:v>
      </x:c>
      <x:c r="C1756" s="32" t="n">
        <x:v>2</x:v>
      </x:c>
      <x:c r="D1756" s="33" t="str">
        <x:v>{"Date":"9/7/2026","Freq. méd. impr. / usuário (covisualizadas)":"null"}</x:v>
      </x:c>
    </x:row>
    <x:row r="1757" ht="24" customHeight="1">
      <x:c r="A1757" s="32" t="str">
        <x:v>F071</x:v>
      </x:c>
      <x:c r="B1757" s="32" t="str">
        <x:v>C07</x:v>
      </x:c>
      <x:c r="C1757" s="32" t="n">
        <x:v>3</x:v>
      </x:c>
      <x:c r="D1757" s="33" t="str">
        <x:v>{"Date":"9/14/2026","Freq. méd. impr. / usuário (covisualizadas)":"null"}</x:v>
      </x:c>
    </x:row>
    <x:row r="1758" ht="24" customHeight="1">
      <x:c r="A1758" s="32" t="str">
        <x:v>F071</x:v>
      </x:c>
      <x:c r="B1758" s="32" t="str">
        <x:v>C07</x:v>
      </x:c>
      <x:c r="C1758" s="32" t="n">
        <x:v>4</x:v>
      </x:c>
      <x:c r="D1758" s="33" t="str">
        <x:v>{"Date":"9/21/2026","Freq. méd. impr. / usuário (covisualizadas)":"null"}</x:v>
      </x:c>
    </x:row>
    <x:row r="1759" ht="24" customHeight="1">
      <x:c r="A1759" s="32" t="str">
        <x:v>F071</x:v>
      </x:c>
      <x:c r="B1759" s="32" t="str">
        <x:v>C07</x:v>
      </x:c>
      <x:c r="C1759" s="32" t="n">
        <x:v>5</x:v>
      </x:c>
      <x:c r="D1759" s="33" t="str">
        <x:v>{"Date":"9/28/2026","Freq. méd. impr. / usuário (covisualizadas)":"null"}</x:v>
      </x:c>
    </x:row>
    <x:row r="1760" ht="24" customHeight="1">
      <x:c r="A1760" s="32" t="str">
        <x:v>F071</x:v>
      </x:c>
      <x:c r="B1760" s="32" t="str">
        <x:v>C07</x:v>
      </x:c>
      <x:c r="C1760" s="32" t="n">
        <x:v>6</x:v>
      </x:c>
      <x:c r="D1760" s="33" t="str">
        <x:v>{"Date":"10/5/2026","Freq. méd. impr. / usuário (covisualizadas)":"1.5862001275948374"}</x:v>
      </x:c>
    </x:row>
    <x:row r="1761" ht="24" customHeight="1">
      <x:c r="A1761" s="32" t="str">
        <x:v>F071</x:v>
      </x:c>
      <x:c r="B1761" s="32" t="str">
        <x:v>C07</x:v>
      </x:c>
      <x:c r="C1761" s="32" t="n">
        <x:v>7</x:v>
      </x:c>
      <x:c r="D1761" s="33" t="str">
        <x:v>{"Date":"10/12/2026","Freq. méd. impr. / usuário (covisualizadas)":"1.3503401360544218"}</x:v>
      </x:c>
    </x:row>
    <x:row r="1762" ht="24" customHeight="1">
      <x:c r="A1762" s="32" t="str">
        <x:v>F072</x:v>
      </x:c>
      <x:c r="B1762" s="32" t="str">
        <x:v>C07</x:v>
      </x:c>
      <x:c r="C1762" s="32" t="n">
        <x:v>1</x:v>
      </x:c>
      <x:c r="D1762" s="33" t="str">
        <x:v>{"Formato de anúncio":"Shorts","Tipo de canal de publicidade":"Total: campanhas de vídeo","Usuários únicos (covisualizados)":"1422"}</x:v>
      </x:c>
    </x:row>
    <x:row r="1763" ht="24" customHeight="1">
      <x:c r="A1763" s="32" t="str">
        <x:v>F072</x:v>
      </x:c>
      <x:c r="B1763" s="32" t="str">
        <x:v>C07</x:v>
      </x:c>
      <x:c r="C1763" s="32" t="n">
        <x:v>2</x:v>
      </x:c>
      <x:c r="D1763" s="33" t="str">
        <x:v>{"Formato de anúncio":"In-feed","Tipo de canal de publicidade":"Total: campanhas de vídeo","Usuários únicos (covisualizados)":"10688"}</x:v>
      </x:c>
    </x:row>
    <x:row r="1764" ht="24" customHeight="1">
      <x:c r="A1764" s="32" t="str">
        <x:v>F072</x:v>
      </x:c>
      <x:c r="B1764" s="32" t="str">
        <x:v>C07</x:v>
      </x:c>
      <x:c r="C1764" s="32" t="n">
        <x:v>3</x:v>
      </x:c>
      <x:c r="D1764" s="33" t="str">
        <x:v>{"Formato de anúncio":"Bumper","Tipo de canal de publicidade":"Total: campanhas de vídeo","Usuários únicos (covisualizados)":"19331"}</x:v>
      </x:c>
    </x:row>
    <x:row r="1765" ht="24" customHeight="1">
      <x:c r="A1765" s="32" t="str">
        <x:v>F073</x:v>
      </x:c>
      <x:c r="B1765" s="32" t="str">
        <x:v>C07</x:v>
      </x:c>
      <x:c r="C1765" s="32" t="n">
        <x:v>1</x:v>
      </x:c>
      <x:c r="D1765" s="33" t="str">
        <x:v>{"Formato de anúncio":"Shorts","Freq. méd. impr. / usuário (covisualizadas)":"2.4655414908579467"}</x:v>
      </x:c>
    </x:row>
    <x:row r="1766" ht="24" customHeight="1">
      <x:c r="A1766" s="32" t="str">
        <x:v>F073</x:v>
      </x:c>
      <x:c r="B1766" s="32" t="str">
        <x:v>C07</x:v>
      </x:c>
      <x:c r="C1766" s="32" t="n">
        <x:v>2</x:v>
      </x:c>
      <x:c r="D1766" s="33" t="str">
        <x:v>{"Formato de anúncio":"In-feed","Freq. méd. impr. / usuário (covisualizadas)":"1.690284537626357"}</x:v>
      </x:c>
    </x:row>
    <x:row r="1767" ht="24" customHeight="1">
      <x:c r="A1767" s="32" t="str">
        <x:v>F073</x:v>
      </x:c>
      <x:c r="B1767" s="32" t="str">
        <x:v>C07</x:v>
      </x:c>
      <x:c r="C1767" s="32" t="n">
        <x:v>3</x:v>
      </x:c>
      <x:c r="D1767" s="33" t="str">
        <x:v>{"Formato de anúncio":"Bumper","Freq. méd. impr. / usuário (covisualizadas)":"1.3577673167451245"}</x:v>
      </x:c>
    </x:row>
    <x:row r="1768" ht="24" customHeight="1">
      <x:c r="A1768" s="32" t="str">
        <x:v>F074</x:v>
      </x:c>
      <x:c r="B1768" s="32" t="str">
        <x:v>C07</x:v>
      </x:c>
      <x:c r="C1768" s="32" t="n">
        <x:v>1</x:v>
      </x:c>
      <x:c r="D1768" s="33" t="str">
        <x:v>{"Dispositivo":"Tablets","Usuários únicos (covisualizados)":"772"}</x:v>
      </x:c>
    </x:row>
    <x:row r="1769" ht="24" customHeight="1">
      <x:c r="A1769" s="32" t="str">
        <x:v>F074</x:v>
      </x:c>
      <x:c r="B1769" s="32" t="str">
        <x:v>C07</x:v>
      </x:c>
      <x:c r="C1769" s="32" t="n">
        <x:v>2</x:v>
      </x:c>
      <x:c r="D1769" s="33" t="str">
        <x:v>{"Dispositivo":"Dispositivos móveis","Usuários únicos (covisualizados)":"11520"}</x:v>
      </x:c>
    </x:row>
    <x:row r="1770" ht="24" customHeight="1">
      <x:c r="A1770" s="32" t="str">
        <x:v>F074</x:v>
      </x:c>
      <x:c r="B1770" s="32" t="str">
        <x:v>C07</x:v>
      </x:c>
      <x:c r="C1770" s="32" t="n">
        <x:v>3</x:v>
      </x:c>
      <x:c r="D1770" s="33" t="str">
        <x:v>{"Dispositivo":"Computadores","Usuários únicos (covisualizados)":"1397"}</x:v>
      </x:c>
    </x:row>
    <x:row r="1771" ht="24" customHeight="1">
      <x:c r="A1771" s="32" t="str">
        <x:v>F074</x:v>
      </x:c>
      <x:c r="B1771" s="32" t="str">
        <x:v>C07</x:v>
      </x:c>
      <x:c r="C1771" s="32" t="n">
        <x:v>4</x:v>
      </x:c>
      <x:c r="D1771" s="33" t="str">
        <x:v>{"Dispositivo":"Telas de TV","Usuários únicos (covisualizados)":"17652"}</x:v>
      </x:c>
    </x:row>
    <x:row r="1772" ht="24" customHeight="1">
      <x:c r="A1772" s="32" t="str">
        <x:v>F075</x:v>
      </x:c>
      <x:c r="B1772" s="32" t="str">
        <x:v>C07</x:v>
      </x:c>
      <x:c r="C1772" s="32" t="n">
        <x:v>1</x:v>
      </x:c>
      <x:c r="D1772" s="33" t="str">
        <x:v>{"Dispositivo":"Tablets","Freq. méd. impr. / usuário (covisualizadas)":"1.3575129533678756"}</x:v>
      </x:c>
    </x:row>
    <x:row r="1773" ht="24" customHeight="1">
      <x:c r="A1773" s="32" t="str">
        <x:v>F075</x:v>
      </x:c>
      <x:c r="B1773" s="32" t="str">
        <x:v>C07</x:v>
      </x:c>
      <x:c r="C1773" s="32" t="n">
        <x:v>2</x:v>
      </x:c>
      <x:c r="D1773" s="33" t="str">
        <x:v>{"Dispositivo":"Dispositivos móveis","Freq. méd. impr. / usuário (covisualizadas)":"1.9221286570014757"}</x:v>
      </x:c>
    </x:row>
    <x:row r="1774" ht="24" customHeight="1">
      <x:c r="A1774" s="32" t="str">
        <x:v>F075</x:v>
      </x:c>
      <x:c r="B1774" s="32" t="str">
        <x:v>C07</x:v>
      </x:c>
      <x:c r="C1774" s="32" t="n">
        <x:v>3</x:v>
      </x:c>
      <x:c r="D1774" s="33" t="str">
        <x:v>{"Dispositivo":"Computadores","Freq. méd. impr. / usuário (covisualizadas)":"1.6248196248196247"}</x:v>
      </x:c>
    </x:row>
    <x:row r="1775" ht="24" customHeight="1">
      <x:c r="A1775" s="32" t="str">
        <x:v>F075</x:v>
      </x:c>
      <x:c r="B1775" s="32" t="str">
        <x:v>C07</x:v>
      </x:c>
      <x:c r="C1775" s="32" t="n">
        <x:v>4</x:v>
      </x:c>
      <x:c r="D1775" s="33" t="str">
        <x:v>{"Dispositivo":"Telas de TV","Freq. méd. impr. / usuário (covisualizadas)":"1.2673351461590754"}</x:v>
      </x:c>
    </x:row>
    <x:row r="1776" ht="24" customHeight="1">
      <x:c r="A1776" s="32" t="str">
        <x:v>F076</x:v>
      </x:c>
      <x:c r="B1776" s="32" t="str">
        <x:v>C07</x:v>
      </x:c>
      <x:c r="C1776" s="32" t="n">
        <x:v>1</x:v>
      </x:c>
      <x:c r="D1776" s="33" t="str">
        <x:v>{"País":"Brazil","Usuários únicos (covisualizados)":"31324","Freq. méd. impr. / usuário (covisualizadas)":"1.5263376324862725"}</x:v>
      </x:c>
    </x:row>
    <x:row r="1777" ht="24" customHeight="1">
      <x:c r="A1777" s="32" t="str">
        <x:v>F077</x:v>
      </x:c>
      <x:c r="B1777" s="32" t="str">
        <x:v>C07</x:v>
      </x:c>
      <x:c r="C1777" s="32" t="n">
        <x:v>1</x:v>
      </x:c>
      <x:c r="D1777" s="33" t="str">
        <x:v>{"Data":"ter., 1 de set. de 2026","Visualizações do TrueView":"0","Cliques":"0","Custo":"R$ 0,00"}</x:v>
      </x:c>
    </x:row>
    <x:row r="1778" ht="24" customHeight="1">
      <x:c r="A1778" s="32" t="str">
        <x:v>F077</x:v>
      </x:c>
      <x:c r="B1778" s="32" t="str">
        <x:v>C07</x:v>
      </x:c>
      <x:c r="C1778" s="32" t="n">
        <x:v>2</x:v>
      </x:c>
      <x:c r="D1778" s="33" t="str">
        <x:v>{"Data":"qua., 2 de set. de 2026","Visualizações do TrueView":"0","Cliques":"0","Custo":"R$ 0,00"}</x:v>
      </x:c>
    </x:row>
    <x:row r="1779" ht="24" customHeight="1">
      <x:c r="A1779" s="32" t="str">
        <x:v>F077</x:v>
      </x:c>
      <x:c r="B1779" s="32" t="str">
        <x:v>C07</x:v>
      </x:c>
      <x:c r="C1779" s="32" t="n">
        <x:v>3</x:v>
      </x:c>
      <x:c r="D1779" s="33" t="str">
        <x:v>{"Data":"qui., 3 de set. de 2026","Visualizações do TrueView":"0","Cliques":"0","Custo":"R$ 0,00"}</x:v>
      </x:c>
    </x:row>
    <x:row r="1780" ht="24" customHeight="1">
      <x:c r="A1780" s="32" t="str">
        <x:v>F077</x:v>
      </x:c>
      <x:c r="B1780" s="32" t="str">
        <x:v>C07</x:v>
      </x:c>
      <x:c r="C1780" s="32" t="n">
        <x:v>4</x:v>
      </x:c>
      <x:c r="D1780" s="33" t="str">
        <x:v>{"Data":"sex., 4 de set. de 2026","Visualizações do TrueView":"0","Cliques":"0","Custo":"R$ 0,00"}</x:v>
      </x:c>
    </x:row>
    <x:row r="1781" ht="24" customHeight="1">
      <x:c r="A1781" s="32" t="str">
        <x:v>F077</x:v>
      </x:c>
      <x:c r="B1781" s="32" t="str">
        <x:v>C07</x:v>
      </x:c>
      <x:c r="C1781" s="32" t="n">
        <x:v>5</x:v>
      </x:c>
      <x:c r="D1781" s="33" t="str">
        <x:v>{"Data":"sáb., 5 de set. de 2026","Visualizações do TrueView":"0","Cliques":"0","Custo":"R$ 0,00"}</x:v>
      </x:c>
    </x:row>
    <x:row r="1782" ht="24" customHeight="1">
      <x:c r="A1782" s="32" t="str">
        <x:v>F077</x:v>
      </x:c>
      <x:c r="B1782" s="32" t="str">
        <x:v>C07</x:v>
      </x:c>
      <x:c r="C1782" s="32" t="n">
        <x:v>6</x:v>
      </x:c>
      <x:c r="D1782" s="33" t="str">
        <x:v>{"Data":"dom., 6 de set. de 2026","Visualizações do TrueView":"0","Cliques":"0","Custo":"R$ 0,00"}</x:v>
      </x:c>
    </x:row>
    <x:row r="1783" ht="24" customHeight="1">
      <x:c r="A1783" s="32" t="str">
        <x:v>F077</x:v>
      </x:c>
      <x:c r="B1783" s="32" t="str">
        <x:v>C07</x:v>
      </x:c>
      <x:c r="C1783" s="32" t="n">
        <x:v>7</x:v>
      </x:c>
      <x:c r="D1783" s="33" t="str">
        <x:v>{"Data":"seg., 7 de set. de 2026","Visualizações do TrueView":"0","Cliques":"0","Custo":"R$ 0,00"}</x:v>
      </x:c>
    </x:row>
    <x:row r="1784" ht="24" customHeight="1">
      <x:c r="A1784" s="32" t="str">
        <x:v>F077</x:v>
      </x:c>
      <x:c r="B1784" s="32" t="str">
        <x:v>C07</x:v>
      </x:c>
      <x:c r="C1784" s="32" t="n">
        <x:v>8</x:v>
      </x:c>
      <x:c r="D1784" s="33" t="str">
        <x:v>{"Data":"ter., 8 de set. de 2026","Visualizações do TrueView":"0","Cliques":"0","Custo":"R$ 0,00"}</x:v>
      </x:c>
    </x:row>
    <x:row r="1785" ht="24" customHeight="1">
      <x:c r="A1785" s="32" t="str">
        <x:v>F077</x:v>
      </x:c>
      <x:c r="B1785" s="32" t="str">
        <x:v>C07</x:v>
      </x:c>
      <x:c r="C1785" s="32" t="n">
        <x:v>9</x:v>
      </x:c>
      <x:c r="D1785" s="33" t="str">
        <x:v>{"Data":"qua., 9 de set. de 2026","Visualizações do TrueView":"0","Cliques":"0","Custo":"R$ 0,00"}</x:v>
      </x:c>
    </x:row>
    <x:row r="1786" ht="24" customHeight="1">
      <x:c r="A1786" s="32" t="str">
        <x:v>F077</x:v>
      </x:c>
      <x:c r="B1786" s="32" t="str">
        <x:v>C07</x:v>
      </x:c>
      <x:c r="C1786" s="32" t="n">
        <x:v>10</x:v>
      </x:c>
      <x:c r="D1786" s="33" t="str">
        <x:v>{"Data":"qui., 10 de set. de 2026","Visualizações do TrueView":"0","Cliques":"0","Custo":"R$ 0,00"}</x:v>
      </x:c>
    </x:row>
    <x:row r="1787" ht="24" customHeight="1">
      <x:c r="A1787" s="32" t="str">
        <x:v>F077</x:v>
      </x:c>
      <x:c r="B1787" s="32" t="str">
        <x:v>C07</x:v>
      </x:c>
      <x:c r="C1787" s="32" t="n">
        <x:v>11</x:v>
      </x:c>
      <x:c r="D1787" s="33" t="str">
        <x:v>{"Data":"sex., 11 de set. de 2026","Visualizações do TrueView":"0","Cliques":"0","Custo":"R$ 0,00"}</x:v>
      </x:c>
    </x:row>
    <x:row r="1788" ht="24" customHeight="1">
      <x:c r="A1788" s="32" t="str">
        <x:v>F077</x:v>
      </x:c>
      <x:c r="B1788" s="32" t="str">
        <x:v>C07</x:v>
      </x:c>
      <x:c r="C1788" s="32" t="n">
        <x:v>12</x:v>
      </x:c>
      <x:c r="D1788" s="33" t="str">
        <x:v>{"Data":"sáb., 12 de set. de 2026","Visualizações do TrueView":"0","Cliques":"0","Custo":"R$ 0,00"}</x:v>
      </x:c>
    </x:row>
    <x:row r="1789" ht="24" customHeight="1">
      <x:c r="A1789" s="32" t="str">
        <x:v>F077</x:v>
      </x:c>
      <x:c r="B1789" s="32" t="str">
        <x:v>C07</x:v>
      </x:c>
      <x:c r="C1789" s="32" t="n">
        <x:v>13</x:v>
      </x:c>
      <x:c r="D1789" s="33" t="str">
        <x:v>{"Data":"dom., 13 de set. de 2026","Visualizações do TrueView":"0","Cliques":"0","Custo":"R$ 0,00"}</x:v>
      </x:c>
    </x:row>
    <x:row r="1790" ht="24" customHeight="1">
      <x:c r="A1790" s="32" t="str">
        <x:v>F077</x:v>
      </x:c>
      <x:c r="B1790" s="32" t="str">
        <x:v>C07</x:v>
      </x:c>
      <x:c r="C1790" s="32" t="n">
        <x:v>14</x:v>
      </x:c>
      <x:c r="D1790" s="33" t="str">
        <x:v>{"Data":"seg., 14 de set. de 2026","Visualizações do TrueView":"0","Cliques":"0","Custo":"R$ 0,00"}</x:v>
      </x:c>
    </x:row>
    <x:row r="1791" ht="24" customHeight="1">
      <x:c r="A1791" s="32" t="str">
        <x:v>F077</x:v>
      </x:c>
      <x:c r="B1791" s="32" t="str">
        <x:v>C07</x:v>
      </x:c>
      <x:c r="C1791" s="32" t="n">
        <x:v>15</x:v>
      </x:c>
      <x:c r="D1791" s="33" t="str">
        <x:v>{"Data":"ter., 15 de set. de 2026","Visualizações do TrueView":"0","Cliques":"0","Custo":"R$ 0,00"}</x:v>
      </x:c>
    </x:row>
    <x:row r="1792" ht="24" customHeight="1">
      <x:c r="A1792" s="32" t="str">
        <x:v>F077</x:v>
      </x:c>
      <x:c r="B1792" s="32" t="str">
        <x:v>C07</x:v>
      </x:c>
      <x:c r="C1792" s="32" t="n">
        <x:v>16</x:v>
      </x:c>
      <x:c r="D1792" s="33" t="str">
        <x:v>{"Data":"qua., 16 de set. de 2026","Visualizações do TrueView":"0","Cliques":"0","Custo":"R$ 0,00"}</x:v>
      </x:c>
    </x:row>
    <x:row r="1793" ht="24" customHeight="1">
      <x:c r="A1793" s="32" t="str">
        <x:v>F077</x:v>
      </x:c>
      <x:c r="B1793" s="32" t="str">
        <x:v>C07</x:v>
      </x:c>
      <x:c r="C1793" s="32" t="n">
        <x:v>17</x:v>
      </x:c>
      <x:c r="D1793" s="33" t="str">
        <x:v>{"Data":"qui., 17 de set. de 2026","Visualizações do TrueView":"0","Cliques":"0","Custo":"R$ 0,00"}</x:v>
      </x:c>
    </x:row>
    <x:row r="1794" ht="24" customHeight="1">
      <x:c r="A1794" s="32" t="str">
        <x:v>F077</x:v>
      </x:c>
      <x:c r="B1794" s="32" t="str">
        <x:v>C07</x:v>
      </x:c>
      <x:c r="C1794" s="32" t="n">
        <x:v>18</x:v>
      </x:c>
      <x:c r="D1794" s="33" t="str">
        <x:v>{"Data":"sex., 18 de set. de 2026","Visualizações do TrueView":"0","Cliques":"0","Custo":"R$ 0,00"}</x:v>
      </x:c>
    </x:row>
    <x:row r="1795" ht="24" customHeight="1">
      <x:c r="A1795" s="32" t="str">
        <x:v>F077</x:v>
      </x:c>
      <x:c r="B1795" s="32" t="str">
        <x:v>C07</x:v>
      </x:c>
      <x:c r="C1795" s="32" t="n">
        <x:v>19</x:v>
      </x:c>
      <x:c r="D1795" s="33" t="str">
        <x:v>{"Data":"sáb., 19 de set. de 2026","Visualizações do TrueView":"0","Cliques":"0","Custo":"R$ 0,00"}</x:v>
      </x:c>
    </x:row>
    <x:row r="1796" ht="24" customHeight="1">
      <x:c r="A1796" s="32" t="str">
        <x:v>F077</x:v>
      </x:c>
      <x:c r="B1796" s="32" t="str">
        <x:v>C07</x:v>
      </x:c>
      <x:c r="C1796" s="32" t="n">
        <x:v>20</x:v>
      </x:c>
      <x:c r="D1796" s="33" t="str">
        <x:v>{"Data":"dom., 20 de set. de 2026","Visualizações do TrueView":"0","Cliques":"0","Custo":"R$ 0,00"}</x:v>
      </x:c>
    </x:row>
    <x:row r="1797" ht="24" customHeight="1">
      <x:c r="A1797" s="32" t="str">
        <x:v>F077</x:v>
      </x:c>
      <x:c r="B1797" s="32" t="str">
        <x:v>C07</x:v>
      </x:c>
      <x:c r="C1797" s="32" t="n">
        <x:v>21</x:v>
      </x:c>
      <x:c r="D1797" s="33" t="str">
        <x:v>{"Data":"seg., 21 de set. de 2026","Visualizações do TrueView":"0","Cliques":"0","Custo":"R$ 0,00"}</x:v>
      </x:c>
    </x:row>
    <x:row r="1798" ht="24" customHeight="1">
      <x:c r="A1798" s="32" t="str">
        <x:v>F077</x:v>
      </x:c>
      <x:c r="B1798" s="32" t="str">
        <x:v>C07</x:v>
      </x:c>
      <x:c r="C1798" s="32" t="n">
        <x:v>22</x:v>
      </x:c>
      <x:c r="D1798" s="33" t="str">
        <x:v>{"Data":"ter., 22 de set. de 2026","Visualizações do TrueView":"0","Cliques":"0","Custo":"R$ 0,00"}</x:v>
      </x:c>
    </x:row>
    <x:row r="1799" ht="24" customHeight="1">
      <x:c r="A1799" s="32" t="str">
        <x:v>F077</x:v>
      </x:c>
      <x:c r="B1799" s="32" t="str">
        <x:v>C07</x:v>
      </x:c>
      <x:c r="C1799" s="32" t="n">
        <x:v>23</x:v>
      </x:c>
      <x:c r="D1799" s="33" t="str">
        <x:v>{"Data":"qua., 23 de set. de 2026","Visualizações do TrueView":"0","Cliques":"0","Custo":"R$ 0,00"}</x:v>
      </x:c>
    </x:row>
    <x:row r="1800" ht="24" customHeight="1">
      <x:c r="A1800" s="32" t="str">
        <x:v>F077</x:v>
      </x:c>
      <x:c r="B1800" s="32" t="str">
        <x:v>C07</x:v>
      </x:c>
      <x:c r="C1800" s="32" t="n">
        <x:v>24</x:v>
      </x:c>
      <x:c r="D1800" s="33" t="str">
        <x:v>{"Data":"qui., 24 de set. de 2026","Visualizações do TrueView":"0","Cliques":"0","Custo":"R$ 0,00"}</x:v>
      </x:c>
    </x:row>
    <x:row r="1801" ht="24" customHeight="1">
      <x:c r="A1801" s="32" t="str">
        <x:v>F077</x:v>
      </x:c>
      <x:c r="B1801" s="32" t="str">
        <x:v>C07</x:v>
      </x:c>
      <x:c r="C1801" s="32" t="n">
        <x:v>25</x:v>
      </x:c>
      <x:c r="D1801" s="33" t="str">
        <x:v>{"Data":"sex., 25 de set. de 2026","Visualizações do TrueView":"0","Cliques":"0","Custo":"R$ 0,00"}</x:v>
      </x:c>
    </x:row>
    <x:row r="1802" ht="24" customHeight="1">
      <x:c r="A1802" s="32" t="str">
        <x:v>F077</x:v>
      </x:c>
      <x:c r="B1802" s="32" t="str">
        <x:v>C07</x:v>
      </x:c>
      <x:c r="C1802" s="32" t="n">
        <x:v>26</x:v>
      </x:c>
      <x:c r="D1802" s="33" t="str">
        <x:v>{"Data":"sáb., 26 de set. de 2026","Visualizações do TrueView":"0","Cliques":"0","Custo":"R$ 0,00"}</x:v>
      </x:c>
    </x:row>
    <x:row r="1803" ht="24" customHeight="1">
      <x:c r="A1803" s="32" t="str">
        <x:v>F077</x:v>
      </x:c>
      <x:c r="B1803" s="32" t="str">
        <x:v>C07</x:v>
      </x:c>
      <x:c r="C1803" s="32" t="n">
        <x:v>27</x:v>
      </x:c>
      <x:c r="D1803" s="33" t="str">
        <x:v>{"Data":"dom., 27 de set. de 2026","Visualizações do TrueView":"0","Cliques":"0","Custo":"R$ 0,00"}</x:v>
      </x:c>
    </x:row>
    <x:row r="1804" ht="24" customHeight="1">
      <x:c r="A1804" s="32" t="str">
        <x:v>F077</x:v>
      </x:c>
      <x:c r="B1804" s="32" t="str">
        <x:v>C07</x:v>
      </x:c>
      <x:c r="C1804" s="32" t="n">
        <x:v>28</x:v>
      </x:c>
      <x:c r="D1804" s="33" t="str">
        <x:v>{"Data":"seg., 28 de set. de 2026","Visualizações do TrueView":"0","Cliques":"0","Custo":"R$ 0,00"}</x:v>
      </x:c>
    </x:row>
    <x:row r="1805" ht="24" customHeight="1">
      <x:c r="A1805" s="32" t="str">
        <x:v>F077</x:v>
      </x:c>
      <x:c r="B1805" s="32" t="str">
        <x:v>C07</x:v>
      </x:c>
      <x:c r="C1805" s="32" t="n">
        <x:v>29</x:v>
      </x:c>
      <x:c r="D1805" s="33" t="str">
        <x:v>{"Data":"ter., 29 de set. de 2026","Visualizações do TrueView":"0","Cliques":"0","Custo":"R$ 0,00"}</x:v>
      </x:c>
    </x:row>
    <x:row r="1806" ht="24" customHeight="1">
      <x:c r="A1806" s="32" t="str">
        <x:v>F077</x:v>
      </x:c>
      <x:c r="B1806" s="32" t="str">
        <x:v>C07</x:v>
      </x:c>
      <x:c r="C1806" s="32" t="n">
        <x:v>30</x:v>
      </x:c>
      <x:c r="D1806" s="33" t="str">
        <x:v>{"Data":"qua., 30 de set. de 2026","Visualizações do TrueView":"0","Cliques":"0","Custo":"R$ 0,00"}</x:v>
      </x:c>
    </x:row>
    <x:row r="1807" ht="24" customHeight="1">
      <x:c r="A1807" s="32" t="str">
        <x:v>F077</x:v>
      </x:c>
      <x:c r="B1807" s="32" t="str">
        <x:v>C07</x:v>
      </x:c>
      <x:c r="C1807" s="32" t="n">
        <x:v>31</x:v>
      </x:c>
      <x:c r="D1807" s="33" t="str">
        <x:v>{"Data":"qui., 1 de out. de 2026","Visualizações do TrueView":"0","Cliques":"0","Custo":"R$ 0,00"}</x:v>
      </x:c>
    </x:row>
    <x:row r="1808" ht="24" customHeight="1">
      <x:c r="A1808" s="32" t="str">
        <x:v>F077</x:v>
      </x:c>
      <x:c r="B1808" s="32" t="str">
        <x:v>C07</x:v>
      </x:c>
      <x:c r="C1808" s="32" t="n">
        <x:v>32</x:v>
      </x:c>
      <x:c r="D1808" s="33" t="str">
        <x:v>{"Data":"sex., 2 de out. de 2026","Visualizações do TrueView":"0","Cliques":"0","Custo":"R$ 0,00"}</x:v>
      </x:c>
    </x:row>
    <x:row r="1809" ht="24" customHeight="1">
      <x:c r="A1809" s="32" t="str">
        <x:v>F077</x:v>
      </x:c>
      <x:c r="B1809" s="32" t="str">
        <x:v>C07</x:v>
      </x:c>
      <x:c r="C1809" s="32" t="n">
        <x:v>33</x:v>
      </x:c>
      <x:c r="D1809" s="33" t="str">
        <x:v>{"Data":"sáb., 3 de out. de 2026","Visualizações do TrueView":"0","Cliques":"0","Custo":"R$ 0,00"}</x:v>
      </x:c>
    </x:row>
    <x:row r="1810" ht="24" customHeight="1">
      <x:c r="A1810" s="32" t="str">
        <x:v>F077</x:v>
      </x:c>
      <x:c r="B1810" s="32" t="str">
        <x:v>C07</x:v>
      </x:c>
      <x:c r="C1810" s="32" t="n">
        <x:v>34</x:v>
      </x:c>
      <x:c r="D1810" s="33" t="str">
        <x:v>{"Data":"dom., 4 de out. de 2026","Visualizações do TrueView":"0","Cliques":"0","Custo":"R$ 0,00"}</x:v>
      </x:c>
    </x:row>
    <x:row r="1811" ht="24" customHeight="1">
      <x:c r="A1811" s="32" t="str">
        <x:v>F077</x:v>
      </x:c>
      <x:c r="B1811" s="32" t="str">
        <x:v>C07</x:v>
      </x:c>
      <x:c r="C1811" s="32" t="n">
        <x:v>35</x:v>
      </x:c>
      <x:c r="D1811" s="33" t="str">
        <x:v>{"Data":"seg., 5 de out. de 2026","Visualizações do TrueView":"0","Cliques":"0","Custo":"R$ 0,00"}</x:v>
      </x:c>
    </x:row>
    <x:row r="1812" ht="24" customHeight="1">
      <x:c r="A1812" s="32" t="str">
        <x:v>F077</x:v>
      </x:c>
      <x:c r="B1812" s="32" t="str">
        <x:v>C07</x:v>
      </x:c>
      <x:c r="C1812" s="32" t="n">
        <x:v>36</x:v>
      </x:c>
      <x:c r="D1812" s="33" t="str">
        <x:v>{"Data":"ter., 6 de out. de 2026","Visualizações do TrueView":"0","Cliques":"0","Custo":"R$ 0,00"}</x:v>
      </x:c>
    </x:row>
    <x:row r="1813" ht="24" customHeight="1">
      <x:c r="A1813" s="32" t="str">
        <x:v>F077</x:v>
      </x:c>
      <x:c r="B1813" s="32" t="str">
        <x:v>C07</x:v>
      </x:c>
      <x:c r="C1813" s="32" t="n">
        <x:v>37</x:v>
      </x:c>
      <x:c r="D1813" s="33" t="str">
        <x:v>{"Data":"qua., 7 de out. de 2026","Visualizações do TrueView":"3","Cliques":"13","Custo":"R$ 14,92"}</x:v>
      </x:c>
    </x:row>
    <x:row r="1814" ht="24" customHeight="1">
      <x:c r="A1814" s="32" t="str">
        <x:v>F077</x:v>
      </x:c>
      <x:c r="B1814" s="32" t="str">
        <x:v>C07</x:v>
      </x:c>
      <x:c r="C1814" s="32" t="n">
        <x:v>38</x:v>
      </x:c>
      <x:c r="D1814" s="33" t="str">
        <x:v>{"Data":"qui., 8 de out. de 2026","Visualizações do TrueView":"8","Cliques":"13","Custo":"R$ 15,85"}</x:v>
      </x:c>
    </x:row>
    <x:row r="1815" ht="24" customHeight="1">
      <x:c r="A1815" s="32" t="str">
        <x:v>F077</x:v>
      </x:c>
      <x:c r="B1815" s="32" t="str">
        <x:v>C07</x:v>
      </x:c>
      <x:c r="C1815" s="32" t="n">
        <x:v>39</x:v>
      </x:c>
      <x:c r="D1815" s="33" t="str">
        <x:v>{"Data":"sex., 9 de out. de 2026","Visualizações do TrueView":"22","Cliques":"3","Custo":"R$ 15,88"}</x:v>
      </x:c>
    </x:row>
    <x:row r="1816" ht="24" customHeight="1">
      <x:c r="A1816" s="32" t="str">
        <x:v>F077</x:v>
      </x:c>
      <x:c r="B1816" s="32" t="str">
        <x:v>C07</x:v>
      </x:c>
      <x:c r="C1816" s="32" t="n">
        <x:v>40</x:v>
      </x:c>
      <x:c r="D1816" s="33" t="str">
        <x:v>{"Data":"sáb., 10 de out. de 2026","Visualizações do TrueView":"1","Cliques":"1","Custo":"R$ 15,68"}</x:v>
      </x:c>
    </x:row>
    <x:row r="1817" ht="24" customHeight="1">
      <x:c r="A1817" s="32" t="str">
        <x:v>F077</x:v>
      </x:c>
      <x:c r="B1817" s="32" t="str">
        <x:v>C07</x:v>
      </x:c>
      <x:c r="C1817" s="32" t="n">
        <x:v>41</x:v>
      </x:c>
      <x:c r="D1817" s="33" t="str">
        <x:v>{"Data":"dom., 11 de out. de 2026","Visualizações do TrueView":"7","Cliques":"4","Custo":"R$ 15,67"}</x:v>
      </x:c>
    </x:row>
    <x:row r="1818" ht="24" customHeight="1">
      <x:c r="A1818" s="32" t="str">
        <x:v>F077</x:v>
      </x:c>
      <x:c r="B1818" s="32" t="str">
        <x:v>C07</x:v>
      </x:c>
      <x:c r="C1818" s="32" t="n">
        <x:v>42</x:v>
      </x:c>
      <x:c r="D1818" s="33" t="str">
        <x:v>{"Data":"seg., 12 de out. de 2026","Visualizações do TrueView":"12","Cliques":"7","Custo":"R$ 15,63"}</x:v>
      </x:c>
    </x:row>
    <x:row r="1819" ht="24" customHeight="1">
      <x:c r="A1819" s="32" t="str">
        <x:v>F077</x:v>
      </x:c>
      <x:c r="B1819" s="32" t="str">
        <x:v>C07</x:v>
      </x:c>
      <x:c r="C1819" s="32" t="n">
        <x:v>43</x:v>
      </x:c>
      <x:c r="D1819" s="33" t="str">
        <x:v>{"Data":"ter., 13 de out. de 2026","Visualizações do TrueView":"11","Cliques":"9","Custo":"R$ 15,62"}</x:v>
      </x:c>
    </x:row>
    <x:row r="1820" ht="24" customHeight="1">
      <x:c r="A1820" s="32" t="str">
        <x:v>F077</x:v>
      </x:c>
      <x:c r="B1820" s="32" t="str">
        <x:v>C07</x:v>
      </x:c>
      <x:c r="C1820" s="32" t="n">
        <x:v>44</x:v>
      </x:c>
      <x:c r="D1820" s="33" t="str">
        <x:v>{"Data":"qua., 14 de out. de 2026","Visualizações do TrueView":"0","Cliques":"0","Custo":"R$ 3,42"}</x:v>
      </x:c>
    </x:row>
    <x:row r="1821" ht="24" customHeight="1">
      <x:c r="A1821" s="32" t="str">
        <x:v>F078</x:v>
      </x:c>
      <x:c r="B1821" s="32" t="str">
        <x:v>C07</x:v>
      </x:c>
      <x:c r="C1821" s="32" t="n">
        <x:v>1</x:v>
      </x:c>
      <x:c r="D1821" s="33" t="str">
        <x:v>{"Data":"ter., 1 de set. de 2026","Cliques":"0","Visualizações públicas do YouTube":"0","Shorts":"—","Custo":"R$ 0,00"}</x:v>
      </x:c>
    </x:row>
    <x:row r="1822" ht="24" customHeight="1">
      <x:c r="A1822" s="32" t="str">
        <x:v>F078</x:v>
      </x:c>
      <x:c r="B1822" s="32" t="str">
        <x:v>C07</x:v>
      </x:c>
      <x:c r="C1822" s="32" t="n">
        <x:v>2</x:v>
      </x:c>
      <x:c r="D1822" s="33" t="str">
        <x:v>{"Data":"qua., 2 de set. de 2026","Cliques":"0","Visualizações públicas do YouTube":"0","Shorts":"—","Custo":"R$ 0,00"}</x:v>
      </x:c>
    </x:row>
    <x:row r="1823" ht="24" customHeight="1">
      <x:c r="A1823" s="32" t="str">
        <x:v>F078</x:v>
      </x:c>
      <x:c r="B1823" s="32" t="str">
        <x:v>C07</x:v>
      </x:c>
      <x:c r="C1823" s="32" t="n">
        <x:v>3</x:v>
      </x:c>
      <x:c r="D1823" s="33" t="str">
        <x:v>{"Data":"qui., 3 de set. de 2026","Cliques":"0","Visualizações públicas do YouTube":"0","Shorts":"—","Custo":"R$ 0,00"}</x:v>
      </x:c>
    </x:row>
    <x:row r="1824" ht="24" customHeight="1">
      <x:c r="A1824" s="32" t="str">
        <x:v>F078</x:v>
      </x:c>
      <x:c r="B1824" s="32" t="str">
        <x:v>C07</x:v>
      </x:c>
      <x:c r="C1824" s="32" t="n">
        <x:v>4</x:v>
      </x:c>
      <x:c r="D1824" s="33" t="str">
        <x:v>{"Data":"sex., 4 de set. de 2026","Cliques":"0","Visualizações públicas do YouTube":"0","Shorts":"—","Custo":"R$ 0,00"}</x:v>
      </x:c>
    </x:row>
    <x:row r="1825" ht="24" customHeight="1">
      <x:c r="A1825" s="32" t="str">
        <x:v>F078</x:v>
      </x:c>
      <x:c r="B1825" s="32" t="str">
        <x:v>C07</x:v>
      </x:c>
      <x:c r="C1825" s="32" t="n">
        <x:v>5</x:v>
      </x:c>
      <x:c r="D1825" s="33" t="str">
        <x:v>{"Data":"sáb., 5 de set. de 2026","Cliques":"0","Visualizações públicas do YouTube":"0","Shorts":"—","Custo":"R$ 0,00"}</x:v>
      </x:c>
    </x:row>
    <x:row r="1826" ht="24" customHeight="1">
      <x:c r="A1826" s="32" t="str">
        <x:v>F078</x:v>
      </x:c>
      <x:c r="B1826" s="32" t="str">
        <x:v>C07</x:v>
      </x:c>
      <x:c r="C1826" s="32" t="n">
        <x:v>6</x:v>
      </x:c>
      <x:c r="D1826" s="33" t="str">
        <x:v>{"Data":"dom., 6 de set. de 2026","Cliques":"0","Visualizações públicas do YouTube":"0","Shorts":"—","Custo":"R$ 0,00"}</x:v>
      </x:c>
    </x:row>
    <x:row r="1827" ht="24" customHeight="1">
      <x:c r="A1827" s="32" t="str">
        <x:v>F078</x:v>
      </x:c>
      <x:c r="B1827" s="32" t="str">
        <x:v>C07</x:v>
      </x:c>
      <x:c r="C1827" s="32" t="n">
        <x:v>7</x:v>
      </x:c>
      <x:c r="D1827" s="33" t="str">
        <x:v>{"Data":"seg., 7 de set. de 2026","Cliques":"0","Visualizações públicas do YouTube":"0","Shorts":"—","Custo":"R$ 0,00"}</x:v>
      </x:c>
    </x:row>
    <x:row r="1828" ht="24" customHeight="1">
      <x:c r="A1828" s="32" t="str">
        <x:v>F078</x:v>
      </x:c>
      <x:c r="B1828" s="32" t="str">
        <x:v>C07</x:v>
      </x:c>
      <x:c r="C1828" s="32" t="n">
        <x:v>8</x:v>
      </x:c>
      <x:c r="D1828" s="33" t="str">
        <x:v>{"Data":"ter., 8 de set. de 2026","Cliques":"0","Visualizações públicas do YouTube":"0","Shorts":"—","Custo":"R$ 0,00"}</x:v>
      </x:c>
    </x:row>
    <x:row r="1829" ht="24" customHeight="1">
      <x:c r="A1829" s="32" t="str">
        <x:v>F078</x:v>
      </x:c>
      <x:c r="B1829" s="32" t="str">
        <x:v>C07</x:v>
      </x:c>
      <x:c r="C1829" s="32" t="n">
        <x:v>9</x:v>
      </x:c>
      <x:c r="D1829" s="33" t="str">
        <x:v>{"Data":"qua., 9 de set. de 2026","Cliques":"0","Visualizações públicas do YouTube":"0","Shorts":"—","Custo":"R$ 0,00"}</x:v>
      </x:c>
    </x:row>
    <x:row r="1830" ht="24" customHeight="1">
      <x:c r="A1830" s="32" t="str">
        <x:v>F078</x:v>
      </x:c>
      <x:c r="B1830" s="32" t="str">
        <x:v>C07</x:v>
      </x:c>
      <x:c r="C1830" s="32" t="n">
        <x:v>10</x:v>
      </x:c>
      <x:c r="D1830" s="33" t="str">
        <x:v>{"Data":"qui., 10 de set. de 2026","Cliques":"0","Visualizações públicas do YouTube":"0","Shorts":"—","Custo":"R$ 0,00"}</x:v>
      </x:c>
    </x:row>
    <x:row r="1831" ht="24" customHeight="1">
      <x:c r="A1831" s="32" t="str">
        <x:v>F078</x:v>
      </x:c>
      <x:c r="B1831" s="32" t="str">
        <x:v>C07</x:v>
      </x:c>
      <x:c r="C1831" s="32" t="n">
        <x:v>11</x:v>
      </x:c>
      <x:c r="D1831" s="33" t="str">
        <x:v>{"Data":"sex., 11 de set. de 2026","Cliques":"0","Visualizações públicas do YouTube":"0","Shorts":"—","Custo":"R$ 0,00"}</x:v>
      </x:c>
    </x:row>
    <x:row r="1832" ht="24" customHeight="1">
      <x:c r="A1832" s="32" t="str">
        <x:v>F078</x:v>
      </x:c>
      <x:c r="B1832" s="32" t="str">
        <x:v>C07</x:v>
      </x:c>
      <x:c r="C1832" s="32" t="n">
        <x:v>12</x:v>
      </x:c>
      <x:c r="D1832" s="33" t="str">
        <x:v>{"Data":"sáb., 12 de set. de 2026","Cliques":"0","Visualizações públicas do YouTube":"0","Shorts":"—","Custo":"R$ 0,00"}</x:v>
      </x:c>
    </x:row>
    <x:row r="1833" ht="24" customHeight="1">
      <x:c r="A1833" s="32" t="str">
        <x:v>F078</x:v>
      </x:c>
      <x:c r="B1833" s="32" t="str">
        <x:v>C07</x:v>
      </x:c>
      <x:c r="C1833" s="32" t="n">
        <x:v>13</x:v>
      </x:c>
      <x:c r="D1833" s="33" t="str">
        <x:v>{"Data":"dom., 13 de set. de 2026","Cliques":"0","Visualizações públicas do YouTube":"0","Shorts":"—","Custo":"R$ 0,00"}</x:v>
      </x:c>
    </x:row>
    <x:row r="1834" ht="24" customHeight="1">
      <x:c r="A1834" s="32" t="str">
        <x:v>F078</x:v>
      </x:c>
      <x:c r="B1834" s="32" t="str">
        <x:v>C07</x:v>
      </x:c>
      <x:c r="C1834" s="32" t="n">
        <x:v>14</x:v>
      </x:c>
      <x:c r="D1834" s="33" t="str">
        <x:v>{"Data":"seg., 14 de set. de 2026","Cliques":"0","Visualizações públicas do YouTube":"0","Shorts":"—","Custo":"R$ 0,00"}</x:v>
      </x:c>
    </x:row>
    <x:row r="1835" ht="24" customHeight="1">
      <x:c r="A1835" s="32" t="str">
        <x:v>F078</x:v>
      </x:c>
      <x:c r="B1835" s="32" t="str">
        <x:v>C07</x:v>
      </x:c>
      <x:c r="C1835" s="32" t="n">
        <x:v>15</x:v>
      </x:c>
      <x:c r="D1835" s="33" t="str">
        <x:v>{"Data":"ter., 15 de set. de 2026","Cliques":"0","Visualizações públicas do YouTube":"0","Shorts":"—","Custo":"R$ 0,00"}</x:v>
      </x:c>
    </x:row>
    <x:row r="1836" ht="24" customHeight="1">
      <x:c r="A1836" s="32" t="str">
        <x:v>F078</x:v>
      </x:c>
      <x:c r="B1836" s="32" t="str">
        <x:v>C07</x:v>
      </x:c>
      <x:c r="C1836" s="32" t="n">
        <x:v>16</x:v>
      </x:c>
      <x:c r="D1836" s="33" t="str">
        <x:v>{"Data":"qua., 16 de set. de 2026","Cliques":"0","Visualizações públicas do YouTube":"0","Shorts":"—","Custo":"R$ 0,00"}</x:v>
      </x:c>
    </x:row>
    <x:row r="1837" ht="24" customHeight="1">
      <x:c r="A1837" s="32" t="str">
        <x:v>F078</x:v>
      </x:c>
      <x:c r="B1837" s="32" t="str">
        <x:v>C07</x:v>
      </x:c>
      <x:c r="C1837" s="32" t="n">
        <x:v>17</x:v>
      </x:c>
      <x:c r="D1837" s="33" t="str">
        <x:v>{"Data":"qui., 17 de set. de 2026","Cliques":"0","Visualizações públicas do YouTube":"0","Shorts":"—","Custo":"R$ 0,00"}</x:v>
      </x:c>
    </x:row>
    <x:row r="1838" ht="24" customHeight="1">
      <x:c r="A1838" s="32" t="str">
        <x:v>F078</x:v>
      </x:c>
      <x:c r="B1838" s="32" t="str">
        <x:v>C07</x:v>
      </x:c>
      <x:c r="C1838" s="32" t="n">
        <x:v>18</x:v>
      </x:c>
      <x:c r="D1838" s="33" t="str">
        <x:v>{"Data":"sex., 18 de set. de 2026","Cliques":"0","Visualizações públicas do YouTube":"0","Shorts":"—","Custo":"R$ 0,00"}</x:v>
      </x:c>
    </x:row>
    <x:row r="1839" ht="24" customHeight="1">
      <x:c r="A1839" s="32" t="str">
        <x:v>F078</x:v>
      </x:c>
      <x:c r="B1839" s="32" t="str">
        <x:v>C07</x:v>
      </x:c>
      <x:c r="C1839" s="32" t="n">
        <x:v>19</x:v>
      </x:c>
      <x:c r="D1839" s="33" t="str">
        <x:v>{"Data":"sáb., 19 de set. de 2026","Cliques":"0","Visualizações públicas do YouTube":"0","Shorts":"—","Custo":"R$ 0,00"}</x:v>
      </x:c>
    </x:row>
    <x:row r="1840" ht="24" customHeight="1">
      <x:c r="A1840" s="32" t="str">
        <x:v>F078</x:v>
      </x:c>
      <x:c r="B1840" s="32" t="str">
        <x:v>C07</x:v>
      </x:c>
      <x:c r="C1840" s="32" t="n">
        <x:v>20</x:v>
      </x:c>
      <x:c r="D1840" s="33" t="str">
        <x:v>{"Data":"dom., 20 de set. de 2026","Cliques":"0","Visualizações públicas do YouTube":"0","Shorts":"—","Custo":"R$ 0,00"}</x:v>
      </x:c>
    </x:row>
    <x:row r="1841" ht="24" customHeight="1">
      <x:c r="A1841" s="32" t="str">
        <x:v>F078</x:v>
      </x:c>
      <x:c r="B1841" s="32" t="str">
        <x:v>C07</x:v>
      </x:c>
      <x:c r="C1841" s="32" t="n">
        <x:v>21</x:v>
      </x:c>
      <x:c r="D1841" s="33" t="str">
        <x:v>{"Data":"seg., 21 de set. de 2026","Cliques":"0","Visualizações públicas do YouTube":"0","Shorts":"—","Custo":"R$ 0,00"}</x:v>
      </x:c>
    </x:row>
    <x:row r="1842" ht="24" customHeight="1">
      <x:c r="A1842" s="32" t="str">
        <x:v>F078</x:v>
      </x:c>
      <x:c r="B1842" s="32" t="str">
        <x:v>C07</x:v>
      </x:c>
      <x:c r="C1842" s="32" t="n">
        <x:v>22</x:v>
      </x:c>
      <x:c r="D1842" s="33" t="str">
        <x:v>{"Data":"ter., 22 de set. de 2026","Cliques":"0","Visualizações públicas do YouTube":"0","Shorts":"—","Custo":"R$ 0,00"}</x:v>
      </x:c>
    </x:row>
    <x:row r="1843" ht="24" customHeight="1">
      <x:c r="A1843" s="32" t="str">
        <x:v>F078</x:v>
      </x:c>
      <x:c r="B1843" s="32" t="str">
        <x:v>C07</x:v>
      </x:c>
      <x:c r="C1843" s="32" t="n">
        <x:v>23</x:v>
      </x:c>
      <x:c r="D1843" s="33" t="str">
        <x:v>{"Data":"qua., 23 de set. de 2026","Cliques":"0","Visualizações públicas do YouTube":"0","Shorts":"—","Custo":"R$ 0,00"}</x:v>
      </x:c>
    </x:row>
    <x:row r="1844" ht="24" customHeight="1">
      <x:c r="A1844" s="32" t="str">
        <x:v>F078</x:v>
      </x:c>
      <x:c r="B1844" s="32" t="str">
        <x:v>C07</x:v>
      </x:c>
      <x:c r="C1844" s="32" t="n">
        <x:v>24</x:v>
      </x:c>
      <x:c r="D1844" s="33" t="str">
        <x:v>{"Data":"qui., 24 de set. de 2026","Cliques":"0","Visualizações públicas do YouTube":"0","Shorts":"—","Custo":"R$ 0,00"}</x:v>
      </x:c>
    </x:row>
    <x:row r="1845" ht="24" customHeight="1">
      <x:c r="A1845" s="32" t="str">
        <x:v>F078</x:v>
      </x:c>
      <x:c r="B1845" s="32" t="str">
        <x:v>C07</x:v>
      </x:c>
      <x:c r="C1845" s="32" t="n">
        <x:v>25</x:v>
      </x:c>
      <x:c r="D1845" s="33" t="str">
        <x:v>{"Data":"sex., 25 de set. de 2026","Cliques":"0","Visualizações públicas do YouTube":"0","Shorts":"—","Custo":"R$ 0,00"}</x:v>
      </x:c>
    </x:row>
    <x:row r="1846" ht="24" customHeight="1">
      <x:c r="A1846" s="32" t="str">
        <x:v>F078</x:v>
      </x:c>
      <x:c r="B1846" s="32" t="str">
        <x:v>C07</x:v>
      </x:c>
      <x:c r="C1846" s="32" t="n">
        <x:v>26</x:v>
      </x:c>
      <x:c r="D1846" s="33" t="str">
        <x:v>{"Data":"sáb., 26 de set. de 2026","Cliques":"0","Visualizações públicas do YouTube":"0","Shorts":"—","Custo":"R$ 0,00"}</x:v>
      </x:c>
    </x:row>
    <x:row r="1847" ht="24" customHeight="1">
      <x:c r="A1847" s="32" t="str">
        <x:v>F078</x:v>
      </x:c>
      <x:c r="B1847" s="32" t="str">
        <x:v>C07</x:v>
      </x:c>
      <x:c r="C1847" s="32" t="n">
        <x:v>27</x:v>
      </x:c>
      <x:c r="D1847" s="33" t="str">
        <x:v>{"Data":"dom., 27 de set. de 2026","Cliques":"0","Visualizações públicas do YouTube":"0","Shorts":"—","Custo":"R$ 0,00"}</x:v>
      </x:c>
    </x:row>
    <x:row r="1848" ht="24" customHeight="1">
      <x:c r="A1848" s="32" t="str">
        <x:v>F078</x:v>
      </x:c>
      <x:c r="B1848" s="32" t="str">
        <x:v>C07</x:v>
      </x:c>
      <x:c r="C1848" s="32" t="n">
        <x:v>28</x:v>
      </x:c>
      <x:c r="D1848" s="33" t="str">
        <x:v>{"Data":"seg., 28 de set. de 2026","Cliques":"0","Visualizações públicas do YouTube":"0","Shorts":"—","Custo":"R$ 0,00"}</x:v>
      </x:c>
    </x:row>
    <x:row r="1849" ht="24" customHeight="1">
      <x:c r="A1849" s="32" t="str">
        <x:v>F078</x:v>
      </x:c>
      <x:c r="B1849" s="32" t="str">
        <x:v>C07</x:v>
      </x:c>
      <x:c r="C1849" s="32" t="n">
        <x:v>29</x:v>
      </x:c>
      <x:c r="D1849" s="33" t="str">
        <x:v>{"Data":"ter., 29 de set. de 2026","Cliques":"0","Visualizações públicas do YouTube":"0","Shorts":"—","Custo":"R$ 0,00"}</x:v>
      </x:c>
    </x:row>
    <x:row r="1850" ht="24" customHeight="1">
      <x:c r="A1850" s="32" t="str">
        <x:v>F078</x:v>
      </x:c>
      <x:c r="B1850" s="32" t="str">
        <x:v>C07</x:v>
      </x:c>
      <x:c r="C1850" s="32" t="n">
        <x:v>30</x:v>
      </x:c>
      <x:c r="D1850" s="33" t="str">
        <x:v>{"Data":"qua., 30 de set. de 2026","Cliques":"0","Visualizações públicas do YouTube":"0","Shorts":"—","Custo":"R$ 0,00"}</x:v>
      </x:c>
    </x:row>
    <x:row r="1851" ht="24" customHeight="1">
      <x:c r="A1851" s="32" t="str">
        <x:v>F078</x:v>
      </x:c>
      <x:c r="B1851" s="32" t="str">
        <x:v>C07</x:v>
      </x:c>
      <x:c r="C1851" s="32" t="n">
        <x:v>31</x:v>
      </x:c>
      <x:c r="D1851" s="33" t="str">
        <x:v>{"Data":"qui., 1 de out. de 2026","Cliques":"0","Visualizações públicas do YouTube":"0","Shorts":"—","Custo":"R$ 0,00"}</x:v>
      </x:c>
    </x:row>
    <x:row r="1852" ht="24" customHeight="1">
      <x:c r="A1852" s="32" t="str">
        <x:v>F078</x:v>
      </x:c>
      <x:c r="B1852" s="32" t="str">
        <x:v>C07</x:v>
      </x:c>
      <x:c r="C1852" s="32" t="n">
        <x:v>32</x:v>
      </x:c>
      <x:c r="D1852" s="33" t="str">
        <x:v>{"Data":"sex., 2 de out. de 2026","Cliques":"0","Visualizações públicas do YouTube":"0","Shorts":"—","Custo":"R$ 0,00"}</x:v>
      </x:c>
    </x:row>
    <x:row r="1853" ht="24" customHeight="1">
      <x:c r="A1853" s="32" t="str">
        <x:v>F078</x:v>
      </x:c>
      <x:c r="B1853" s="32" t="str">
        <x:v>C07</x:v>
      </x:c>
      <x:c r="C1853" s="32" t="n">
        <x:v>33</x:v>
      </x:c>
      <x:c r="D1853" s="33" t="str">
        <x:v>{"Data":"sáb., 3 de out. de 2026","Cliques":"0","Visualizações públicas do YouTube":"0","Shorts":"—","Custo":"R$ 0,00"}</x:v>
      </x:c>
    </x:row>
    <x:row r="1854" ht="24" customHeight="1">
      <x:c r="A1854" s="32" t="str">
        <x:v>F078</x:v>
      </x:c>
      <x:c r="B1854" s="32" t="str">
        <x:v>C07</x:v>
      </x:c>
      <x:c r="C1854" s="32" t="n">
        <x:v>34</x:v>
      </x:c>
      <x:c r="D1854" s="33" t="str">
        <x:v>{"Data":"dom., 4 de out. de 2026","Cliques":"0","Visualizações públicas do YouTube":"0","Shorts":"—","Custo":"R$ 0,00"}</x:v>
      </x:c>
    </x:row>
    <x:row r="1855" ht="24" customHeight="1">
      <x:c r="A1855" s="32" t="str">
        <x:v>F078</x:v>
      </x:c>
      <x:c r="B1855" s="32" t="str">
        <x:v>C07</x:v>
      </x:c>
      <x:c r="C1855" s="32" t="n">
        <x:v>35</x:v>
      </x:c>
      <x:c r="D1855" s="33" t="str">
        <x:v>{"Data":"seg., 5 de out. de 2026","Cliques":"0","Visualizações públicas do YouTube":"0","Shorts":"—","Custo":"R$ 0,00"}</x:v>
      </x:c>
    </x:row>
    <x:row r="1856" ht="24" customHeight="1">
      <x:c r="A1856" s="32" t="str">
        <x:v>F078</x:v>
      </x:c>
      <x:c r="B1856" s="32" t="str">
        <x:v>C07</x:v>
      </x:c>
      <x:c r="C1856" s="32" t="n">
        <x:v>36</x:v>
      </x:c>
      <x:c r="D1856" s="33" t="str">
        <x:v>{"Data":"ter., 6 de out. de 2026","Cliques":"0","Visualizações públicas do YouTube":"0","Shorts":"—","Custo":"R$ 0,00"}</x:v>
      </x:c>
    </x:row>
    <x:row r="1857" ht="24" customHeight="1">
      <x:c r="A1857" s="32" t="str">
        <x:v>F078</x:v>
      </x:c>
      <x:c r="B1857" s="32" t="str">
        <x:v>C07</x:v>
      </x:c>
      <x:c r="C1857" s="32" t="n">
        <x:v>37</x:v>
      </x:c>
      <x:c r="D1857" s="33" t="str">
        <x:v>{"Data":"qua., 7 de out. de 2026","Cliques":"13","Visualizações públicas do YouTube":"659","Shorts":"0,00%","Custo":"R$ 14,92"}</x:v>
      </x:c>
    </x:row>
    <x:row r="1858" ht="24" customHeight="1">
      <x:c r="A1858" s="32" t="str">
        <x:v>F078</x:v>
      </x:c>
      <x:c r="B1858" s="32" t="str">
        <x:v>C07</x:v>
      </x:c>
      <x:c r="C1858" s="32" t="n">
        <x:v>38</x:v>
      </x:c>
      <x:c r="D1858" s="33" t="str">
        <x:v>{"Data":"qui., 8 de out. de 2026","Cliques":"13","Visualizações públicas do YouTube":"1.792","Shorts":"0,07%","Custo":"R$ 15,85"}</x:v>
      </x:c>
    </x:row>
    <x:row r="1859" ht="24" customHeight="1">
      <x:c r="A1859" s="32" t="str">
        <x:v>F078</x:v>
      </x:c>
      <x:c r="B1859" s="32" t="str">
        <x:v>C07</x:v>
      </x:c>
      <x:c r="C1859" s="32" t="n">
        <x:v>39</x:v>
      </x:c>
      <x:c r="D1859" s="33" t="str">
        <x:v>{"Data":"sex., 9 de out. de 2026","Cliques":"3","Visualizações públicas do YouTube":"2.225","Shorts":"0,12%","Custo":"R$ 15,88"}</x:v>
      </x:c>
    </x:row>
    <x:row r="1860" ht="24" customHeight="1">
      <x:c r="A1860" s="32" t="str">
        <x:v>F078</x:v>
      </x:c>
      <x:c r="B1860" s="32" t="str">
        <x:v>C07</x:v>
      </x:c>
      <x:c r="C1860" s="32" t="n">
        <x:v>40</x:v>
      </x:c>
      <x:c r="D1860" s="33" t="str">
        <x:v>{"Data":"sáb., 10 de out. de 2026","Cliques":"1","Visualizações públicas do YouTube":"3.477","Shorts":"0,00%","Custo":"R$ 15,68"}</x:v>
      </x:c>
    </x:row>
    <x:row r="1861" ht="24" customHeight="1">
      <x:c r="A1861" s="32" t="str">
        <x:v>F078</x:v>
      </x:c>
      <x:c r="B1861" s="32" t="str">
        <x:v>C07</x:v>
      </x:c>
      <x:c r="C1861" s="32" t="n">
        <x:v>41</x:v>
      </x:c>
      <x:c r="D1861" s="33" t="str">
        <x:v>{"Data":"dom., 11 de out. de 2026","Cliques":"4","Visualizações públicas do YouTube":"2.418","Shorts":"0,00%","Custo":"R$ 15,67"}</x:v>
      </x:c>
    </x:row>
    <x:row r="1862" ht="24" customHeight="1">
      <x:c r="A1862" s="32" t="str">
        <x:v>F078</x:v>
      </x:c>
      <x:c r="B1862" s="32" t="str">
        <x:v>C07</x:v>
      </x:c>
      <x:c r="C1862" s="32" t="n">
        <x:v>42</x:v>
      </x:c>
      <x:c r="D1862" s="33" t="str">
        <x:v>{"Data":"seg., 12 de out. de 2026","Cliques":"7","Visualizações públicas do YouTube":"2.080","Shorts":"0,00%","Custo":"R$ 15,63"}</x:v>
      </x:c>
    </x:row>
    <x:row r="1863" ht="24" customHeight="1">
      <x:c r="A1863" s="32" t="str">
        <x:v>F078</x:v>
      </x:c>
      <x:c r="B1863" s="32" t="str">
        <x:v>C07</x:v>
      </x:c>
      <x:c r="C1863" s="32" t="n">
        <x:v>43</x:v>
      </x:c>
      <x:c r="D1863" s="33" t="str">
        <x:v>{"Data":"ter., 13 de out. de 2026","Cliques":"9","Visualizações públicas do YouTube":"2.194","Shorts":"0,00%","Custo":"R$ 15,62"}</x:v>
      </x:c>
    </x:row>
    <x:row r="1864" ht="24" customHeight="1">
      <x:c r="A1864" s="32" t="str">
        <x:v>F078</x:v>
      </x:c>
      <x:c r="B1864" s="32" t="str">
        <x:v>C07</x:v>
      </x:c>
      <x:c r="C1864" s="32" t="n">
        <x:v>44</x:v>
      </x:c>
      <x:c r="D1864" s="33" t="str">
        <x:v>{"Data":"qua., 14 de out. de 2026","Cliques":"0","Visualizações públicas do YouTube":"395","Shorts":"0,00%","Custo":"R$ 3,42"}</x:v>
      </x:c>
    </x:row>
    <x:row r="1865" ht="24" customHeight="1">
      <x:c r="A1865" s="32" t="str">
        <x:v>F079</x:v>
      </x:c>
      <x:c r="B1865" s="32" t="str">
        <x:v>C07</x:v>
      </x:c>
      <x:c r="C1865" s="32" t="n">
        <x:v>1</x:v>
      </x:c>
      <x:c r="D1865" s="33" t="str">
        <x:v>{"Data":"ter., 1 de set. de 2026","Impr.":"0","Visualizações públicas do YouTube":"0","Custo":"R$ 0,00","Cliques":"0"}</x:v>
      </x:c>
    </x:row>
    <x:row r="1866" ht="24" customHeight="1">
      <x:c r="A1866" s="32" t="str">
        <x:v>F079</x:v>
      </x:c>
      <x:c r="B1866" s="32" t="str">
        <x:v>C07</x:v>
      </x:c>
      <x:c r="C1866" s="32" t="n">
        <x:v>2</x:v>
      </x:c>
      <x:c r="D1866" s="33" t="str">
        <x:v>{"Data":"qua., 2 de set. de 2026","Impr.":"0","Visualizações públicas do YouTube":"0","Custo":"R$ 0,00","Cliques":"0"}</x:v>
      </x:c>
    </x:row>
    <x:row r="1867" ht="24" customHeight="1">
      <x:c r="A1867" s="32" t="str">
        <x:v>F079</x:v>
      </x:c>
      <x:c r="B1867" s="32" t="str">
        <x:v>C07</x:v>
      </x:c>
      <x:c r="C1867" s="32" t="n">
        <x:v>3</x:v>
      </x:c>
      <x:c r="D1867" s="33" t="str">
        <x:v>{"Data":"qui., 3 de set. de 2026","Impr.":"0","Visualizações públicas do YouTube":"0","Custo":"R$ 0,00","Cliques":"0"}</x:v>
      </x:c>
    </x:row>
    <x:row r="1868" ht="24" customHeight="1">
      <x:c r="A1868" s="32" t="str">
        <x:v>F079</x:v>
      </x:c>
      <x:c r="B1868" s="32" t="str">
        <x:v>C07</x:v>
      </x:c>
      <x:c r="C1868" s="32" t="n">
        <x:v>4</x:v>
      </x:c>
      <x:c r="D1868" s="33" t="str">
        <x:v>{"Data":"sex., 4 de set. de 2026","Impr.":"0","Visualizações públicas do YouTube":"0","Custo":"R$ 0,00","Cliques":"0"}</x:v>
      </x:c>
    </x:row>
    <x:row r="1869" ht="24" customHeight="1">
      <x:c r="A1869" s="32" t="str">
        <x:v>F079</x:v>
      </x:c>
      <x:c r="B1869" s="32" t="str">
        <x:v>C07</x:v>
      </x:c>
      <x:c r="C1869" s="32" t="n">
        <x:v>5</x:v>
      </x:c>
      <x:c r="D1869" s="33" t="str">
        <x:v>{"Data":"sáb., 5 de set. de 2026","Impr.":"0","Visualizações públicas do YouTube":"0","Custo":"R$ 0,00","Cliques":"0"}</x:v>
      </x:c>
    </x:row>
    <x:row r="1870" ht="24" customHeight="1">
      <x:c r="A1870" s="32" t="str">
        <x:v>F079</x:v>
      </x:c>
      <x:c r="B1870" s="32" t="str">
        <x:v>C07</x:v>
      </x:c>
      <x:c r="C1870" s="32" t="n">
        <x:v>6</x:v>
      </x:c>
      <x:c r="D1870" s="33" t="str">
        <x:v>{"Data":"dom., 6 de set. de 2026","Impr.":"0","Visualizações públicas do YouTube":"0","Custo":"R$ 0,00","Cliques":"0"}</x:v>
      </x:c>
    </x:row>
    <x:row r="1871" ht="24" customHeight="1">
      <x:c r="A1871" s="32" t="str">
        <x:v>F079</x:v>
      </x:c>
      <x:c r="B1871" s="32" t="str">
        <x:v>C07</x:v>
      </x:c>
      <x:c r="C1871" s="32" t="n">
        <x:v>7</x:v>
      </x:c>
      <x:c r="D1871" s="33" t="str">
        <x:v>{"Data":"seg., 7 de set. de 2026","Impr.":"0","Visualizações públicas do YouTube":"0","Custo":"R$ 0,00","Cliques":"0"}</x:v>
      </x:c>
    </x:row>
    <x:row r="1872" ht="24" customHeight="1">
      <x:c r="A1872" s="32" t="str">
        <x:v>F079</x:v>
      </x:c>
      <x:c r="B1872" s="32" t="str">
        <x:v>C07</x:v>
      </x:c>
      <x:c r="C1872" s="32" t="n">
        <x:v>8</x:v>
      </x:c>
      <x:c r="D1872" s="33" t="str">
        <x:v>{"Data":"ter., 8 de set. de 2026","Impr.":"0","Visualizações públicas do YouTube":"0","Custo":"R$ 0,00","Cliques":"0"}</x:v>
      </x:c>
    </x:row>
    <x:row r="1873" ht="24" customHeight="1">
      <x:c r="A1873" s="32" t="str">
        <x:v>F079</x:v>
      </x:c>
      <x:c r="B1873" s="32" t="str">
        <x:v>C07</x:v>
      </x:c>
      <x:c r="C1873" s="32" t="n">
        <x:v>9</x:v>
      </x:c>
      <x:c r="D1873" s="33" t="str">
        <x:v>{"Data":"qua., 9 de set. de 2026","Impr.":"0","Visualizações públicas do YouTube":"0","Custo":"R$ 0,00","Cliques":"0"}</x:v>
      </x:c>
    </x:row>
    <x:row r="1874" ht="24" customHeight="1">
      <x:c r="A1874" s="32" t="str">
        <x:v>F079</x:v>
      </x:c>
      <x:c r="B1874" s="32" t="str">
        <x:v>C07</x:v>
      </x:c>
      <x:c r="C1874" s="32" t="n">
        <x:v>10</x:v>
      </x:c>
      <x:c r="D1874" s="33" t="str">
        <x:v>{"Data":"qui., 10 de set. de 2026","Impr.":"0","Visualizações públicas do YouTube":"0","Custo":"R$ 0,00","Cliques":"0"}</x:v>
      </x:c>
    </x:row>
    <x:row r="1875" ht="24" customHeight="1">
      <x:c r="A1875" s="32" t="str">
        <x:v>F079</x:v>
      </x:c>
      <x:c r="B1875" s="32" t="str">
        <x:v>C07</x:v>
      </x:c>
      <x:c r="C1875" s="32" t="n">
        <x:v>11</x:v>
      </x:c>
      <x:c r="D1875" s="33" t="str">
        <x:v>{"Data":"sex., 11 de set. de 2026","Impr.":"0","Visualizações públicas do YouTube":"0","Custo":"R$ 0,00","Cliques":"0"}</x:v>
      </x:c>
    </x:row>
    <x:row r="1876" ht="24" customHeight="1">
      <x:c r="A1876" s="32" t="str">
        <x:v>F079</x:v>
      </x:c>
      <x:c r="B1876" s="32" t="str">
        <x:v>C07</x:v>
      </x:c>
      <x:c r="C1876" s="32" t="n">
        <x:v>12</x:v>
      </x:c>
      <x:c r="D1876" s="33" t="str">
        <x:v>{"Data":"sáb., 12 de set. de 2026","Impr.":"0","Visualizações públicas do YouTube":"0","Custo":"R$ 0,00","Cliques":"0"}</x:v>
      </x:c>
    </x:row>
    <x:row r="1877" ht="24" customHeight="1">
      <x:c r="A1877" s="32" t="str">
        <x:v>F079</x:v>
      </x:c>
      <x:c r="B1877" s="32" t="str">
        <x:v>C07</x:v>
      </x:c>
      <x:c r="C1877" s="32" t="n">
        <x:v>13</x:v>
      </x:c>
      <x:c r="D1877" s="33" t="str">
        <x:v>{"Data":"dom., 13 de set. de 2026","Impr.":"0","Visualizações públicas do YouTube":"0","Custo":"R$ 0,00","Cliques":"0"}</x:v>
      </x:c>
    </x:row>
    <x:row r="1878" ht="24" customHeight="1">
      <x:c r="A1878" s="32" t="str">
        <x:v>F079</x:v>
      </x:c>
      <x:c r="B1878" s="32" t="str">
        <x:v>C07</x:v>
      </x:c>
      <x:c r="C1878" s="32" t="n">
        <x:v>14</x:v>
      </x:c>
      <x:c r="D1878" s="33" t="str">
        <x:v>{"Data":"seg., 14 de set. de 2026","Impr.":"0","Visualizações públicas do YouTube":"0","Custo":"R$ 0,00","Cliques":"0"}</x:v>
      </x:c>
    </x:row>
    <x:row r="1879" ht="24" customHeight="1">
      <x:c r="A1879" s="32" t="str">
        <x:v>F079</x:v>
      </x:c>
      <x:c r="B1879" s="32" t="str">
        <x:v>C07</x:v>
      </x:c>
      <x:c r="C1879" s="32" t="n">
        <x:v>15</x:v>
      </x:c>
      <x:c r="D1879" s="33" t="str">
        <x:v>{"Data":"ter., 15 de set. de 2026","Impr.":"0","Visualizações públicas do YouTube":"0","Custo":"R$ 0,00","Cliques":"0"}</x:v>
      </x:c>
    </x:row>
    <x:row r="1880" ht="24" customHeight="1">
      <x:c r="A1880" s="32" t="str">
        <x:v>F079</x:v>
      </x:c>
      <x:c r="B1880" s="32" t="str">
        <x:v>C07</x:v>
      </x:c>
      <x:c r="C1880" s="32" t="n">
        <x:v>16</x:v>
      </x:c>
      <x:c r="D1880" s="33" t="str">
        <x:v>{"Data":"qua., 16 de set. de 2026","Impr.":"0","Visualizações públicas do YouTube":"0","Custo":"R$ 0,00","Cliques":"0"}</x:v>
      </x:c>
    </x:row>
    <x:row r="1881" ht="24" customHeight="1">
      <x:c r="A1881" s="32" t="str">
        <x:v>F079</x:v>
      </x:c>
      <x:c r="B1881" s="32" t="str">
        <x:v>C07</x:v>
      </x:c>
      <x:c r="C1881" s="32" t="n">
        <x:v>17</x:v>
      </x:c>
      <x:c r="D1881" s="33" t="str">
        <x:v>{"Data":"qui., 17 de set. de 2026","Impr.":"0","Visualizações públicas do YouTube":"0","Custo":"R$ 0,00","Cliques":"0"}</x:v>
      </x:c>
    </x:row>
    <x:row r="1882" ht="24" customHeight="1">
      <x:c r="A1882" s="32" t="str">
        <x:v>F079</x:v>
      </x:c>
      <x:c r="B1882" s="32" t="str">
        <x:v>C07</x:v>
      </x:c>
      <x:c r="C1882" s="32" t="n">
        <x:v>18</x:v>
      </x:c>
      <x:c r="D1882" s="33" t="str">
        <x:v>{"Data":"sex., 18 de set. de 2026","Impr.":"0","Visualizações públicas do YouTube":"0","Custo":"R$ 0,00","Cliques":"0"}</x:v>
      </x:c>
    </x:row>
    <x:row r="1883" ht="24" customHeight="1">
      <x:c r="A1883" s="32" t="str">
        <x:v>F079</x:v>
      </x:c>
      <x:c r="B1883" s="32" t="str">
        <x:v>C07</x:v>
      </x:c>
      <x:c r="C1883" s="32" t="n">
        <x:v>19</x:v>
      </x:c>
      <x:c r="D1883" s="33" t="str">
        <x:v>{"Data":"sáb., 19 de set. de 2026","Impr.":"0","Visualizações públicas do YouTube":"0","Custo":"R$ 0,00","Cliques":"0"}</x:v>
      </x:c>
    </x:row>
    <x:row r="1884" ht="24" customHeight="1">
      <x:c r="A1884" s="32" t="str">
        <x:v>F079</x:v>
      </x:c>
      <x:c r="B1884" s="32" t="str">
        <x:v>C07</x:v>
      </x:c>
      <x:c r="C1884" s="32" t="n">
        <x:v>20</x:v>
      </x:c>
      <x:c r="D1884" s="33" t="str">
        <x:v>{"Data":"dom., 20 de set. de 2026","Impr.":"0","Visualizações públicas do YouTube":"0","Custo":"R$ 0,00","Cliques":"0"}</x:v>
      </x:c>
    </x:row>
    <x:row r="1885" ht="24" customHeight="1">
      <x:c r="A1885" s="32" t="str">
        <x:v>F079</x:v>
      </x:c>
      <x:c r="B1885" s="32" t="str">
        <x:v>C07</x:v>
      </x:c>
      <x:c r="C1885" s="32" t="n">
        <x:v>21</x:v>
      </x:c>
      <x:c r="D1885" s="33" t="str">
        <x:v>{"Data":"seg., 21 de set. de 2026","Impr.":"0","Visualizações públicas do YouTube":"0","Custo":"R$ 0,00","Cliques":"0"}</x:v>
      </x:c>
    </x:row>
    <x:row r="1886" ht="24" customHeight="1">
      <x:c r="A1886" s="32" t="str">
        <x:v>F079</x:v>
      </x:c>
      <x:c r="B1886" s="32" t="str">
        <x:v>C07</x:v>
      </x:c>
      <x:c r="C1886" s="32" t="n">
        <x:v>22</x:v>
      </x:c>
      <x:c r="D1886" s="33" t="str">
        <x:v>{"Data":"ter., 22 de set. de 2026","Impr.":"0","Visualizações públicas do YouTube":"0","Custo":"R$ 0,00","Cliques":"0"}</x:v>
      </x:c>
    </x:row>
    <x:row r="1887" ht="24" customHeight="1">
      <x:c r="A1887" s="32" t="str">
        <x:v>F079</x:v>
      </x:c>
      <x:c r="B1887" s="32" t="str">
        <x:v>C07</x:v>
      </x:c>
      <x:c r="C1887" s="32" t="n">
        <x:v>23</x:v>
      </x:c>
      <x:c r="D1887" s="33" t="str">
        <x:v>{"Data":"qua., 23 de set. de 2026","Impr.":"0","Visualizações públicas do YouTube":"0","Custo":"R$ 0,00","Cliques":"0"}</x:v>
      </x:c>
    </x:row>
    <x:row r="1888" ht="24" customHeight="1">
      <x:c r="A1888" s="32" t="str">
        <x:v>F079</x:v>
      </x:c>
      <x:c r="B1888" s="32" t="str">
        <x:v>C07</x:v>
      </x:c>
      <x:c r="C1888" s="32" t="n">
        <x:v>24</x:v>
      </x:c>
      <x:c r="D1888" s="33" t="str">
        <x:v>{"Data":"qui., 24 de set. de 2026","Impr.":"0","Visualizações públicas do YouTube":"0","Custo":"R$ 0,00","Cliques":"0"}</x:v>
      </x:c>
    </x:row>
    <x:row r="1889" ht="24" customHeight="1">
      <x:c r="A1889" s="32" t="str">
        <x:v>F079</x:v>
      </x:c>
      <x:c r="B1889" s="32" t="str">
        <x:v>C07</x:v>
      </x:c>
      <x:c r="C1889" s="32" t="n">
        <x:v>25</x:v>
      </x:c>
      <x:c r="D1889" s="33" t="str">
        <x:v>{"Data":"sex., 25 de set. de 2026","Impr.":"0","Visualizações públicas do YouTube":"0","Custo":"R$ 0,00","Cliques":"0"}</x:v>
      </x:c>
    </x:row>
    <x:row r="1890" ht="24" customHeight="1">
      <x:c r="A1890" s="32" t="str">
        <x:v>F079</x:v>
      </x:c>
      <x:c r="B1890" s="32" t="str">
        <x:v>C07</x:v>
      </x:c>
      <x:c r="C1890" s="32" t="n">
        <x:v>26</x:v>
      </x:c>
      <x:c r="D1890" s="33" t="str">
        <x:v>{"Data":"sáb., 26 de set. de 2026","Impr.":"0","Visualizações públicas do YouTube":"0","Custo":"R$ 0,00","Cliques":"0"}</x:v>
      </x:c>
    </x:row>
    <x:row r="1891" ht="24" customHeight="1">
      <x:c r="A1891" s="32" t="str">
        <x:v>F079</x:v>
      </x:c>
      <x:c r="B1891" s="32" t="str">
        <x:v>C07</x:v>
      </x:c>
      <x:c r="C1891" s="32" t="n">
        <x:v>27</x:v>
      </x:c>
      <x:c r="D1891" s="33" t="str">
        <x:v>{"Data":"dom., 27 de set. de 2026","Impr.":"0","Visualizações públicas do YouTube":"0","Custo":"R$ 0,00","Cliques":"0"}</x:v>
      </x:c>
    </x:row>
    <x:row r="1892" ht="24" customHeight="1">
      <x:c r="A1892" s="32" t="str">
        <x:v>F079</x:v>
      </x:c>
      <x:c r="B1892" s="32" t="str">
        <x:v>C07</x:v>
      </x:c>
      <x:c r="C1892" s="32" t="n">
        <x:v>28</x:v>
      </x:c>
      <x:c r="D1892" s="33" t="str">
        <x:v>{"Data":"seg., 28 de set. de 2026","Impr.":"0","Visualizações públicas do YouTube":"0","Custo":"R$ 0,00","Cliques":"0"}</x:v>
      </x:c>
    </x:row>
    <x:row r="1893" ht="24" customHeight="1">
      <x:c r="A1893" s="32" t="str">
        <x:v>F079</x:v>
      </x:c>
      <x:c r="B1893" s="32" t="str">
        <x:v>C07</x:v>
      </x:c>
      <x:c r="C1893" s="32" t="n">
        <x:v>29</x:v>
      </x:c>
      <x:c r="D1893" s="33" t="str">
        <x:v>{"Data":"ter., 29 de set. de 2026","Impr.":"0","Visualizações públicas do YouTube":"0","Custo":"R$ 0,00","Cliques":"0"}</x:v>
      </x:c>
    </x:row>
    <x:row r="1894" ht="24" customHeight="1">
      <x:c r="A1894" s="32" t="str">
        <x:v>F079</x:v>
      </x:c>
      <x:c r="B1894" s="32" t="str">
        <x:v>C07</x:v>
      </x:c>
      <x:c r="C1894" s="32" t="n">
        <x:v>30</x:v>
      </x:c>
      <x:c r="D1894" s="33" t="str">
        <x:v>{"Data":"qua., 30 de set. de 2026","Impr.":"0","Visualizações públicas do YouTube":"0","Custo":"R$ 0,00","Cliques":"0"}</x:v>
      </x:c>
    </x:row>
    <x:row r="1895" ht="24" customHeight="1">
      <x:c r="A1895" s="32" t="str">
        <x:v>F079</x:v>
      </x:c>
      <x:c r="B1895" s="32" t="str">
        <x:v>C07</x:v>
      </x:c>
      <x:c r="C1895" s="32" t="n">
        <x:v>31</x:v>
      </x:c>
      <x:c r="D1895" s="33" t="str">
        <x:v>{"Data":"qui., 1 de out. de 2026","Impr.":"0","Visualizações públicas do YouTube":"0","Custo":"R$ 0,00","Cliques":"0"}</x:v>
      </x:c>
    </x:row>
    <x:row r="1896" ht="24" customHeight="1">
      <x:c r="A1896" s="32" t="str">
        <x:v>F079</x:v>
      </x:c>
      <x:c r="B1896" s="32" t="str">
        <x:v>C07</x:v>
      </x:c>
      <x:c r="C1896" s="32" t="n">
        <x:v>32</x:v>
      </x:c>
      <x:c r="D1896" s="33" t="str">
        <x:v>{"Data":"sex., 2 de out. de 2026","Impr.":"0","Visualizações públicas do YouTube":"0","Custo":"R$ 0,00","Cliques":"0"}</x:v>
      </x:c>
    </x:row>
    <x:row r="1897" ht="24" customHeight="1">
      <x:c r="A1897" s="32" t="str">
        <x:v>F079</x:v>
      </x:c>
      <x:c r="B1897" s="32" t="str">
        <x:v>C07</x:v>
      </x:c>
      <x:c r="C1897" s="32" t="n">
        <x:v>33</x:v>
      </x:c>
      <x:c r="D1897" s="33" t="str">
        <x:v>{"Data":"sáb., 3 de out. de 2026","Impr.":"0","Visualizações públicas do YouTube":"0","Custo":"R$ 0,00","Cliques":"0"}</x:v>
      </x:c>
    </x:row>
    <x:row r="1898" ht="24" customHeight="1">
      <x:c r="A1898" s="32" t="str">
        <x:v>F079</x:v>
      </x:c>
      <x:c r="B1898" s="32" t="str">
        <x:v>C07</x:v>
      </x:c>
      <x:c r="C1898" s="32" t="n">
        <x:v>34</x:v>
      </x:c>
      <x:c r="D1898" s="33" t="str">
        <x:v>{"Data":"dom., 4 de out. de 2026","Impr.":"0","Visualizações públicas do YouTube":"0","Custo":"R$ 0,00","Cliques":"0"}</x:v>
      </x:c>
    </x:row>
    <x:row r="1899" ht="24" customHeight="1">
      <x:c r="A1899" s="32" t="str">
        <x:v>F079</x:v>
      </x:c>
      <x:c r="B1899" s="32" t="str">
        <x:v>C07</x:v>
      </x:c>
      <x:c r="C1899" s="32" t="n">
        <x:v>35</x:v>
      </x:c>
      <x:c r="D1899" s="33" t="str">
        <x:v>{"Data":"seg., 5 de out. de 2026","Impr.":"0","Visualizações públicas do YouTube":"0","Custo":"R$ 0,00","Cliques":"0"}</x:v>
      </x:c>
    </x:row>
    <x:row r="1900" ht="24" customHeight="1">
      <x:c r="A1900" s="32" t="str">
        <x:v>F079</x:v>
      </x:c>
      <x:c r="B1900" s="32" t="str">
        <x:v>C07</x:v>
      </x:c>
      <x:c r="C1900" s="32" t="n">
        <x:v>36</x:v>
      </x:c>
      <x:c r="D1900" s="33" t="str">
        <x:v>{"Data":"ter., 6 de out. de 2026","Impr.":"0","Visualizações públicas do YouTube":"0","Custo":"R$ 0,00","Cliques":"0"}</x:v>
      </x:c>
    </x:row>
    <x:row r="1901" ht="24" customHeight="1">
      <x:c r="A1901" s="32" t="str">
        <x:v>F079</x:v>
      </x:c>
      <x:c r="B1901" s="32" t="str">
        <x:v>C07</x:v>
      </x:c>
      <x:c r="C1901" s="32" t="n">
        <x:v>37</x:v>
      </x:c>
      <x:c r="D1901" s="33" t="str">
        <x:v>{"Data":"qua., 7 de out. de 2026","Impr.":"3.965","Visualizações públicas do YouTube":"659","Custo":"R$ 14,92","Cliques":"13"}</x:v>
      </x:c>
    </x:row>
    <x:row r="1902" ht="24" customHeight="1">
      <x:c r="A1902" s="32" t="str">
        <x:v>F079</x:v>
      </x:c>
      <x:c r="B1902" s="32" t="str">
        <x:v>C07</x:v>
      </x:c>
      <x:c r="C1902" s="32" t="n">
        <x:v>38</x:v>
      </x:c>
      <x:c r="D1902" s="33" t="str">
        <x:v>{"Data":"qui., 8 de out. de 2026","Impr.":"6.285","Visualizações públicas do YouTube":"1.792","Custo":"R$ 15,85","Cliques":"13"}</x:v>
      </x:c>
    </x:row>
    <x:row r="1903" ht="24" customHeight="1">
      <x:c r="A1903" s="32" t="str">
        <x:v>F079</x:v>
      </x:c>
      <x:c r="B1903" s="32" t="str">
        <x:v>C07</x:v>
      </x:c>
      <x:c r="C1903" s="32" t="n">
        <x:v>39</x:v>
      </x:c>
      <x:c r="D1903" s="33" t="str">
        <x:v>{"Data":"sex., 9 de out. de 2026","Impr.":"6.779","Visualizações públicas do YouTube":"2.225","Custo":"R$ 15,88","Cliques":"3"}</x:v>
      </x:c>
    </x:row>
    <x:row r="1904" ht="24" customHeight="1">
      <x:c r="A1904" s="32" t="str">
        <x:v>F079</x:v>
      </x:c>
      <x:c r="B1904" s="32" t="str">
        <x:v>C07</x:v>
      </x:c>
      <x:c r="C1904" s="32" t="n">
        <x:v>40</x:v>
      </x:c>
      <x:c r="D1904" s="33" t="str">
        <x:v>{"Data":"sáb., 10 de out. de 2026","Impr.":"5.492","Visualizações públicas do YouTube":"3.477","Custo":"R$ 15,68","Cliques":"1"}</x:v>
      </x:c>
    </x:row>
    <x:row r="1905" ht="24" customHeight="1">
      <x:c r="A1905" s="32" t="str">
        <x:v>F079</x:v>
      </x:c>
      <x:c r="B1905" s="32" t="str">
        <x:v>C07</x:v>
      </x:c>
      <x:c r="C1905" s="32" t="n">
        <x:v>41</x:v>
      </x:c>
      <x:c r="D1905" s="33" t="str">
        <x:v>{"Data":"dom., 11 de out. de 2026","Impr.":"6.062","Visualizações públicas do YouTube":"2.418","Custo":"R$ 15,67","Cliques":"4"}</x:v>
      </x:c>
    </x:row>
    <x:row r="1906" ht="24" customHeight="1">
      <x:c r="A1906" s="32" t="str">
        <x:v>F079</x:v>
      </x:c>
      <x:c r="B1906" s="32" t="str">
        <x:v>C07</x:v>
      </x:c>
      <x:c r="C1906" s="32" t="n">
        <x:v>42</x:v>
      </x:c>
      <x:c r="D1906" s="33" t="str">
        <x:v>{"Data":"seg., 12 de out. de 2026","Impr.":"6.128","Visualizações públicas do YouTube":"2.080","Custo":"R$ 15,63","Cliques":"7"}</x:v>
      </x:c>
    </x:row>
    <x:row r="1907" ht="24" customHeight="1">
      <x:c r="A1907" s="32" t="str">
        <x:v>F079</x:v>
      </x:c>
      <x:c r="B1907" s="32" t="str">
        <x:v>C07</x:v>
      </x:c>
      <x:c r="C1907" s="32" t="n">
        <x:v>43</x:v>
      </x:c>
      <x:c r="D1907" s="33" t="str">
        <x:v>{"Data":"ter., 13 de out. de 2026","Impr.":"6.296","Visualizações públicas do YouTube":"2.194","Custo":"R$ 15,62","Cliques":"9"}</x:v>
      </x:c>
    </x:row>
    <x:row r="1908" ht="24" customHeight="1">
      <x:c r="A1908" s="32" t="str">
        <x:v>F079</x:v>
      </x:c>
      <x:c r="B1908" s="32" t="str">
        <x:v>C07</x:v>
      </x:c>
      <x:c r="C1908" s="32" t="n">
        <x:v>44</x:v>
      </x:c>
      <x:c r="D1908" s="33" t="str">
        <x:v>{"Data":"qua., 14 de out. de 2026","Impr.":"1.393","Visualizações públicas do YouTube":"392","Custo":"R$ 3,37","Cliques":"0"}</x:v>
      </x:c>
    </x:row>
    <x:row r="1909" ht="159" customHeight="1">
      <x:c r="A1909" s="32" t="str">
        <x:v>F080</x:v>
      </x:c>
      <x:c r="B1909" s="32" t="str">
        <x:v>C07</x:v>
      </x:c>
      <x:c r="C1909" s="32" t="n">
        <x:v>1</x:v>
      </x:c>
      <x:c r="D1909" s="33" t="str">
        <x:v>{"Status do anúncio":"Ativado","URL final":"https://www.cooperja.com.br/cacarola","URLs de beacon":" --","Título":" --","Título longo 1":"O campo é minha vida","Título longo 2":" --","Título longo 3":" --","Título longo 4":" --","Título longo 5":" --","Título 1":" --","Título 2":" --","Título 3":" --","Título 4":" --","Título 5":" --","Descrição 1":"Amor Cultivado","Descrição 2":" --","Descrição 3":" --","Descrição 4":" --","Descrição 5":" --","Código do logotipo":"397701685159","Nome da empresa":"Alimentos Caçarola","Texto de call-to-action":" --","Texto de call-to-action 1":" --","Texto de call-to-action 2":" --","Texto de call-to-action 3":" --","Texto de call-to-action 4":" --","Texto de call-to-action 5":" --","Título da call-to-action":" --","ID do vídeo":"428213337688","Banner complementar":" --","Nome do anúncio":"VT 03 - O campo é minha vida | Amor Cultivado","ad.display_url":" --","Caminho 1":" --","Caminho 2":" --","URL final para dispositivos móveis":"","Modelo de rastreamento":" --","Sufixo do URL final":" --","Parâmetro personalizado":"","Grupo de anúncios":"Vídeo - Alcance eficiente - 07/10 = Região SC","Status":"Qualificado","Motivos do status":"","Tipo de anúncio":"Anúncio responsivo em vídeo","Impr.":"42.415","Visualizações do TrueView":"64","Código da moeda":"BRL","CPM médio":"2,66","Custo":"112,66","Vídeo":"https://www.youtube.com/watch?v=ZdQLceEkcIY","Taxa de conv.":"0,00%","Conversões":"0,00","Custo / conv.":"0,00"}</x:v>
      </x:c>
    </x:row>
    <x:row r="1910" ht="144" customHeight="1">
      <x:c r="A1910" s="32" t="str">
        <x:v>F080</x:v>
      </x:c>
      <x:c r="B1910" s="32" t="str">
        <x:v>C07</x:v>
      </x:c>
      <x:c r="C1910" s="32" t="n">
        <x:v>2</x:v>
      </x:c>
      <x:c r="D1910" s="33" t="str">
        <x:v>{"Status do anúncio":"Total: Todos os anúncios, exceto os removidos","URL final":"","URLs de beacon":" --","Título":" --","Título longo 1":" --","Título longo 2":" --","Título longo 3":" --","Título longo 4":" --","Título longo 5":" --","Título 1":" --","Título 2":" --","Título 3":" --","Título 4":" --","Título 5":" --","Descrição 1":" --","Descrição 2":" --","Descrição 3":" --","Descrição 4":" --","Descrição 5":" --","Código do logotipo":" --","Nome da empresa":" --","Texto de call-to-action":" --","Texto de call-to-action 1":" --","Texto de call-to-action 2":" --","Texto de call-to-action 3":" --","Texto de call-to-action 4":" --","Texto de call-to-action 5":" --","Título da call-to-action":" --","ID do vídeo":" --","Banner complementar":" --","Nome do anúncio":" --","ad.display_url":" --","Caminho 1":" --","Caminho 2":" --","URL final para dispositivos móveis":"","Modelo de rastreamento":" --","Sufixo do URL final":" --","Parâmetro personalizado":" --","Grupo de anúncios":" --","Status":" --","Motivos do status":"","Tipo de anúncio":" --","Impr.":"42.415","Visualizações do TrueView":"64","Código da moeda":"BRL","CPM médio":"2,66","Custo":"112,66","Vídeo":" --","Taxa de conv.":"0,00%","Conversões":"0,00","Custo / conv.":"0,00"}</x:v>
      </x:c>
    </x:row>
    <x:row r="1911" ht="129" customHeight="1">
      <x:c r="A1911" s="32" t="str">
        <x:v>F080</x:v>
      </x:c>
      <x:c r="B1911" s="32" t="str">
        <x:v>C07</x:v>
      </x:c>
      <x:c r="C1911" s="32" t="n">
        <x:v>3</x:v>
      </x:c>
      <x:c r="D1911" s="33" t="str">
        <x:v>{"Status do anúncio":"Total: Campanha","URL final":"","URLs de beacon":"","Título":"","Título longo 1":"","Título longo 2":"","Título longo 3":"","Título longo 4":"","Título longo 5":"","Título 1":"","Título 2":"","Título 3":"","Título 4":"","Título 5":"","Descrição 1":"","Descrição 2":"","Descrição 3":"","Descrição 4":"","Descrição 5":"","Código do logotipo":"","Nome da empresa":"","Texto de call-to-action":"","Texto de call-to-action 1":"","Texto de call-to-action 2":"","Texto de call-to-action 3":"","Texto de call-to-action 4":"","Texto de call-to-action 5":"","Título da call-to-action":"","ID do vídeo":"","Banner complementar":"","Nome do anúncio":"","ad.display_url":"","Caminho 1":"","Caminho 2":"","URL final para dispositivos móveis":"","Modelo de rastreamento":"","Sufixo do URL final":"","Parâmetro personalizado":"","Grupo de anúncios":"","Status":"","Motivos do status":"","Tipo de anúncio":"","Impr.":"42.415","Visualizações do TrueView":"64","Código da moeda":"BRL","CPM médio":"2,66","Custo":"112,66","Vídeo":"","Taxa de conv.":"0,00%","Conversões":"0,00","Custo / conv.":"0,00"}</x:v>
      </x:c>
    </x:row>
    <x:row r="1912" ht="69" customHeight="1">
      <x:c r="A1912" s="32" t="str">
        <x:v>F081</x:v>
      </x:c>
      <x:c r="B1912" s="32" t="str">
        <x:v>C07</x:v>
      </x:c>
      <x:c r="C1912" s="32" t="n">
        <x:v>1</x:v>
      </x:c>
      <x:c r="D1912" s="33" t="str">
        <x:v>{"Status da campanha":"Ativada","Campanha":"[TRON] - YouTube 03 -  VT 5 Seg - {Reg SC} - 07/10","Orçamento":"15,00","Nome do orçamento":" --","Tipo de orçamento":"Diário","Código da moeda":"BRL","Status":"Qualificado (limitado)","Motivos do status":"limitado pelo orçamento","Pontuação de otimização":"75,81","Subtipo da campanha":"Alcance eficiente","Tipo de campanha":"Vídeo","Usuários exclusivos":"31.324","Impr.":"42.412","Visualizações do TrueView":"64","CPM médio":"2,66","CPV médio do TrueView":"0,64","Custo":"112,65","Marcações com \"Gostei\"":"0","Comentários":"0","Shares":"0"}</x:v>
      </x:c>
    </x:row>
    <x:row r="1913" ht="69" customHeight="1">
      <x:c r="A1913" s="32" t="str">
        <x:v>F081</x:v>
      </x:c>
      <x:c r="B1913" s="32" t="str">
        <x:v>C07</x:v>
      </x:c>
      <x:c r="C1913" s="32" t="n">
        <x:v>2</x:v>
      </x:c>
      <x:c r="D1913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exclusivos":"31.324","Impr.":"42.412","Visualizações do TrueView":"64","CPM médio":"2,66","CPV médio do TrueView":"0,64","Custo":"112,65","Marcações com \"Gostei\"":"0","Comentários":"0","Shares":"0"}</x:v>
      </x:c>
    </x:row>
    <x:row r="1914" ht="54" customHeight="1">
      <x:c r="A1914" s="32" t="str">
        <x:v>F081</x:v>
      </x:c>
      <x:c r="B1914" s="32" t="str">
        <x:v>C07</x:v>
      </x:c>
      <x:c r="C1914" s="32" t="n">
        <x:v>3</x:v>
      </x:c>
      <x:c r="D1914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exclusivos":"31.324","Impr.":"42.412","Visualizações do TrueView":"64","CPM médio":"2,66","CPV médio do TrueView":"0,64","Custo":"112,65","Marcações com \"Gostei\"":"0","Comentários":"0","Shares":"0"}</x:v>
      </x:c>
    </x:row>
    <x:row r="1915" ht="54" customHeight="1">
      <x:c r="A1915" s="32" t="str">
        <x:v>F082</x:v>
      </x:c>
      <x:c r="B1915" s="32" t="str">
        <x:v>C07</x:v>
      </x:c>
      <x:c r="C1915" s="32" t="n">
        <x:v>1</x:v>
      </x:c>
      <x:c r="D1915" s="33" t="str">
        <x:v>{"Dispositivo":"Telas de TV","Nível":"Campanha","Campanha":"[TRON] - YouTube 03 -  VT 5 Seg - {Reg SC} - 07/10","Grupo de anúncios":" --","Ajuste de lance":" --","Aj. de lance do grupo de anúncios":"Nenhum","Impr.":"16.959","Visualizações do TrueView":"48","Taxa de visualização do TrueView":"3,88%","Código da moeda":"BRL","CPM médio":"3,45","Custo":"58,55","Taxa de conv.":"0,00%","Conversões":"0,00","Custo / conv.":"0,00"}</x:v>
      </x:c>
    </x:row>
    <x:row r="1916" ht="54" customHeight="1">
      <x:c r="A1916" s="32" t="str">
        <x:v>F082</x:v>
      </x:c>
      <x:c r="B1916" s="32" t="str">
        <x:v>C07</x:v>
      </x:c>
      <x:c r="C1916" s="32" t="n">
        <x:v>2</x:v>
      </x:c>
      <x:c r="D1916" s="33" t="str">
        <x:v>{"Dispositivo":"Computadores","Nível":"Campanha","Campanha":"[TRON] - YouTube 03 -  VT 5 Seg - {Reg SC} - 07/10","Grupo de anúncios":" --","Ajuste de lance":" --","Aj. de lance do grupo de anúncios":"Nenhum","Impr.":"2.252","Visualizações do TrueView":"1","Taxa de visualização do TrueView":"0,14%","Código da moeda":"BRL","CPM médio":"2,52","Custo":"5,68","Taxa de conv.":"0,00%","Conversões":"0,00","Custo / conv.":"0,00"}</x:v>
      </x:c>
    </x:row>
    <x:row r="1917" ht="54" customHeight="1">
      <x:c r="A1917" s="32" t="str">
        <x:v>F082</x:v>
      </x:c>
      <x:c r="B1917" s="32" t="str">
        <x:v>C07</x:v>
      </x:c>
      <x:c r="C1917" s="32" t="n">
        <x:v>3</x:v>
      </x:c>
      <x:c r="D1917" s="33" t="str">
        <x:v>{"Dispositivo":"Tablets","Nível":"Campanha","Campanha":"[TRON] - YouTube 03 -  VT 5 Seg - {Reg SC} - 07/10","Grupo de anúncios":" --","Ajuste de lance":" --","Aj. de lance do grupo de anúncios":"Nenhum","Impr.":"1.048","Visualizações do TrueView":"6","Taxa de visualização do TrueView":"0,87%","Código da moeda":"BRL","CPM médio":"2,02","Custo":"2,11","Taxa de conv.":"0,00%","Conversões":"0,00","Custo / conv.":"0,00"}</x:v>
      </x:c>
    </x:row>
    <x:row r="1918" ht="54" customHeight="1">
      <x:c r="A1918" s="32" t="str">
        <x:v>F082</x:v>
      </x:c>
      <x:c r="B1918" s="32" t="str">
        <x:v>C07</x:v>
      </x:c>
      <x:c r="C1918" s="32" t="n">
        <x:v>4</x:v>
      </x:c>
      <x:c r="D1918" s="33" t="str">
        <x:v>{"Dispositivo":"Smartphones","Nível":"Campanha","Campanha":"[TRON] - YouTube 03 -  VT 5 Seg - {Reg SC} - 07/10","Grupo de anúncios":" --","Ajuste de lance":" --","Aj. de lance do grupo de anúncios":"Nenhum","Impr.":"22.153","Visualizações do TrueView":"9","Taxa de visualização do TrueView":"0,05%","Código da moeda":"BRL","CPM médio":"2,09","Custo":"46,31","Taxa de conv.":"0,00%","Conversões":"0,00","Custo / conv.":"0,00"}</x:v>
      </x:c>
    </x:row>
    <x:row r="1919" ht="54" customHeight="1">
      <x:c r="A1919" s="32" t="str">
        <x:v>F082</x:v>
      </x:c>
      <x:c r="B1919" s="32" t="str">
        <x:v>C07</x:v>
      </x:c>
      <x:c r="C1919" s="32" t="n">
        <x:v>5</x:v>
      </x:c>
      <x:c r="D1919" s="33" t="str">
        <x:v>{"Dispositivo":"Total: Campanha","Nível":"","Campanha":"","Grupo de anúncios":"","Ajuste de lance":"","Aj. de lance do grupo de anúncios":"","Impr.":"42.412","Visualizações do TrueView":"64","Taxa de visualização do TrueView":"0,30%","Código da moeda":"BRL","CPM médio":"2,66","Custo":"112,65","Taxa de conv.":"0,00%","Conversões":"0,00","Custo / conv.":"0,00"}</x:v>
      </x:c>
    </x:row>
    <x:row r="1920" ht="54" customHeight="1">
      <x:c r="A1920" s="32" t="str">
        <x:v>F083</x:v>
      </x:c>
      <x:c r="B1920" s="32" t="str">
        <x:v>C07</x:v>
      </x:c>
      <x:c r="C1920" s="32" t="n">
        <x:v>1</x:v>
      </x:c>
      <x:c r="D1920" s="33" t="str">
        <x:v>{"Local":"5,0|km|Rod. Gov. Mario Covas, 415 - Roçado, São José - SC","Ajuste de lance":" --","Impr.":"8.402","Visualizações do TrueView":"14","Taxa de visualização do TrueView":"0,35%","Código da moeda":"BRL","Custo":"23,13","CPM médio":"2,75","Taxa de conv.":"0,00%","Conversões":"0,00","Custo / conv.":"0,00"}</x:v>
      </x:c>
    </x:row>
    <x:row r="1921" ht="54" customHeight="1">
      <x:c r="A1921" s="32" t="str">
        <x:v>F083</x:v>
      </x:c>
      <x:c r="B1921" s="32" t="str">
        <x:v>C07</x:v>
      </x:c>
      <x:c r="C1921" s="32" t="n">
        <x:v>2</x:v>
      </x:c>
      <x:c r="D1921" s="33" t="str">
        <x:v>{"Local":"5,0|km|Estrada, Rod. Armando Calil Bulos, 5890 - Ingleses Centro, Florianópolis - SC","Ajuste de lance":" --","Impr.":"4.132","Visualizações do TrueView":"6","Taxa de visualização do TrueView":"0,29%","Código da moeda":"BRL","Custo":"11,07","CPM médio":"2,68","Taxa de conv.":"0,00%","Conversões":"0,00","Custo / conv.":"0,00"}</x:v>
      </x:c>
    </x:row>
    <x:row r="1922" ht="54" customHeight="1">
      <x:c r="A1922" s="32" t="str">
        <x:v>F083</x:v>
      </x:c>
      <x:c r="B1922" s="32" t="str">
        <x:v>C07</x:v>
      </x:c>
      <x:c r="C1922" s="32" t="n">
        <x:v>3</x:v>
      </x:c>
      <x:c r="D1922" s="33" t="str">
        <x:v>{"Local":"5,0|km|Av. Prof. Othon Gama D'Eça, 771 - Centro, Florianópolis - SC, 88015-240","Ajuste de lance":" --","Impr.":"2.484","Visualizações do TrueView":"4","Taxa de visualização do TrueView":"0,32%","Código da moeda":"BRL","Custo":"6,04","CPM médio":"2,43","Taxa de conv.":"0,00%","Conversões":"0,00","Custo / conv.":"0,00"}</x:v>
      </x:c>
    </x:row>
    <x:row r="1923" ht="54" customHeight="1">
      <x:c r="A1923" s="32" t="str">
        <x:v>F083</x:v>
      </x:c>
      <x:c r="B1923" s="32" t="str">
        <x:v>C07</x:v>
      </x:c>
      <x:c r="C1923" s="32" t="n">
        <x:v>4</x:v>
      </x:c>
      <x:c r="D1923" s="33" t="str">
        <x:v>{"Local":"5,0|km|Av. das Nações, 192 - Canasvieiras, Florianópolis - SC, 88054-010","Ajuste de lance":" --","Impr.":"1.161","Visualizações do TrueView":"1","Taxa de visualização do TrueView":"0,21%","Código da moeda":"BRL","Custo":"3,06","CPM médio":"2,64","Taxa de conv.":"0,00%","Conversões":"0,00","Custo / conv.":"0,00"}</x:v>
      </x:c>
    </x:row>
    <x:row r="1924" ht="54" customHeight="1">
      <x:c r="A1924" s="32" t="str">
        <x:v>F083</x:v>
      </x:c>
      <x:c r="B1924" s="32" t="str">
        <x:v>C07</x:v>
      </x:c>
      <x:c r="C1924" s="32" t="n">
        <x:v>5</x:v>
      </x:c>
      <x:c r="D1924" s="33" t="str">
        <x:v>{"Local":"5,0|km|Rodovia Jornalista Maurício Sirotski Sobrinho, 5451 - Jurerê, Florianópolis - SC","Ajuste de lance":" --","Impr.":"155","Visualizações do TrueView":"1","Taxa de visualização do TrueView":"1,30%","Código da moeda":"BRL","Custo":"0,39","CPM médio":"2,54","Taxa de conv.":"0,00%","Conversões":"0,00","Custo / conv.":"0,00"}</x:v>
      </x:c>
    </x:row>
    <x:row r="1925" ht="54" customHeight="1">
      <x:c r="A1925" s="32" t="str">
        <x:v>F083</x:v>
      </x:c>
      <x:c r="B1925" s="32" t="str">
        <x:v>C07</x:v>
      </x:c>
      <x:c r="C1925" s="32" t="n">
        <x:v>6</x:v>
      </x:c>
      <x:c r="D1925" s="33" t="str">
        <x:v>{"Local":"5,0|km|Av. Aniceto Zacchi, 222 - Pte. do Imaruim, Palhoça - SC, 88130-300","Ajuste de lance":" --","Impr.":"3.869","Visualizações do TrueView":"11","Taxa de visualização do TrueView":"0,61%","Código da moeda":"BRL","Custo":"10,81","CPM médio":"2,79","Taxa de conv.":"0,00%","Conversões":"0,00","Custo / conv.":"0,00"}</x:v>
      </x:c>
    </x:row>
    <x:row r="1926" ht="54" customHeight="1">
      <x:c r="A1926" s="32" t="str">
        <x:v>F083</x:v>
      </x:c>
      <x:c r="B1926" s="32" t="str">
        <x:v>C07</x:v>
      </x:c>
      <x:c r="C1926" s="32" t="n">
        <x:v>7</x:v>
      </x:c>
      <x:c r="D1926" s="33" t="str">
        <x:v>{"Local":"5,0|km|Rua João Coan, 390 Bairro - Universitarios, Biguaçu - SC, 88160-000","Ajuste de lance":" --","Impr.":"2.017","Visualizações do TrueView":"0","Taxa de visualização do TrueView":"0,00%","Código da moeda":"BRL","Custo":"5,47","CPM médio":"2,71","Taxa de conv.":"0,00%","Conversões":"0,00","Custo / conv.":"0,00"}</x:v>
      </x:c>
    </x:row>
    <x:row r="1927" ht="54" customHeight="1">
      <x:c r="A1927" s="32" t="str">
        <x:v>F083</x:v>
      </x:c>
      <x:c r="B1927" s="32" t="str">
        <x:v>C07</x:v>
      </x:c>
      <x:c r="C1927" s="32" t="n">
        <x:v>8</x:v>
      </x:c>
      <x:c r="D1927" s="33" t="str">
        <x:v>{"Local":"5,0|km|Av. Juscelino K. de Oliveira, 469 - Capoeiras, Florianópolis - SC, 88070-120","Ajuste de lance":" --","Impr.":"19","Visualizações do TrueView":"0","Taxa de visualização do TrueView":"0,00%","Código da moeda":"BRL","Custo":"0,04","CPM médio":"2,23","Taxa de conv.":"0,00%","Conversões":"0,00","Custo / conv.":"0,00"}</x:v>
      </x:c>
    </x:row>
    <x:row r="1928" ht="54" customHeight="1">
      <x:c r="A1928" s="32" t="str">
        <x:v>F083</x:v>
      </x:c>
      <x:c r="B1928" s="32" t="str">
        <x:v>C07</x:v>
      </x:c>
      <x:c r="C1928" s="32" t="n">
        <x:v>9</x:v>
      </x:c>
      <x:c r="D1928" s="33" t="str">
        <x:v>{"Local":"5,0|km|Supermercado Brasil Atacadista - SC-281, 2665 - Sertão do Maruim, São José - SC","Ajuste de lance":" --","Impr.":"980","Visualizações do TrueView":"1","Taxa de visualização do TrueView":"0,27%","Código da moeda":"BRL","Custo":"2,70","CPM médio":"2,75","Taxa de conv.":"0,00%","Conversões":"0,00","Custo / conv.":"0,00"}</x:v>
      </x:c>
    </x:row>
    <x:row r="1929" ht="54" customHeight="1">
      <x:c r="A1929" s="32" t="str">
        <x:v>F083</x:v>
      </x:c>
      <x:c r="B1929" s="32" t="str">
        <x:v>C07</x:v>
      </x:c>
      <x:c r="C1929" s="32" t="n">
        <x:v>10</x:v>
      </x:c>
      <x:c r="D1929" s="33" t="str">
        <x:v>{"Local":"5,0|km|Rod. Francisco Magno Vieira, 373 - Costeira do Pirajubaé, Florianópolis - SC, 88063-700","Ajuste de lance":" --","Impr.":"1.296","Visualizações do TrueView":"3","Taxa de visualização do TrueView":"0,35%","Código da moeda":"BRL","Custo":"3,09","CPM médio":"2,38","Taxa de conv.":"0,00%","Conversões":"0,00","Custo / conv.":"0,00"}</x:v>
      </x:c>
    </x:row>
    <x:row r="1930" ht="54" customHeight="1">
      <x:c r="A1930" s="32" t="str">
        <x:v>F083</x:v>
      </x:c>
      <x:c r="B1930" s="32" t="str">
        <x:v>C07</x:v>
      </x:c>
      <x:c r="C1930" s="32" t="n">
        <x:v>11</x:v>
      </x:c>
      <x:c r="D1930" s="33" t="str">
        <x:v>{"Local":"5,0|km|Av. Vidal Procópio Lohn - Rio Grande, Palhoça - SC","Ajuste de lance":" --","Impr.":"5.164","Visualizações do TrueView":"4","Taxa de visualização do TrueView":"0,14%","Código da moeda":"BRL","Custo":"13,21","CPM médio":"2,56","Taxa de conv.":"0,00%","Conversões":"0,00","Custo / conv.":"0,00"}</x:v>
      </x:c>
    </x:row>
    <x:row r="1931" ht="54" customHeight="1">
      <x:c r="A1931" s="32" t="str">
        <x:v>F083</x:v>
      </x:c>
      <x:c r="B1931" s="32" t="str">
        <x:v>C07</x:v>
      </x:c>
      <x:c r="C1931" s="32" t="n">
        <x:v>12</x:v>
      </x:c>
      <x:c r="D1931" s="33" t="str">
        <x:v>{"Local":"5,0|km|Av. Mauro Ramos, 982 - Centro, Florianópolis - SC, 88020-300","Ajuste de lance":" --","Impr.":"633","Visualizações do TrueView":"2","Taxa de visualização do TrueView":"0,52%","Código da moeda":"BRL","Custo":"1,44","CPM médio":"2,28","Taxa de conv.":"0,00%","Conversões":"0,00","Custo / conv.":"0,00"}</x:v>
      </x:c>
    </x:row>
    <x:row r="1932" ht="54" customHeight="1">
      <x:c r="A1932" s="32" t="str">
        <x:v>F083</x:v>
      </x:c>
      <x:c r="B1932" s="32" t="str">
        <x:v>C07</x:v>
      </x:c>
      <x:c r="C1932" s="32" t="n">
        <x:v>13</x:v>
      </x:c>
      <x:c r="D1932" s="33" t="str">
        <x:v>{"Local":"5,0|km|Av. Eng. Max de Souza, 740 - Coqueiros, Florianópolis - SC, 88080-000","Ajuste de lance":" --","Impr.":"3.522","Visualizações do TrueView":"3","Taxa de visualização do TrueView":"0,15%","Código da moeda":"BRL","Custo":"8,97","CPM médio":"2,55","Taxa de conv.":"0,00%","Conversões":"0,00","Custo / conv.":"0,00"}</x:v>
      </x:c>
    </x:row>
    <x:row r="1933" ht="54" customHeight="1">
      <x:c r="A1933" s="32" t="str">
        <x:v>F083</x:v>
      </x:c>
      <x:c r="B1933" s="32" t="str">
        <x:v>C07</x:v>
      </x:c>
      <x:c r="C1933" s="32" t="n">
        <x:v>14</x:v>
      </x:c>
      <x:c r="D1933" s="33" t="str">
        <x:v>{"Local":"5,0|km|Av. Presidente Kennedy, 861 - Campinas, São José - SC, 88101-001","Ajuste de lance":" --","Impr.":"689","Visualizações do TrueView":"1","Taxa de visualização do TrueView":"0,33%","Código da moeda":"BRL","Custo":"1,60","CPM médio":"2,32","Taxa de conv.":"0,00%","Conversões":"0,00","Custo / conv.":"0,00"}</x:v>
      </x:c>
    </x:row>
    <x:row r="1934" ht="39" customHeight="1">
      <x:c r="A1934" s="32" t="str">
        <x:v>F083</x:v>
      </x:c>
      <x:c r="B1934" s="32" t="str">
        <x:v>C07</x:v>
      </x:c>
      <x:c r="C1934" s="32" t="n">
        <x:v>15</x:v>
      </x:c>
      <x:c r="D1934" s="33" t="str">
        <x:v>{"Local":"5,0|km|R. Bocaiúva, 2468 - Centro, Florianópolis - SC","Ajuste de lance":" --","Impr.":"30","Visualizações do TrueView":"0","Taxa de visualização do TrueView":"0,00%","Código da moeda":"BRL","Custo":"0,05","CPM médio":"1,68","Taxa de conv.":"0,00%","Conversões":"0,00","Custo / conv.":"0,00"}</x:v>
      </x:c>
    </x:row>
    <x:row r="1935" ht="54" customHeight="1">
      <x:c r="A1935" s="32" t="str">
        <x:v>F083</x:v>
      </x:c>
      <x:c r="B1935" s="32" t="str">
        <x:v>C07</x:v>
      </x:c>
      <x:c r="C1935" s="32" t="n">
        <x:v>16</x:v>
      </x:c>
      <x:c r="D1935" s="33" t="str">
        <x:v>{"Local":"5,0|km|R. Gen. Liberato Bittencourt, 1885 - Estreito, Florianópolis - SC, 88070-800","Ajuste de lance":" --","Impr.":"89","Visualizações do TrueView":"0","Taxa de visualização do TrueView":"0,00%","Código da moeda":"BRL","Custo":"0,22","CPM médio":"2,44","Taxa de conv.":"0,00%","Conversões":"0,00","Custo / conv.":"0,00"}</x:v>
      </x:c>
    </x:row>
    <x:row r="1936" ht="54" customHeight="1">
      <x:c r="A1936" s="32" t="str">
        <x:v>F083</x:v>
      </x:c>
      <x:c r="B1936" s="32" t="str">
        <x:v>C07</x:v>
      </x:c>
      <x:c r="C1936" s="32" t="n">
        <x:v>17</x:v>
      </x:c>
      <x:c r="D1936" s="33" t="str">
        <x:v>{"Local":"5,0|km|Av. Delamar José da Silva, s/n - Kobrasol, São José - SC, 88102-080","Ajuste de lance":" --","Impr.":"82","Visualizações do TrueView":"0","Taxa de visualização do TrueView":"0,00%","Código da moeda":"BRL","Custo":"0,27","CPM médio":"3,32","Taxa de conv.":"0,00%","Conversões":"0,00","Custo / conv.":"0,00"}</x:v>
      </x:c>
    </x:row>
    <x:row r="1937" ht="54" customHeight="1">
      <x:c r="A1937" s="32" t="str">
        <x:v>F083</x:v>
      </x:c>
      <x:c r="B1937" s="32" t="str">
        <x:v>C07</x:v>
      </x:c>
      <x:c r="C1937" s="32" t="n">
        <x:v>18</x:v>
      </x:c>
      <x:c r="D1937" s="33" t="str">
        <x:v>{"Local":"5,0|km|R. Arnoldo Pedro Meira - Ipiranga, São José - SC, 88111-370","Ajuste de lance":" --","Impr.":"2.770","Visualizações do TrueView":"6","Taxa de visualização do TrueView":"0,45%","Código da moeda":"BRL","Custo":"7,66","CPM médio":"2,77","Taxa de conv.":"0,00%","Conversões":"0,00","Custo / conv.":"0,00"}</x:v>
      </x:c>
    </x:row>
    <x:row r="1938" ht="54" customHeight="1">
      <x:c r="A1938" s="32" t="str">
        <x:v>F083</x:v>
      </x:c>
      <x:c r="B1938" s="32" t="str">
        <x:v>C07</x:v>
      </x:c>
      <x:c r="C1938" s="32" t="n">
        <x:v>19</x:v>
      </x:c>
      <x:c r="D1938" s="33" t="str">
        <x:v>{"Local":"5,0|km|Shineray - Palhoça - Aririú - BR-101 - Aririu, Palhoça - SC","Ajuste de lance":" --","Impr.":"477","Visualizações do TrueView":"1","Taxa de visualização do TrueView":"0,58%","Código da moeda":"BRL","Custo":"1,34","CPM médio":"2,81","Taxa de conv.":"0,00%","Conversões":"0,00","Custo / conv.":"0,00"}</x:v>
      </x:c>
    </x:row>
    <x:row r="1939" ht="54" customHeight="1">
      <x:c r="A1939" s="32" t="str">
        <x:v>F083</x:v>
      </x:c>
      <x:c r="B1939" s="32" t="str">
        <x:v>C07</x:v>
      </x:c>
      <x:c r="C1939" s="32" t="n">
        <x:v>20</x:v>
      </x:c>
      <x:c r="D1939" s="33" t="str">
        <x:v>{"Local":"5,0|km|R. Lauro Linhares, 2010 - Trindade, Florianópolis - SC, 88036-002","Ajuste de lance":" --","Impr.":"709","Visualizações do TrueView":"2","Taxa de visualização do TrueView":"0,57%","Código da moeda":"BRL","Custo":"1,92","CPM médio":"2,71","Taxa de conv.":"0,00%","Conversões":"0,00","Custo / conv.":"0,00"}</x:v>
      </x:c>
    </x:row>
    <x:row r="1940" ht="54" customHeight="1">
      <x:c r="A1940" s="32" t="str">
        <x:v>F083</x:v>
      </x:c>
      <x:c r="B1940" s="32" t="str">
        <x:v>C07</x:v>
      </x:c>
      <x:c r="C1940" s="32" t="n">
        <x:v>21</x:v>
      </x:c>
      <x:c r="D1940" s="33" t="str">
        <x:v>{"Local":"5,0|km|R. João Pio Duarte Silva, 1623 - Córrego Grande, Florianópolis - SC, 88037-001","Ajuste de lance":" --","Impr.":"332","Visualizações do TrueView":"1","Taxa de visualização do TrueView":"0,58%","Código da moeda":"BRL","Custo":"0,90","CPM médio":"2,72","Taxa de conv.":"0,00%","Conversões":"0,00","Custo / conv.":"0,00"}</x:v>
      </x:c>
    </x:row>
    <x:row r="1941" ht="54" customHeight="1">
      <x:c r="A1941" s="32" t="str">
        <x:v>F083</x:v>
      </x:c>
      <x:c r="B1941" s="32" t="str">
        <x:v>C07</x:v>
      </x:c>
      <x:c r="C1941" s="32" t="n">
        <x:v>22</x:v>
      </x:c>
      <x:c r="D1941" s="33" t="str">
        <x:v>{"Local":"5,0|km|R. Paralela Novo Horizonte, 3530 - Capoeiras, Florianópolis - SC, 88090-085","Ajuste de lance":" --","Impr.":"1.299","Visualizações do TrueView":"0","Taxa de visualização do TrueView":"0,00%","Código da moeda":"BRL","Custo":"3,33","CPM médio":"2,56","Taxa de conv.":"0,00%","Conversões":"0,00","Custo / conv.":"0,00"}</x:v>
      </x:c>
    </x:row>
    <x:row r="1942" ht="54" customHeight="1">
      <x:c r="A1942" s="32" t="str">
        <x:v>F083</x:v>
      </x:c>
      <x:c r="B1942" s="32" t="str">
        <x:v>C07</x:v>
      </x:c>
      <x:c r="C1942" s="32" t="n">
        <x:v>23</x:v>
      </x:c>
      <x:c r="D1942" s="33" t="str">
        <x:v>{"Local":"5,0|km|R. Alexandre Sergio Godinho, 853 - Mar das Pedras, Biguaçu - SC, 88160-000","Ajuste de lance":" --","Impr.":"409","Visualizações do TrueView":"0","Taxa de visualização do TrueView":"0,00%","Código da moeda":"BRL","Custo":"1,34","CPM médio":"3,27","Taxa de conv.":"0,00%","Conversões":"0,00","Custo / conv.":"0,00"}</x:v>
      </x:c>
    </x:row>
    <x:row r="1943" ht="54" customHeight="1">
      <x:c r="A1943" s="32" t="str">
        <x:v>F083</x:v>
      </x:c>
      <x:c r="B1943" s="32" t="str">
        <x:v>C07</x:v>
      </x:c>
      <x:c r="C1943" s="32" t="n">
        <x:v>24</x:v>
      </x:c>
      <x:c r="D1943" s="33" t="str">
        <x:v>{"Local":"5,0|km|R. Maj. Joaquim Alexandre​ Campos, 6037 - Centro, Santo Amaro da Imperatriz - SC, 88140-000","Ajuste de lance":" --","Impr.":"830","Visualizações do TrueView":"0","Taxa de visualização do TrueView":"0,00%","Código da moeda":"BRL","Custo":"2,20","CPM médio":"2,65","Taxa de conv.":"0,00%","Conversões":"0,00","Custo / conv.":"0,00"}</x:v>
      </x:c>
    </x:row>
    <x:row r="1944" ht="54" customHeight="1">
      <x:c r="A1944" s="32" t="str">
        <x:v>F083</x:v>
      </x:c>
      <x:c r="B1944" s="32" t="str">
        <x:v>C07</x:v>
      </x:c>
      <x:c r="C1944" s="32" t="n">
        <x:v>25</x:v>
      </x:c>
      <x:c r="D1944" s="33" t="str">
        <x:v>{"Local":"5,0|km|Rua João Motta Espezim, 549-461 - Saco dos Limões, Florianópolis - SC, 88045-400","Ajuste de lance":" --","Impr.":"139","Visualizações do TrueView":"0","Taxa de visualização do TrueView":"0,00%","Código da moeda":"BRL","Custo":"0,37","CPM médio":"2,67","Taxa de conv.":"0,00%","Conversões":"0,00","Custo / conv.":"0,00"}</x:v>
      </x:c>
    </x:row>
    <x:row r="1945" ht="39" customHeight="1">
      <x:c r="A1945" s="32" t="str">
        <x:v>F083</x:v>
      </x:c>
      <x:c r="B1945" s="32" t="str">
        <x:v>C07</x:v>
      </x:c>
      <x:c r="C1945" s="32" t="n">
        <x:v>26</x:v>
      </x:c>
      <x:c r="D1945" s="33" t="str">
        <x:v>{"Local":"0,0||","Ajuste de lance":" --","Impr.":"726","Visualizações do TrueView":"3","Taxa de visualização do TrueView":"1,10%","Código da moeda":"BRL","Custo":"2,05","CPM médio":"2,82","Taxa de conv.":"0,00%","Conversões":"0,00","Custo / conv.":"0,00"}</x:v>
      </x:c>
    </x:row>
    <x:row r="1946" ht="39" customHeight="1">
      <x:c r="A1946" s="32" t="str">
        <x:v>F083</x:v>
      </x:c>
      <x:c r="B1946" s="32" t="str">
        <x:v>C07</x:v>
      </x:c>
      <x:c r="C1946" s="32" t="n">
        <x:v>27</x:v>
      </x:c>
      <x:c r="D1946" s="33" t="str">
        <x:v>{"Local":"Total: Locais","Ajuste de lance":"","Impr.":"42.415","Visualizações do TrueView":"64","Taxa de visualização do TrueView":"0,30%","Código da moeda":"BRL","Custo":"112,66","CPM médio":"2,66","Taxa de conv.":"0,00%","Conversões":"0,00","Custo / conv.":"0,00"}</x:v>
      </x:c>
    </x:row>
    <x:row r="1947" ht="39" customHeight="1">
      <x:c r="A1947" s="32" t="str">
        <x:v>F083</x:v>
      </x:c>
      <x:c r="B1947" s="32" t="str">
        <x:v>C07</x:v>
      </x:c>
      <x:c r="C1947" s="32" t="n">
        <x:v>28</x:v>
      </x:c>
      <x:c r="D1947" s="33" t="str">
        <x:v>{"Local":"Total: Outros locais","Ajuste de lance":"","Impr.":"0","Visualizações do TrueView":"0","Taxa de visualização do TrueView":" --","Código da moeda":"BRL","Custo":"0,00","CPM médio":"0","Taxa de conv.":"0,00%","Conversões":"0,00","Custo / conv.":"0,00"}</x:v>
      </x:c>
    </x:row>
    <x:row r="1948" ht="39" customHeight="1">
      <x:c r="A1948" s="32" t="str">
        <x:v>F083</x:v>
      </x:c>
      <x:c r="B1948" s="32" t="str">
        <x:v>C07</x:v>
      </x:c>
      <x:c r="C1948" s="32" t="n">
        <x:v>29</x:v>
      </x:c>
      <x:c r="D1948" s="33" t="str">
        <x:v>{"Local":"Total: Campanha","Ajuste de lance":"","Impr.":"42.415","Visualizações do TrueView":"64","Taxa de visualização do TrueView":"0,30%","Código da moeda":"BRL","Custo":"112,66","CPM médio":"2,66","Taxa de conv.":"0,00%","Conversões":"0,00","Custo / conv.":"0,00"}</x:v>
      </x:c>
    </x:row>
    <x:row r="1949" ht="69" customHeight="1">
      <x:c r="A1949" s="32" t="str">
        <x:v>F084</x:v>
      </x:c>
      <x:c r="B1949" s="32" t="str">
        <x:v>C07</x:v>
      </x:c>
      <x:c r="C1949" s="32" t="n">
        <x:v>1</x:v>
      </x:c>
      <x:c r="D1949" s="33" t="str">
        <x:v>{"Status do grupo de anúncios":"Ativado","Grupo de anúncios":"Vídeo - Alcance eficiente - 07/10 = Região SC","Status":"Qualificado","Motivos do status":"desconhecido","Código da moeda":"BRL","CPM desejado":"5,00","Subtipo da campanha":"Alcance eficiente","Tipo de grupo de anúncios":"Anúncio responsivo em vídeo","Impr.":"42.415","Visualizações do TrueView":"64","CPM médio":"2,66","Custo":"112,66","Inclusões de marca":"[]","Taxa de conv.":"0,00%","Conversões":"0,00","Custo / conv.":"0,00"}</x:v>
      </x:c>
    </x:row>
    <x:row r="1950" ht="54" customHeight="1">
      <x:c r="A1950" s="32" t="str">
        <x:v>F084</x:v>
      </x:c>
      <x:c r="B1950" s="32" t="str">
        <x:v>C07</x:v>
      </x:c>
      <x:c r="C1950" s="32" t="n">
        <x:v>2</x:v>
      </x:c>
      <x:c r="D1950" s="33" t="str">
        <x:v>{"Status do grupo de anúncios":"Total: Grupos de anúncios","Grupo de anúncios":"","Status":"","Motivos do status":"","Código da moeda":"BRL","CPM desejado":"","Subtipo da campanha":"","Tipo de grupo de anúncios":"","Impr.":"42.415","Visualizações do TrueView":"64","CPM médio":"2,66","Custo":"112,66","Inclusões de marca":"","Taxa de conv.":"0,00%","Conversões":"0,00","Custo / conv.":"0,00"}</x:v>
      </x:c>
    </x:row>
    <x:row r="1951" ht="54" customHeight="1">
      <x:c r="A1951" s="32" t="str">
        <x:v>F084</x:v>
      </x:c>
      <x:c r="B1951" s="32" t="str">
        <x:v>C07</x:v>
      </x:c>
      <x:c r="C1951" s="32" t="n">
        <x:v>3</x:v>
      </x:c>
      <x:c r="D1951" s="33" t="str">
        <x:v>{"Status do grupo de anúncios":"Total: Campanha","Grupo de anúncios":"","Status":"","Motivos do status":"","Código da moeda":"BRL","CPM desejado":"","Subtipo da campanha":"","Tipo de grupo de anúncios":"","Impr.":"42.415","Visualizações do TrueView":"64","CPM médio":"2,66","Custo":"112,66","Inclusões de marca":"","Taxa de conv.":"0,00%","Conversões":"0,00","Custo / conv.":"0,00"}</x:v>
      </x:c>
    </x:row>
    <x:row r="1952" ht="54" customHeight="1">
      <x:c r="A1952" s="32" t="str">
        <x:v>F085</x:v>
      </x:c>
      <x:c r="B1952" s="32" t="str">
        <x:v>C07</x:v>
      </x:c>
      <x:c r="C1952" s="32" t="n">
        <x:v>1</x:v>
      </x:c>
      <x:c r="D1952" s="33" t="str">
        <x:v>{"Local das lojas":"Centro de Distribuição Cooperja - Supermercados","address_line_1":"Rua Dr. Nereu Ramos","address_line_2":"Rod. José Tiscoski, 1162","city":"Jacinto Machado","country_code":"BR","phone_number":" +55 48 3535-1074","postal_code":"88950-000","province":"Santa Catarina","Alcance do local (impressões)":"9","Visitas à loja":"0","Cliques de chamada":"0","Como chegar":"0","Visitas ao site":"0"}</x:v>
      </x:c>
    </x:row>
    <x:row r="1953" ht="54" customHeight="1">
      <x:c r="A1953" s="32" t="str">
        <x:v>F085</x:v>
      </x:c>
      <x:c r="B1953" s="32" t="str">
        <x:v>C07</x:v>
      </x:c>
      <x:c r="C1953" s="32" t="n">
        <x:v>2</x:v>
      </x:c>
      <x:c r="D1953" s="33" t="str">
        <x:v>{"Local das lojas":"Supermercado Cooperja - Santa Rosa do Sul","address_line_1":"Rua Manoel Idalino Pereira, 505 - Quadra 70","address_line_2":" --","city":"Santa Rosa do Sul","country_code":"BR","phone_number":" +55 48 3534-1202","postal_code":"88965-000","province":"Santa Catarina","Alcance do local (impressões)":"0","Visitas à loja":"0","Cliques de chamada":"0","Como chegar":"0","Visitas ao site":"0"}</x:v>
      </x:c>
    </x:row>
    <x:row r="1954" ht="54" customHeight="1">
      <x:c r="A1954" s="32" t="str">
        <x:v>F085</x:v>
      </x:c>
      <x:c r="B1954" s="32" t="str">
        <x:v>C07</x:v>
      </x:c>
      <x:c r="C1954" s="32" t="n">
        <x:v>3</x:v>
      </x:c>
      <x:c r="D1954" s="33" t="str">
        <x:v>{"Local das lojas":"Supermercado Cooperja","address_line_1":"Avenida Padre Herval Fontanella, 1369","address_line_2":" --","city":"Jacinto Machado","country_code":"BR","phone_number":" +55 48 3535-6000","postal_code":"88950-000","province":"Santa Catarina","Alcance do local (impressões)":"0","Visitas à loja":"0","Cliques de chamada":"0","Como chegar":"0","Visitas ao site":"0"}</x:v>
      </x:c>
    </x:row>
    <x:row r="1955" ht="54" customHeight="1">
      <x:c r="A1955" s="32" t="str">
        <x:v>F085</x:v>
      </x:c>
      <x:c r="B1955" s="32" t="str">
        <x:v>C07</x:v>
      </x:c>
      <x:c r="C1955" s="32" t="n">
        <x:v>4</x:v>
      </x:c>
      <x:c r="D1955" s="33" t="str">
        <x:v>{"Local das lojas":"Supermercado Cooperja - Balneário Gaivota","address_line_1":"Av. Santa Catarina","address_line_2":" --","city":"Balneário Gaivota","country_code":"BR","phone_number":" +55 48 3583-0315","postal_code":"88955-000","province":"Santa Catarina","Alcance do local (impressões)":"0","Visitas à loja":"0","Cliques de chamada":"0","Como chegar":"0","Visitas ao site":"0"}</x:v>
      </x:c>
    </x:row>
    <x:row r="1956" ht="54" customHeight="1">
      <x:c r="A1956" s="32" t="str">
        <x:v>F085</x:v>
      </x:c>
      <x:c r="B1956" s="32" t="str">
        <x:v>C07</x:v>
      </x:c>
      <x:c r="C1956" s="32" t="n">
        <x:v>5</x:v>
      </x:c>
      <x:c r="D1956" s="33" t="str">
        <x:v>{"Local das lojas":"Supermercado Cooperja - Três Cachoeiras","address_line_1":"Av. Inácio José Schaefer","address_line_2":" --","city":"Três Cachoeiras","country_code":"BR","phone_number":" +55 51 99676-4364","postal_code":"95580-000","province":"Rio Grande do Sul","Alcance do local (impressões)":"0","Visitas à loja":"0","Cliques de chamada":"0","Como chegar":"0","Visitas ao site":"0"}</x:v>
      </x:c>
    </x:row>
    <x:row r="1957" ht="54" customHeight="1">
      <x:c r="A1957" s="32" t="str">
        <x:v>F085</x:v>
      </x:c>
      <x:c r="B1957" s="32" t="str">
        <x:v>C07</x:v>
      </x:c>
      <x:c r="C1957" s="32" t="n">
        <x:v>6</x:v>
      </x:c>
      <x:c r="D1957" s="33" t="str">
        <x:v>{"Local das lojas":"Supermercado Cooperja","address_line_1":"R. Padre Humberto Oening, 471","address_line_2":" --","city":"Praia Grande","country_code":"BR","phone_number":" +55 48 3532-6000","postal_code":"88990-000","province":"Santa Catarina","Alcance do local (impressões)":"0","Visitas à loja":"0","Cliques de chamada":"0","Como chegar":"0","Visitas ao site":"0"}</x:v>
      </x:c>
    </x:row>
    <x:row r="1958" ht="24" customHeight="1">
      <x:c r="A1958" s="32" t="str">
        <x:v>F086</x:v>
      </x:c>
      <x:c r="B1958" s="32" t="str">
        <x:v>C08</x:v>
      </x:c>
      <x:c r="C1958" s="32" t="n">
        <x:v>1</x:v>
      </x:c>
      <x:c r="D1958" s="33" t="str">
        <x:v>{"Date":"8/31/2026","Freq. méd. impr. / usuário (covisualizadas)":"null"}</x:v>
      </x:c>
    </x:row>
    <x:row r="1959" ht="24" customHeight="1">
      <x:c r="A1959" s="32" t="str">
        <x:v>F086</x:v>
      </x:c>
      <x:c r="B1959" s="32" t="str">
        <x:v>C08</x:v>
      </x:c>
      <x:c r="C1959" s="32" t="n">
        <x:v>2</x:v>
      </x:c>
      <x:c r="D1959" s="33" t="str">
        <x:v>{"Date":"9/7/2026","Freq. méd. impr. / usuário (covisualizadas)":"null"}</x:v>
      </x:c>
    </x:row>
    <x:row r="1960" ht="24" customHeight="1">
      <x:c r="A1960" s="32" t="str">
        <x:v>F086</x:v>
      </x:c>
      <x:c r="B1960" s="32" t="str">
        <x:v>C08</x:v>
      </x:c>
      <x:c r="C1960" s="32" t="n">
        <x:v>3</x:v>
      </x:c>
      <x:c r="D1960" s="33" t="str">
        <x:v>{"Date":"9/14/2026","Freq. méd. impr. / usuário (covisualizadas)":"null"}</x:v>
      </x:c>
    </x:row>
    <x:row r="1961" ht="24" customHeight="1">
      <x:c r="A1961" s="32" t="str">
        <x:v>F086</x:v>
      </x:c>
      <x:c r="B1961" s="32" t="str">
        <x:v>C08</x:v>
      </x:c>
      <x:c r="C1961" s="32" t="n">
        <x:v>4</x:v>
      </x:c>
      <x:c r="D1961" s="33" t="str">
        <x:v>{"Date":"9/21/2026","Freq. méd. impr. / usuário (covisualizadas)":"null"}</x:v>
      </x:c>
    </x:row>
    <x:row r="1962" ht="24" customHeight="1">
      <x:c r="A1962" s="32" t="str">
        <x:v>F086</x:v>
      </x:c>
      <x:c r="B1962" s="32" t="str">
        <x:v>C08</x:v>
      </x:c>
      <x:c r="C1962" s="32" t="n">
        <x:v>5</x:v>
      </x:c>
      <x:c r="D1962" s="33" t="str">
        <x:v>{"Date":"9/28/2026","Freq. méd. impr. / usuário (covisualizadas)":"null"}</x:v>
      </x:c>
    </x:row>
    <x:row r="1963" ht="24" customHeight="1">
      <x:c r="A1963" s="32" t="str">
        <x:v>F086</x:v>
      </x:c>
      <x:c r="B1963" s="32" t="str">
        <x:v>C08</x:v>
      </x:c>
      <x:c r="C1963" s="32" t="n">
        <x:v>6</x:v>
      </x:c>
      <x:c r="D1963" s="33" t="str">
        <x:v>{"Date":"10/5/2026","Freq. méd. impr. / usuário (covisualizadas)":"1.3219951923076922"}</x:v>
      </x:c>
    </x:row>
    <x:row r="1964" ht="24" customHeight="1">
      <x:c r="A1964" s="32" t="str">
        <x:v>F086</x:v>
      </x:c>
      <x:c r="B1964" s="32" t="str">
        <x:v>C08</x:v>
      </x:c>
      <x:c r="C1964" s="32" t="n">
        <x:v>7</x:v>
      </x:c>
      <x:c r="D1964" s="33" t="str">
        <x:v>{"Date":"10/12/2026","Freq. méd. impr. / usuário (covisualizadas)":"1.250561879214094"}</x:v>
      </x:c>
    </x:row>
    <x:row r="1965" ht="24" customHeight="1">
      <x:c r="A1965" s="32" t="str">
        <x:v>F087</x:v>
      </x:c>
      <x:c r="B1965" s="32" t="str">
        <x:v>C08</x:v>
      </x:c>
      <x:c r="C1965" s="32" t="n">
        <x:v>1</x:v>
      </x:c>
      <x:c r="D1965" s="33" t="str">
        <x:v>{"Formato de anúncio":"Shorts","Tipo de canal de publicidade":"Total: campanhas de vídeo","Usuários únicos (covisualizados)":"1762"}</x:v>
      </x:c>
    </x:row>
    <x:row r="1966" ht="24" customHeight="1">
      <x:c r="A1966" s="32" t="str">
        <x:v>F087</x:v>
      </x:c>
      <x:c r="B1966" s="32" t="str">
        <x:v>C08</x:v>
      </x:c>
      <x:c r="C1966" s="32" t="n">
        <x:v>2</x:v>
      </x:c>
      <x:c r="D1966" s="33" t="str">
        <x:v>{"Formato de anúncio":"In-feed","Tipo de canal de publicidade":"Total: campanhas de vídeo","Usuários únicos (covisualizados)":"13876"}</x:v>
      </x:c>
    </x:row>
    <x:row r="1967" ht="24" customHeight="1">
      <x:c r="A1967" s="32" t="str">
        <x:v>F087</x:v>
      </x:c>
      <x:c r="B1967" s="32" t="str">
        <x:v>C08</x:v>
      </x:c>
      <x:c r="C1967" s="32" t="n">
        <x:v>3</x:v>
      </x:c>
      <x:c r="D1967" s="33" t="str">
        <x:v>{"Formato de anúncio":"Bumper","Tipo de canal de publicidade":"Total: campanhas de vídeo","Usuários únicos (covisualizados)":"22714"}</x:v>
      </x:c>
    </x:row>
    <x:row r="1968" ht="24" customHeight="1">
      <x:c r="A1968" s="32" t="str">
        <x:v>F088</x:v>
      </x:c>
      <x:c r="B1968" s="32" t="str">
        <x:v>C08</x:v>
      </x:c>
      <x:c r="C1968" s="32" t="n">
        <x:v>1</x:v>
      </x:c>
      <x:c r="D1968" s="33" t="str">
        <x:v>{"Formato de anúncio":"Shorts","Freq. méd. impr. / usuário (covisualizadas)":"1.7332576617480135"}</x:v>
      </x:c>
    </x:row>
    <x:row r="1969" ht="24" customHeight="1">
      <x:c r="A1969" s="32" t="str">
        <x:v>F088</x:v>
      </x:c>
      <x:c r="B1969" s="32" t="str">
        <x:v>C08</x:v>
      </x:c>
      <x:c r="C1969" s="32" t="n">
        <x:v>2</x:v>
      </x:c>
      <x:c r="D1969" s="33" t="str">
        <x:v>{"Formato de anúncio":"In-feed","Freq. méd. impr. / usuário (covisualizadas)":"1.4276448544249063"}</x:v>
      </x:c>
    </x:row>
    <x:row r="1970" ht="24" customHeight="1">
      <x:c r="A1970" s="32" t="str">
        <x:v>F088</x:v>
      </x:c>
      <x:c r="B1970" s="32" t="str">
        <x:v>C08</x:v>
      </x:c>
      <x:c r="C1970" s="32" t="n">
        <x:v>3</x:v>
      </x:c>
      <x:c r="D1970" s="33" t="str">
        <x:v>{"Formato de anúncio":"Bumper","Freq. méd. impr. / usuário (covisualizadas)":"1.205512019019107"}</x:v>
      </x:c>
    </x:row>
    <x:row r="1971" ht="24" customHeight="1">
      <x:c r="A1971" s="32" t="str">
        <x:v>F089</x:v>
      </x:c>
      <x:c r="B1971" s="32" t="str">
        <x:v>C08</x:v>
      </x:c>
      <x:c r="C1971" s="32" t="n">
        <x:v>1</x:v>
      </x:c>
      <x:c r="D1971" s="33" t="str">
        <x:v>{"Dispositivo":"Tablets","Usuários únicos (covisualizados)":"762"}</x:v>
      </x:c>
    </x:row>
    <x:row r="1972" ht="24" customHeight="1">
      <x:c r="A1972" s="32" t="str">
        <x:v>F089</x:v>
      </x:c>
      <x:c r="B1972" s="32" t="str">
        <x:v>C08</x:v>
      </x:c>
      <x:c r="C1972" s="32" t="n">
        <x:v>2</x:v>
      </x:c>
      <x:c r="D1972" s="33" t="str">
        <x:v>{"Dispositivo":"Dispositivos móveis","Usuários únicos (covisualizados)":"12648"}</x:v>
      </x:c>
    </x:row>
    <x:row r="1973" ht="24" customHeight="1">
      <x:c r="A1973" s="32" t="str">
        <x:v>F089</x:v>
      </x:c>
      <x:c r="B1973" s="32" t="str">
        <x:v>C08</x:v>
      </x:c>
      <x:c r="C1973" s="32" t="n">
        <x:v>3</x:v>
      </x:c>
      <x:c r="D1973" s="33" t="str">
        <x:v>{"Dispositivo":"Computadores","Usuários únicos (covisualizados)":"2023"}</x:v>
      </x:c>
    </x:row>
    <x:row r="1974" ht="24" customHeight="1">
      <x:c r="A1974" s="32" t="str">
        <x:v>F089</x:v>
      </x:c>
      <x:c r="B1974" s="32" t="str">
        <x:v>C08</x:v>
      </x:c>
      <x:c r="C1974" s="32" t="n">
        <x:v>4</x:v>
      </x:c>
      <x:c r="D1974" s="33" t="str">
        <x:v>{"Dispositivo":"Telas de TV","Usuários únicos (covisualizados)":"22753"}</x:v>
      </x:c>
    </x:row>
    <x:row r="1975" ht="24" customHeight="1">
      <x:c r="A1975" s="32" t="str">
        <x:v>F090</x:v>
      </x:c>
      <x:c r="B1975" s="32" t="str">
        <x:v>C08</x:v>
      </x:c>
      <x:c r="C1975" s="32" t="n">
        <x:v>1</x:v>
      </x:c>
      <x:c r="D1975" s="33" t="str">
        <x:v>{"Dispositivo":"Tablets","Freq. méd. impr. / usuário (covisualizadas)":"1.2493438320209973"}</x:v>
      </x:c>
    </x:row>
    <x:row r="1976" ht="24" customHeight="1">
      <x:c r="A1976" s="32" t="str">
        <x:v>F090</x:v>
      </x:c>
      <x:c r="B1976" s="32" t="str">
        <x:v>C08</x:v>
      </x:c>
      <x:c r="C1976" s="32" t="n">
        <x:v>2</x:v>
      </x:c>
      <x:c r="D1976" s="33" t="str">
        <x:v>{"Dispositivo":"Dispositivos móveis","Freq. méd. impr. / usuário (covisualizadas)":"1.6065781151170146"}</x:v>
      </x:c>
    </x:row>
    <x:row r="1977" ht="24" customHeight="1">
      <x:c r="A1977" s="32" t="str">
        <x:v>F090</x:v>
      </x:c>
      <x:c r="B1977" s="32" t="str">
        <x:v>C08</x:v>
      </x:c>
      <x:c r="C1977" s="32" t="n">
        <x:v>3</x:v>
      </x:c>
      <x:c r="D1977" s="33" t="str">
        <x:v>{"Dispositivo":"Computadores","Freq. méd. impr. / usuário (covisualizadas)":"1.1922886801779535"}</x:v>
      </x:c>
    </x:row>
    <x:row r="1978" ht="24" customHeight="1">
      <x:c r="A1978" s="32" t="str">
        <x:v>F090</x:v>
      </x:c>
      <x:c r="B1978" s="32" t="str">
        <x:v>C08</x:v>
      </x:c>
      <x:c r="C1978" s="32" t="n">
        <x:v>4</x:v>
      </x:c>
      <x:c r="D1978" s="33" t="str">
        <x:v>{"Dispositivo":"Telas de TV","Freq. méd. impr. / usuário (covisualizadas)":"1.1674064958467016"}</x:v>
      </x:c>
    </x:row>
    <x:row r="1979" ht="24" customHeight="1">
      <x:c r="A1979" s="32" t="str">
        <x:v>F091</x:v>
      </x:c>
      <x:c r="B1979" s="32" t="str">
        <x:v>C08</x:v>
      </x:c>
      <x:c r="C1979" s="32" t="n">
        <x:v>1</x:v>
      </x:c>
      <x:c r="D1979" s="33" t="str">
        <x:v>{"País":"Brazil","Usuários únicos (covisualizados)":"38079","Freq. méd. impr. / usuário (covisualizadas)":"1.3195199453767168"}</x:v>
      </x:c>
    </x:row>
    <x:row r="1980" ht="24" customHeight="1">
      <x:c r="A1980" s="32" t="str">
        <x:v>F092</x:v>
      </x:c>
      <x:c r="B1980" s="32" t="str">
        <x:v>C08</x:v>
      </x:c>
      <x:c r="C1980" s="32" t="n">
        <x:v>1</x:v>
      </x:c>
      <x:c r="D1980" s="33" t="str">
        <x:v>{"Data":"ter., 1 de set. de 2026","Visualizações do TrueView":"0","Cliques":"0","Impr.":"0","Visualizações públicas do YouTube":"0"}</x:v>
      </x:c>
    </x:row>
    <x:row r="1981" ht="24" customHeight="1">
      <x:c r="A1981" s="32" t="str">
        <x:v>F092</x:v>
      </x:c>
      <x:c r="B1981" s="32" t="str">
        <x:v>C08</x:v>
      </x:c>
      <x:c r="C1981" s="32" t="n">
        <x:v>2</x:v>
      </x:c>
      <x:c r="D1981" s="33" t="str">
        <x:v>{"Data":"qua., 2 de set. de 2026","Visualizações do TrueView":"0","Cliques":"0","Impr.":"0","Visualizações públicas do YouTube":"0"}</x:v>
      </x:c>
    </x:row>
    <x:row r="1982" ht="24" customHeight="1">
      <x:c r="A1982" s="32" t="str">
        <x:v>F092</x:v>
      </x:c>
      <x:c r="B1982" s="32" t="str">
        <x:v>C08</x:v>
      </x:c>
      <x:c r="C1982" s="32" t="n">
        <x:v>3</x:v>
      </x:c>
      <x:c r="D1982" s="33" t="str">
        <x:v>{"Data":"qui., 3 de set. de 2026","Visualizações do TrueView":"0","Cliques":"0","Impr.":"0","Visualizações públicas do YouTube":"0"}</x:v>
      </x:c>
    </x:row>
    <x:row r="1983" ht="24" customHeight="1">
      <x:c r="A1983" s="32" t="str">
        <x:v>F092</x:v>
      </x:c>
      <x:c r="B1983" s="32" t="str">
        <x:v>C08</x:v>
      </x:c>
      <x:c r="C1983" s="32" t="n">
        <x:v>4</x:v>
      </x:c>
      <x:c r="D1983" s="33" t="str">
        <x:v>{"Data":"sex., 4 de set. de 2026","Visualizações do TrueView":"0","Cliques":"0","Impr.":"0","Visualizações públicas do YouTube":"0"}</x:v>
      </x:c>
    </x:row>
    <x:row r="1984" ht="24" customHeight="1">
      <x:c r="A1984" s="32" t="str">
        <x:v>F092</x:v>
      </x:c>
      <x:c r="B1984" s="32" t="str">
        <x:v>C08</x:v>
      </x:c>
      <x:c r="C1984" s="32" t="n">
        <x:v>5</x:v>
      </x:c>
      <x:c r="D1984" s="33" t="str">
        <x:v>{"Data":"sáb., 5 de set. de 2026","Visualizações do TrueView":"0","Cliques":"0","Impr.":"0","Visualizações públicas do YouTube":"0"}</x:v>
      </x:c>
    </x:row>
    <x:row r="1985" ht="24" customHeight="1">
      <x:c r="A1985" s="32" t="str">
        <x:v>F092</x:v>
      </x:c>
      <x:c r="B1985" s="32" t="str">
        <x:v>C08</x:v>
      </x:c>
      <x:c r="C1985" s="32" t="n">
        <x:v>6</x:v>
      </x:c>
      <x:c r="D1985" s="33" t="str">
        <x:v>{"Data":"dom., 6 de set. de 2026","Visualizações do TrueView":"0","Cliques":"0","Impr.":"0","Visualizações públicas do YouTube":"0"}</x:v>
      </x:c>
    </x:row>
    <x:row r="1986" ht="24" customHeight="1">
      <x:c r="A1986" s="32" t="str">
        <x:v>F092</x:v>
      </x:c>
      <x:c r="B1986" s="32" t="str">
        <x:v>C08</x:v>
      </x:c>
      <x:c r="C1986" s="32" t="n">
        <x:v>7</x:v>
      </x:c>
      <x:c r="D1986" s="33" t="str">
        <x:v>{"Data":"seg., 7 de set. de 2026","Visualizações do TrueView":"0","Cliques":"0","Impr.":"0","Visualizações públicas do YouTube":"0"}</x:v>
      </x:c>
    </x:row>
    <x:row r="1987" ht="24" customHeight="1">
      <x:c r="A1987" s="32" t="str">
        <x:v>F092</x:v>
      </x:c>
      <x:c r="B1987" s="32" t="str">
        <x:v>C08</x:v>
      </x:c>
      <x:c r="C1987" s="32" t="n">
        <x:v>8</x:v>
      </x:c>
      <x:c r="D1987" s="33" t="str">
        <x:v>{"Data":"ter., 8 de set. de 2026","Visualizações do TrueView":"0","Cliques":"0","Impr.":"0","Visualizações públicas do YouTube":"0"}</x:v>
      </x:c>
    </x:row>
    <x:row r="1988" ht="24" customHeight="1">
      <x:c r="A1988" s="32" t="str">
        <x:v>F092</x:v>
      </x:c>
      <x:c r="B1988" s="32" t="str">
        <x:v>C08</x:v>
      </x:c>
      <x:c r="C1988" s="32" t="n">
        <x:v>9</x:v>
      </x:c>
      <x:c r="D1988" s="33" t="str">
        <x:v>{"Data":"qua., 9 de set. de 2026","Visualizações do TrueView":"0","Cliques":"0","Impr.":"0","Visualizações públicas do YouTube":"0"}</x:v>
      </x:c>
    </x:row>
    <x:row r="1989" ht="24" customHeight="1">
      <x:c r="A1989" s="32" t="str">
        <x:v>F092</x:v>
      </x:c>
      <x:c r="B1989" s="32" t="str">
        <x:v>C08</x:v>
      </x:c>
      <x:c r="C1989" s="32" t="n">
        <x:v>10</x:v>
      </x:c>
      <x:c r="D1989" s="33" t="str">
        <x:v>{"Data":"qui., 10 de set. de 2026","Visualizações do TrueView":"0","Cliques":"0","Impr.":"0","Visualizações públicas do YouTube":"0"}</x:v>
      </x:c>
    </x:row>
    <x:row r="1990" ht="24" customHeight="1">
      <x:c r="A1990" s="32" t="str">
        <x:v>F092</x:v>
      </x:c>
      <x:c r="B1990" s="32" t="str">
        <x:v>C08</x:v>
      </x:c>
      <x:c r="C1990" s="32" t="n">
        <x:v>11</x:v>
      </x:c>
      <x:c r="D1990" s="33" t="str">
        <x:v>{"Data":"sex., 11 de set. de 2026","Visualizações do TrueView":"0","Cliques":"0","Impr.":"0","Visualizações públicas do YouTube":"0"}</x:v>
      </x:c>
    </x:row>
    <x:row r="1991" ht="24" customHeight="1">
      <x:c r="A1991" s="32" t="str">
        <x:v>F092</x:v>
      </x:c>
      <x:c r="B1991" s="32" t="str">
        <x:v>C08</x:v>
      </x:c>
      <x:c r="C1991" s="32" t="n">
        <x:v>12</x:v>
      </x:c>
      <x:c r="D1991" s="33" t="str">
        <x:v>{"Data":"sáb., 12 de set. de 2026","Visualizações do TrueView":"0","Cliques":"0","Impr.":"0","Visualizações públicas do YouTube":"0"}</x:v>
      </x:c>
    </x:row>
    <x:row r="1992" ht="24" customHeight="1">
      <x:c r="A1992" s="32" t="str">
        <x:v>F092</x:v>
      </x:c>
      <x:c r="B1992" s="32" t="str">
        <x:v>C08</x:v>
      </x:c>
      <x:c r="C1992" s="32" t="n">
        <x:v>13</x:v>
      </x:c>
      <x:c r="D1992" s="33" t="str">
        <x:v>{"Data":"dom., 13 de set. de 2026","Visualizações do TrueView":"0","Cliques":"0","Impr.":"0","Visualizações públicas do YouTube":"0"}</x:v>
      </x:c>
    </x:row>
    <x:row r="1993" ht="24" customHeight="1">
      <x:c r="A1993" s="32" t="str">
        <x:v>F092</x:v>
      </x:c>
      <x:c r="B1993" s="32" t="str">
        <x:v>C08</x:v>
      </x:c>
      <x:c r="C1993" s="32" t="n">
        <x:v>14</x:v>
      </x:c>
      <x:c r="D1993" s="33" t="str">
        <x:v>{"Data":"seg., 14 de set. de 2026","Visualizações do TrueView":"0","Cliques":"0","Impr.":"0","Visualizações públicas do YouTube":"0"}</x:v>
      </x:c>
    </x:row>
    <x:row r="1994" ht="24" customHeight="1">
      <x:c r="A1994" s="32" t="str">
        <x:v>F092</x:v>
      </x:c>
      <x:c r="B1994" s="32" t="str">
        <x:v>C08</x:v>
      </x:c>
      <x:c r="C1994" s="32" t="n">
        <x:v>15</x:v>
      </x:c>
      <x:c r="D1994" s="33" t="str">
        <x:v>{"Data":"ter., 15 de set. de 2026","Visualizações do TrueView":"0","Cliques":"0","Impr.":"0","Visualizações públicas do YouTube":"0"}</x:v>
      </x:c>
    </x:row>
    <x:row r="1995" ht="24" customHeight="1">
      <x:c r="A1995" s="32" t="str">
        <x:v>F092</x:v>
      </x:c>
      <x:c r="B1995" s="32" t="str">
        <x:v>C08</x:v>
      </x:c>
      <x:c r="C1995" s="32" t="n">
        <x:v>16</x:v>
      </x:c>
      <x:c r="D1995" s="33" t="str">
        <x:v>{"Data":"qua., 16 de set. de 2026","Visualizações do TrueView":"0","Cliques":"0","Impr.":"0","Visualizações públicas do YouTube":"0"}</x:v>
      </x:c>
    </x:row>
    <x:row r="1996" ht="24" customHeight="1">
      <x:c r="A1996" s="32" t="str">
        <x:v>F092</x:v>
      </x:c>
      <x:c r="B1996" s="32" t="str">
        <x:v>C08</x:v>
      </x:c>
      <x:c r="C1996" s="32" t="n">
        <x:v>17</x:v>
      </x:c>
      <x:c r="D1996" s="33" t="str">
        <x:v>{"Data":"qui., 17 de set. de 2026","Visualizações do TrueView":"0","Cliques":"0","Impr.":"0","Visualizações públicas do YouTube":"0"}</x:v>
      </x:c>
    </x:row>
    <x:row r="1997" ht="24" customHeight="1">
      <x:c r="A1997" s="32" t="str">
        <x:v>F092</x:v>
      </x:c>
      <x:c r="B1997" s="32" t="str">
        <x:v>C08</x:v>
      </x:c>
      <x:c r="C1997" s="32" t="n">
        <x:v>18</x:v>
      </x:c>
      <x:c r="D1997" s="33" t="str">
        <x:v>{"Data":"sex., 18 de set. de 2026","Visualizações do TrueView":"0","Cliques":"0","Impr.":"0","Visualizações públicas do YouTube":"0"}</x:v>
      </x:c>
    </x:row>
    <x:row r="1998" ht="24" customHeight="1">
      <x:c r="A1998" s="32" t="str">
        <x:v>F092</x:v>
      </x:c>
      <x:c r="B1998" s="32" t="str">
        <x:v>C08</x:v>
      </x:c>
      <x:c r="C1998" s="32" t="n">
        <x:v>19</x:v>
      </x:c>
      <x:c r="D1998" s="33" t="str">
        <x:v>{"Data":"sáb., 19 de set. de 2026","Visualizações do TrueView":"0","Cliques":"0","Impr.":"0","Visualizações públicas do YouTube":"0"}</x:v>
      </x:c>
    </x:row>
    <x:row r="1999" ht="24" customHeight="1">
      <x:c r="A1999" s="32" t="str">
        <x:v>F092</x:v>
      </x:c>
      <x:c r="B1999" s="32" t="str">
        <x:v>C08</x:v>
      </x:c>
      <x:c r="C1999" s="32" t="n">
        <x:v>20</x:v>
      </x:c>
      <x:c r="D1999" s="33" t="str">
        <x:v>{"Data":"dom., 20 de set. de 2026","Visualizações do TrueView":"0","Cliques":"0","Impr.":"0","Visualizações públicas do YouTube":"0"}</x:v>
      </x:c>
    </x:row>
    <x:row r="2000" ht="24" customHeight="1">
      <x:c r="A2000" s="32" t="str">
        <x:v>F092</x:v>
      </x:c>
      <x:c r="B2000" s="32" t="str">
        <x:v>C08</x:v>
      </x:c>
      <x:c r="C2000" s="32" t="n">
        <x:v>21</x:v>
      </x:c>
      <x:c r="D2000" s="33" t="str">
        <x:v>{"Data":"seg., 21 de set. de 2026","Visualizações do TrueView":"0","Cliques":"0","Impr.":"0","Visualizações públicas do YouTube":"0"}</x:v>
      </x:c>
    </x:row>
    <x:row r="2001" ht="24" customHeight="1">
      <x:c r="A2001" s="32" t="str">
        <x:v>F092</x:v>
      </x:c>
      <x:c r="B2001" s="32" t="str">
        <x:v>C08</x:v>
      </x:c>
      <x:c r="C2001" s="32" t="n">
        <x:v>22</x:v>
      </x:c>
      <x:c r="D2001" s="33" t="str">
        <x:v>{"Data":"ter., 22 de set. de 2026","Visualizações do TrueView":"0","Cliques":"0","Impr.":"0","Visualizações públicas do YouTube":"0"}</x:v>
      </x:c>
    </x:row>
    <x:row r="2002" ht="24" customHeight="1">
      <x:c r="A2002" s="32" t="str">
        <x:v>F092</x:v>
      </x:c>
      <x:c r="B2002" s="32" t="str">
        <x:v>C08</x:v>
      </x:c>
      <x:c r="C2002" s="32" t="n">
        <x:v>23</x:v>
      </x:c>
      <x:c r="D2002" s="33" t="str">
        <x:v>{"Data":"qua., 23 de set. de 2026","Visualizações do TrueView":"0","Cliques":"0","Impr.":"0","Visualizações públicas do YouTube":"0"}</x:v>
      </x:c>
    </x:row>
    <x:row r="2003" ht="24" customHeight="1">
      <x:c r="A2003" s="32" t="str">
        <x:v>F092</x:v>
      </x:c>
      <x:c r="B2003" s="32" t="str">
        <x:v>C08</x:v>
      </x:c>
      <x:c r="C2003" s="32" t="n">
        <x:v>24</x:v>
      </x:c>
      <x:c r="D2003" s="33" t="str">
        <x:v>{"Data":"qui., 24 de set. de 2026","Visualizações do TrueView":"0","Cliques":"0","Impr.":"0","Visualizações públicas do YouTube":"0"}</x:v>
      </x:c>
    </x:row>
    <x:row r="2004" ht="24" customHeight="1">
      <x:c r="A2004" s="32" t="str">
        <x:v>F092</x:v>
      </x:c>
      <x:c r="B2004" s="32" t="str">
        <x:v>C08</x:v>
      </x:c>
      <x:c r="C2004" s="32" t="n">
        <x:v>25</x:v>
      </x:c>
      <x:c r="D2004" s="33" t="str">
        <x:v>{"Data":"sex., 25 de set. de 2026","Visualizações do TrueView":"0","Cliques":"0","Impr.":"0","Visualizações públicas do YouTube":"0"}</x:v>
      </x:c>
    </x:row>
    <x:row r="2005" ht="24" customHeight="1">
      <x:c r="A2005" s="32" t="str">
        <x:v>F092</x:v>
      </x:c>
      <x:c r="B2005" s="32" t="str">
        <x:v>C08</x:v>
      </x:c>
      <x:c r="C2005" s="32" t="n">
        <x:v>26</x:v>
      </x:c>
      <x:c r="D2005" s="33" t="str">
        <x:v>{"Data":"sáb., 26 de set. de 2026","Visualizações do TrueView":"0","Cliques":"0","Impr.":"0","Visualizações públicas do YouTube":"0"}</x:v>
      </x:c>
    </x:row>
    <x:row r="2006" ht="24" customHeight="1">
      <x:c r="A2006" s="32" t="str">
        <x:v>F092</x:v>
      </x:c>
      <x:c r="B2006" s="32" t="str">
        <x:v>C08</x:v>
      </x:c>
      <x:c r="C2006" s="32" t="n">
        <x:v>27</x:v>
      </x:c>
      <x:c r="D2006" s="33" t="str">
        <x:v>{"Data":"dom., 27 de set. de 2026","Visualizações do TrueView":"0","Cliques":"0","Impr.":"0","Visualizações públicas do YouTube":"0"}</x:v>
      </x:c>
    </x:row>
    <x:row r="2007" ht="24" customHeight="1">
      <x:c r="A2007" s="32" t="str">
        <x:v>F092</x:v>
      </x:c>
      <x:c r="B2007" s="32" t="str">
        <x:v>C08</x:v>
      </x:c>
      <x:c r="C2007" s="32" t="n">
        <x:v>28</x:v>
      </x:c>
      <x:c r="D2007" s="33" t="str">
        <x:v>{"Data":"seg., 28 de set. de 2026","Visualizações do TrueView":"0","Cliques":"0","Impr.":"0","Visualizações públicas do YouTube":"0"}</x:v>
      </x:c>
    </x:row>
    <x:row r="2008" ht="24" customHeight="1">
      <x:c r="A2008" s="32" t="str">
        <x:v>F092</x:v>
      </x:c>
      <x:c r="B2008" s="32" t="str">
        <x:v>C08</x:v>
      </x:c>
      <x:c r="C2008" s="32" t="n">
        <x:v>29</x:v>
      </x:c>
      <x:c r="D2008" s="33" t="str">
        <x:v>{"Data":"ter., 29 de set. de 2026","Visualizações do TrueView":"0","Cliques":"0","Impr.":"0","Visualizações públicas do YouTube":"0"}</x:v>
      </x:c>
    </x:row>
    <x:row r="2009" ht="24" customHeight="1">
      <x:c r="A2009" s="32" t="str">
        <x:v>F092</x:v>
      </x:c>
      <x:c r="B2009" s="32" t="str">
        <x:v>C08</x:v>
      </x:c>
      <x:c r="C2009" s="32" t="n">
        <x:v>30</x:v>
      </x:c>
      <x:c r="D2009" s="33" t="str">
        <x:v>{"Data":"qua., 30 de set. de 2026","Visualizações do TrueView":"0","Cliques":"0","Impr.":"0","Visualizações públicas do YouTube":"0"}</x:v>
      </x:c>
    </x:row>
    <x:row r="2010" ht="24" customHeight="1">
      <x:c r="A2010" s="32" t="str">
        <x:v>F092</x:v>
      </x:c>
      <x:c r="B2010" s="32" t="str">
        <x:v>C08</x:v>
      </x:c>
      <x:c r="C2010" s="32" t="n">
        <x:v>31</x:v>
      </x:c>
      <x:c r="D2010" s="33" t="str">
        <x:v>{"Data":"qui., 1 de out. de 2026","Visualizações do TrueView":"0","Cliques":"0","Impr.":"0","Visualizações públicas do YouTube":"0"}</x:v>
      </x:c>
    </x:row>
    <x:row r="2011" ht="24" customHeight="1">
      <x:c r="A2011" s="32" t="str">
        <x:v>F092</x:v>
      </x:c>
      <x:c r="B2011" s="32" t="str">
        <x:v>C08</x:v>
      </x:c>
      <x:c r="C2011" s="32" t="n">
        <x:v>32</x:v>
      </x:c>
      <x:c r="D2011" s="33" t="str">
        <x:v>{"Data":"sex., 2 de out. de 2026","Visualizações do TrueView":"0","Cliques":"0","Impr.":"0","Visualizações públicas do YouTube":"0"}</x:v>
      </x:c>
    </x:row>
    <x:row r="2012" ht="24" customHeight="1">
      <x:c r="A2012" s="32" t="str">
        <x:v>F092</x:v>
      </x:c>
      <x:c r="B2012" s="32" t="str">
        <x:v>C08</x:v>
      </x:c>
      <x:c r="C2012" s="32" t="n">
        <x:v>33</x:v>
      </x:c>
      <x:c r="D2012" s="33" t="str">
        <x:v>{"Data":"sáb., 3 de out. de 2026","Visualizações do TrueView":"0","Cliques":"0","Impr.":"0","Visualizações públicas do YouTube":"0"}</x:v>
      </x:c>
    </x:row>
    <x:row r="2013" ht="24" customHeight="1">
      <x:c r="A2013" s="32" t="str">
        <x:v>F092</x:v>
      </x:c>
      <x:c r="B2013" s="32" t="str">
        <x:v>C08</x:v>
      </x:c>
      <x:c r="C2013" s="32" t="n">
        <x:v>34</x:v>
      </x:c>
      <x:c r="D2013" s="33" t="str">
        <x:v>{"Data":"dom., 4 de out. de 2026","Visualizações do TrueView":"0","Cliques":"0","Impr.":"0","Visualizações públicas do YouTube":"0"}</x:v>
      </x:c>
    </x:row>
    <x:row r="2014" ht="24" customHeight="1">
      <x:c r="A2014" s="32" t="str">
        <x:v>F092</x:v>
      </x:c>
      <x:c r="B2014" s="32" t="str">
        <x:v>C08</x:v>
      </x:c>
      <x:c r="C2014" s="32" t="n">
        <x:v>35</x:v>
      </x:c>
      <x:c r="D2014" s="33" t="str">
        <x:v>{"Data":"seg., 5 de out. de 2026","Visualizações do TrueView":"0","Cliques":"0","Impr.":"0","Visualizações públicas do YouTube":"0"}</x:v>
      </x:c>
    </x:row>
    <x:row r="2015" ht="24" customHeight="1">
      <x:c r="A2015" s="32" t="str">
        <x:v>F092</x:v>
      </x:c>
      <x:c r="B2015" s="32" t="str">
        <x:v>C08</x:v>
      </x:c>
      <x:c r="C2015" s="32" t="n">
        <x:v>36</x:v>
      </x:c>
      <x:c r="D2015" s="33" t="str">
        <x:v>{"Data":"ter., 6 de out. de 2026","Visualizações do TrueView":"0","Cliques":"0","Impr.":"0","Visualizações públicas do YouTube":"0"}</x:v>
      </x:c>
    </x:row>
    <x:row r="2016" ht="24" customHeight="1">
      <x:c r="A2016" s="32" t="str">
        <x:v>F092</x:v>
      </x:c>
      <x:c r="B2016" s="32" t="str">
        <x:v>C08</x:v>
      </x:c>
      <x:c r="C2016" s="32" t="n">
        <x:v>37</x:v>
      </x:c>
      <x:c r="D2016" s="33" t="str">
        <x:v>{"Data":"qua., 7 de out. de 2026","Visualizações do TrueView":"36","Cliques":"8","Impr.":"4.257","Visualizações públicas do YouTube":"757"}</x:v>
      </x:c>
    </x:row>
    <x:row r="2017" ht="24" customHeight="1">
      <x:c r="A2017" s="32" t="str">
        <x:v>F092</x:v>
      </x:c>
      <x:c r="B2017" s="32" t="str">
        <x:v>C08</x:v>
      </x:c>
      <x:c r="C2017" s="32" t="n">
        <x:v>38</x:v>
      </x:c>
      <x:c r="D2017" s="33" t="str">
        <x:v>{"Data":"qui., 8 de out. de 2026","Visualizações do TrueView":"24","Cliques":"10","Impr.":"6.178","Visualizações públicas do YouTube":"1.659"}</x:v>
      </x:c>
    </x:row>
    <x:row r="2018" ht="24" customHeight="1">
      <x:c r="A2018" s="32" t="str">
        <x:v>F092</x:v>
      </x:c>
      <x:c r="B2018" s="32" t="str">
        <x:v>C08</x:v>
      </x:c>
      <x:c r="C2018" s="32" t="n">
        <x:v>39</x:v>
      </x:c>
      <x:c r="D2018" s="33" t="str">
        <x:v>{"Data":"sex., 9 de out. de 2026","Visualizações do TrueView":"21","Cliques":"2","Impr.":"6.214","Visualizações públicas do YouTube":"3.341"}</x:v>
      </x:c>
    </x:row>
    <x:row r="2019" ht="24" customHeight="1">
      <x:c r="A2019" s="32" t="str">
        <x:v>F092</x:v>
      </x:c>
      <x:c r="B2019" s="32" t="str">
        <x:v>C08</x:v>
      </x:c>
      <x:c r="C2019" s="32" t="n">
        <x:v>40</x:v>
      </x:c>
      <x:c r="D2019" s="33" t="str">
        <x:v>{"Data":"sáb., 10 de out. de 2026","Visualizações do TrueView":"10","Cliques":"3","Impr.":"5.989","Visualizações públicas do YouTube":"2.633"}</x:v>
      </x:c>
    </x:row>
    <x:row r="2020" ht="24" customHeight="1">
      <x:c r="A2020" s="32" t="str">
        <x:v>F092</x:v>
      </x:c>
      <x:c r="B2020" s="32" t="str">
        <x:v>C08</x:v>
      </x:c>
      <x:c r="C2020" s="32" t="n">
        <x:v>41</x:v>
      </x:c>
      <x:c r="D2020" s="33" t="str">
        <x:v>{"Data":"dom., 11 de out. de 2026","Visualizações do TrueView":"10","Cliques":"5","Impr.":"6.137","Visualizações públicas do YouTube":"2.558"}</x:v>
      </x:c>
    </x:row>
    <x:row r="2021" ht="24" customHeight="1">
      <x:c r="A2021" s="32" t="str">
        <x:v>F092</x:v>
      </x:c>
      <x:c r="B2021" s="32" t="str">
        <x:v>C08</x:v>
      </x:c>
      <x:c r="C2021" s="32" t="n">
        <x:v>42</x:v>
      </x:c>
      <x:c r="D2021" s="33" t="str">
        <x:v>{"Data":"seg., 12 de out. de 2026","Visualizações do TrueView":"12","Cliques":"9","Impr.":"6.686","Visualizações públicas do YouTube":"2.780"}</x:v>
      </x:c>
    </x:row>
    <x:row r="2022" ht="24" customHeight="1">
      <x:c r="A2022" s="32" t="str">
        <x:v>F092</x:v>
      </x:c>
      <x:c r="B2022" s="32" t="str">
        <x:v>C08</x:v>
      </x:c>
      <x:c r="C2022" s="32" t="n">
        <x:v>43</x:v>
      </x:c>
      <x:c r="D2022" s="33" t="str">
        <x:v>{"Data":"ter., 13 de out. de 2026","Visualizações do TrueView":"8","Cliques":"8","Impr.":"6.883","Visualizações públicas do YouTube":"2.687"}</x:v>
      </x:c>
    </x:row>
    <x:row r="2023" ht="24" customHeight="1">
      <x:c r="A2023" s="32" t="str">
        <x:v>F092</x:v>
      </x:c>
      <x:c r="B2023" s="32" t="str">
        <x:v>C08</x:v>
      </x:c>
      <x:c r="C2023" s="32" t="n">
        <x:v>44</x:v>
      </x:c>
      <x:c r="D2023" s="33" t="str">
        <x:v>{"Data":"qua., 14 de out. de 2026","Visualizações do TrueView":"2","Cliques":"4","Impr.":"1.768","Visualizações públicas do YouTube":"517"}</x:v>
      </x:c>
    </x:row>
    <x:row r="2024" ht="24" customHeight="1">
      <x:c r="A2024" s="32" t="str">
        <x:v>F093</x:v>
      </x:c>
      <x:c r="B2024" s="32" t="str">
        <x:v>C08</x:v>
      </x:c>
      <x:c r="C2024" s="32" t="n">
        <x:v>1</x:v>
      </x:c>
      <x:c r="D2024" s="33" t="str">
        <x:v>{"Data":"ter., 1 de set. de 2026","Cliques":"0","Visualizações públicas do YouTube":"0","Shorts":"—","Custo":"R$ 0,00"}</x:v>
      </x:c>
    </x:row>
    <x:row r="2025" ht="24" customHeight="1">
      <x:c r="A2025" s="32" t="str">
        <x:v>F093</x:v>
      </x:c>
      <x:c r="B2025" s="32" t="str">
        <x:v>C08</x:v>
      </x:c>
      <x:c r="C2025" s="32" t="n">
        <x:v>2</x:v>
      </x:c>
      <x:c r="D2025" s="33" t="str">
        <x:v>{"Data":"qua., 2 de set. de 2026","Cliques":"0","Visualizações públicas do YouTube":"0","Shorts":"—","Custo":"R$ 0,00"}</x:v>
      </x:c>
    </x:row>
    <x:row r="2026" ht="24" customHeight="1">
      <x:c r="A2026" s="32" t="str">
        <x:v>F093</x:v>
      </x:c>
      <x:c r="B2026" s="32" t="str">
        <x:v>C08</x:v>
      </x:c>
      <x:c r="C2026" s="32" t="n">
        <x:v>3</x:v>
      </x:c>
      <x:c r="D2026" s="33" t="str">
        <x:v>{"Data":"qui., 3 de set. de 2026","Cliques":"0","Visualizações públicas do YouTube":"0","Shorts":"—","Custo":"R$ 0,00"}</x:v>
      </x:c>
    </x:row>
    <x:row r="2027" ht="24" customHeight="1">
      <x:c r="A2027" s="32" t="str">
        <x:v>F093</x:v>
      </x:c>
      <x:c r="B2027" s="32" t="str">
        <x:v>C08</x:v>
      </x:c>
      <x:c r="C2027" s="32" t="n">
        <x:v>4</x:v>
      </x:c>
      <x:c r="D2027" s="33" t="str">
        <x:v>{"Data":"sex., 4 de set. de 2026","Cliques":"0","Visualizações públicas do YouTube":"0","Shorts":"—","Custo":"R$ 0,00"}</x:v>
      </x:c>
    </x:row>
    <x:row r="2028" ht="24" customHeight="1">
      <x:c r="A2028" s="32" t="str">
        <x:v>F093</x:v>
      </x:c>
      <x:c r="B2028" s="32" t="str">
        <x:v>C08</x:v>
      </x:c>
      <x:c r="C2028" s="32" t="n">
        <x:v>5</x:v>
      </x:c>
      <x:c r="D2028" s="33" t="str">
        <x:v>{"Data":"sáb., 5 de set. de 2026","Cliques":"0","Visualizações públicas do YouTube":"0","Shorts":"—","Custo":"R$ 0,00"}</x:v>
      </x:c>
    </x:row>
    <x:row r="2029" ht="24" customHeight="1">
      <x:c r="A2029" s="32" t="str">
        <x:v>F093</x:v>
      </x:c>
      <x:c r="B2029" s="32" t="str">
        <x:v>C08</x:v>
      </x:c>
      <x:c r="C2029" s="32" t="n">
        <x:v>6</x:v>
      </x:c>
      <x:c r="D2029" s="33" t="str">
        <x:v>{"Data":"dom., 6 de set. de 2026","Cliques":"0","Visualizações públicas do YouTube":"0","Shorts":"—","Custo":"R$ 0,00"}</x:v>
      </x:c>
    </x:row>
    <x:row r="2030" ht="24" customHeight="1">
      <x:c r="A2030" s="32" t="str">
        <x:v>F093</x:v>
      </x:c>
      <x:c r="B2030" s="32" t="str">
        <x:v>C08</x:v>
      </x:c>
      <x:c r="C2030" s="32" t="n">
        <x:v>7</x:v>
      </x:c>
      <x:c r="D2030" s="33" t="str">
        <x:v>{"Data":"seg., 7 de set. de 2026","Cliques":"0","Visualizações públicas do YouTube":"0","Shorts":"—","Custo":"R$ 0,00"}</x:v>
      </x:c>
    </x:row>
    <x:row r="2031" ht="24" customHeight="1">
      <x:c r="A2031" s="32" t="str">
        <x:v>F093</x:v>
      </x:c>
      <x:c r="B2031" s="32" t="str">
        <x:v>C08</x:v>
      </x:c>
      <x:c r="C2031" s="32" t="n">
        <x:v>8</x:v>
      </x:c>
      <x:c r="D2031" s="33" t="str">
        <x:v>{"Data":"ter., 8 de set. de 2026","Cliques":"0","Visualizações públicas do YouTube":"0","Shorts":"—","Custo":"R$ 0,00"}</x:v>
      </x:c>
    </x:row>
    <x:row r="2032" ht="24" customHeight="1">
      <x:c r="A2032" s="32" t="str">
        <x:v>F093</x:v>
      </x:c>
      <x:c r="B2032" s="32" t="str">
        <x:v>C08</x:v>
      </x:c>
      <x:c r="C2032" s="32" t="n">
        <x:v>9</x:v>
      </x:c>
      <x:c r="D2032" s="33" t="str">
        <x:v>{"Data":"qua., 9 de set. de 2026","Cliques":"0","Visualizações públicas do YouTube":"0","Shorts":"—","Custo":"R$ 0,00"}</x:v>
      </x:c>
    </x:row>
    <x:row r="2033" ht="24" customHeight="1">
      <x:c r="A2033" s="32" t="str">
        <x:v>F093</x:v>
      </x:c>
      <x:c r="B2033" s="32" t="str">
        <x:v>C08</x:v>
      </x:c>
      <x:c r="C2033" s="32" t="n">
        <x:v>10</x:v>
      </x:c>
      <x:c r="D2033" s="33" t="str">
        <x:v>{"Data":"qui., 10 de set. de 2026","Cliques":"0","Visualizações públicas do YouTube":"0","Shorts":"—","Custo":"R$ 0,00"}</x:v>
      </x:c>
    </x:row>
    <x:row r="2034" ht="24" customHeight="1">
      <x:c r="A2034" s="32" t="str">
        <x:v>F093</x:v>
      </x:c>
      <x:c r="B2034" s="32" t="str">
        <x:v>C08</x:v>
      </x:c>
      <x:c r="C2034" s="32" t="n">
        <x:v>11</x:v>
      </x:c>
      <x:c r="D2034" s="33" t="str">
        <x:v>{"Data":"sex., 11 de set. de 2026","Cliques":"0","Visualizações públicas do YouTube":"0","Shorts":"—","Custo":"R$ 0,00"}</x:v>
      </x:c>
    </x:row>
    <x:row r="2035" ht="24" customHeight="1">
      <x:c r="A2035" s="32" t="str">
        <x:v>F093</x:v>
      </x:c>
      <x:c r="B2035" s="32" t="str">
        <x:v>C08</x:v>
      </x:c>
      <x:c r="C2035" s="32" t="n">
        <x:v>12</x:v>
      </x:c>
      <x:c r="D2035" s="33" t="str">
        <x:v>{"Data":"sáb., 12 de set. de 2026","Cliques":"0","Visualizações públicas do YouTube":"0","Shorts":"—","Custo":"R$ 0,00"}</x:v>
      </x:c>
    </x:row>
    <x:row r="2036" ht="24" customHeight="1">
      <x:c r="A2036" s="32" t="str">
        <x:v>F093</x:v>
      </x:c>
      <x:c r="B2036" s="32" t="str">
        <x:v>C08</x:v>
      </x:c>
      <x:c r="C2036" s="32" t="n">
        <x:v>13</x:v>
      </x:c>
      <x:c r="D2036" s="33" t="str">
        <x:v>{"Data":"dom., 13 de set. de 2026","Cliques":"0","Visualizações públicas do YouTube":"0","Shorts":"—","Custo":"R$ 0,00"}</x:v>
      </x:c>
    </x:row>
    <x:row r="2037" ht="24" customHeight="1">
      <x:c r="A2037" s="32" t="str">
        <x:v>F093</x:v>
      </x:c>
      <x:c r="B2037" s="32" t="str">
        <x:v>C08</x:v>
      </x:c>
      <x:c r="C2037" s="32" t="n">
        <x:v>14</x:v>
      </x:c>
      <x:c r="D2037" s="33" t="str">
        <x:v>{"Data":"seg., 14 de set. de 2026","Cliques":"0","Visualizações públicas do YouTube":"0","Shorts":"—","Custo":"R$ 0,00"}</x:v>
      </x:c>
    </x:row>
    <x:row r="2038" ht="24" customHeight="1">
      <x:c r="A2038" s="32" t="str">
        <x:v>F093</x:v>
      </x:c>
      <x:c r="B2038" s="32" t="str">
        <x:v>C08</x:v>
      </x:c>
      <x:c r="C2038" s="32" t="n">
        <x:v>15</x:v>
      </x:c>
      <x:c r="D2038" s="33" t="str">
        <x:v>{"Data":"ter., 15 de set. de 2026","Cliques":"0","Visualizações públicas do YouTube":"0","Shorts":"—","Custo":"R$ 0,00"}</x:v>
      </x:c>
    </x:row>
    <x:row r="2039" ht="24" customHeight="1">
      <x:c r="A2039" s="32" t="str">
        <x:v>F093</x:v>
      </x:c>
      <x:c r="B2039" s="32" t="str">
        <x:v>C08</x:v>
      </x:c>
      <x:c r="C2039" s="32" t="n">
        <x:v>16</x:v>
      </x:c>
      <x:c r="D2039" s="33" t="str">
        <x:v>{"Data":"qua., 16 de set. de 2026","Cliques":"0","Visualizações públicas do YouTube":"0","Shorts":"—","Custo":"R$ 0,00"}</x:v>
      </x:c>
    </x:row>
    <x:row r="2040" ht="24" customHeight="1">
      <x:c r="A2040" s="32" t="str">
        <x:v>F093</x:v>
      </x:c>
      <x:c r="B2040" s="32" t="str">
        <x:v>C08</x:v>
      </x:c>
      <x:c r="C2040" s="32" t="n">
        <x:v>17</x:v>
      </x:c>
      <x:c r="D2040" s="33" t="str">
        <x:v>{"Data":"qui., 17 de set. de 2026","Cliques":"0","Visualizações públicas do YouTube":"0","Shorts":"—","Custo":"R$ 0,00"}</x:v>
      </x:c>
    </x:row>
    <x:row r="2041" ht="24" customHeight="1">
      <x:c r="A2041" s="32" t="str">
        <x:v>F093</x:v>
      </x:c>
      <x:c r="B2041" s="32" t="str">
        <x:v>C08</x:v>
      </x:c>
      <x:c r="C2041" s="32" t="n">
        <x:v>18</x:v>
      </x:c>
      <x:c r="D2041" s="33" t="str">
        <x:v>{"Data":"sex., 18 de set. de 2026","Cliques":"0","Visualizações públicas do YouTube":"0","Shorts":"—","Custo":"R$ 0,00"}</x:v>
      </x:c>
    </x:row>
    <x:row r="2042" ht="24" customHeight="1">
      <x:c r="A2042" s="32" t="str">
        <x:v>F093</x:v>
      </x:c>
      <x:c r="B2042" s="32" t="str">
        <x:v>C08</x:v>
      </x:c>
      <x:c r="C2042" s="32" t="n">
        <x:v>19</x:v>
      </x:c>
      <x:c r="D2042" s="33" t="str">
        <x:v>{"Data":"sáb., 19 de set. de 2026","Cliques":"0","Visualizações públicas do YouTube":"0","Shorts":"—","Custo":"R$ 0,00"}</x:v>
      </x:c>
    </x:row>
    <x:row r="2043" ht="24" customHeight="1">
      <x:c r="A2043" s="32" t="str">
        <x:v>F093</x:v>
      </x:c>
      <x:c r="B2043" s="32" t="str">
        <x:v>C08</x:v>
      </x:c>
      <x:c r="C2043" s="32" t="n">
        <x:v>20</x:v>
      </x:c>
      <x:c r="D2043" s="33" t="str">
        <x:v>{"Data":"dom., 20 de set. de 2026","Cliques":"0","Visualizações públicas do YouTube":"0","Shorts":"—","Custo":"R$ 0,00"}</x:v>
      </x:c>
    </x:row>
    <x:row r="2044" ht="24" customHeight="1">
      <x:c r="A2044" s="32" t="str">
        <x:v>F093</x:v>
      </x:c>
      <x:c r="B2044" s="32" t="str">
        <x:v>C08</x:v>
      </x:c>
      <x:c r="C2044" s="32" t="n">
        <x:v>21</x:v>
      </x:c>
      <x:c r="D2044" s="33" t="str">
        <x:v>{"Data":"seg., 21 de set. de 2026","Cliques":"0","Visualizações públicas do YouTube":"0","Shorts":"—","Custo":"R$ 0,00"}</x:v>
      </x:c>
    </x:row>
    <x:row r="2045" ht="24" customHeight="1">
      <x:c r="A2045" s="32" t="str">
        <x:v>F093</x:v>
      </x:c>
      <x:c r="B2045" s="32" t="str">
        <x:v>C08</x:v>
      </x:c>
      <x:c r="C2045" s="32" t="n">
        <x:v>22</x:v>
      </x:c>
      <x:c r="D2045" s="33" t="str">
        <x:v>{"Data":"ter., 22 de set. de 2026","Cliques":"0","Visualizações públicas do YouTube":"0","Shorts":"—","Custo":"R$ 0,00"}</x:v>
      </x:c>
    </x:row>
    <x:row r="2046" ht="24" customHeight="1">
      <x:c r="A2046" s="32" t="str">
        <x:v>F093</x:v>
      </x:c>
      <x:c r="B2046" s="32" t="str">
        <x:v>C08</x:v>
      </x:c>
      <x:c r="C2046" s="32" t="n">
        <x:v>23</x:v>
      </x:c>
      <x:c r="D2046" s="33" t="str">
        <x:v>{"Data":"qua., 23 de set. de 2026","Cliques":"0","Visualizações públicas do YouTube":"0","Shorts":"—","Custo":"R$ 0,00"}</x:v>
      </x:c>
    </x:row>
    <x:row r="2047" ht="24" customHeight="1">
      <x:c r="A2047" s="32" t="str">
        <x:v>F093</x:v>
      </x:c>
      <x:c r="B2047" s="32" t="str">
        <x:v>C08</x:v>
      </x:c>
      <x:c r="C2047" s="32" t="n">
        <x:v>24</x:v>
      </x:c>
      <x:c r="D2047" s="33" t="str">
        <x:v>{"Data":"qui., 24 de set. de 2026","Cliques":"0","Visualizações públicas do YouTube":"0","Shorts":"—","Custo":"R$ 0,00"}</x:v>
      </x:c>
    </x:row>
    <x:row r="2048" ht="24" customHeight="1">
      <x:c r="A2048" s="32" t="str">
        <x:v>F093</x:v>
      </x:c>
      <x:c r="B2048" s="32" t="str">
        <x:v>C08</x:v>
      </x:c>
      <x:c r="C2048" s="32" t="n">
        <x:v>25</x:v>
      </x:c>
      <x:c r="D2048" s="33" t="str">
        <x:v>{"Data":"sex., 25 de set. de 2026","Cliques":"0","Visualizações públicas do YouTube":"0","Shorts":"—","Custo":"R$ 0,00"}</x:v>
      </x:c>
    </x:row>
    <x:row r="2049" ht="24" customHeight="1">
      <x:c r="A2049" s="32" t="str">
        <x:v>F093</x:v>
      </x:c>
      <x:c r="B2049" s="32" t="str">
        <x:v>C08</x:v>
      </x:c>
      <x:c r="C2049" s="32" t="n">
        <x:v>26</x:v>
      </x:c>
      <x:c r="D2049" s="33" t="str">
        <x:v>{"Data":"sáb., 26 de set. de 2026","Cliques":"0","Visualizações públicas do YouTube":"0","Shorts":"—","Custo":"R$ 0,00"}</x:v>
      </x:c>
    </x:row>
    <x:row r="2050" ht="24" customHeight="1">
      <x:c r="A2050" s="32" t="str">
        <x:v>F093</x:v>
      </x:c>
      <x:c r="B2050" s="32" t="str">
        <x:v>C08</x:v>
      </x:c>
      <x:c r="C2050" s="32" t="n">
        <x:v>27</x:v>
      </x:c>
      <x:c r="D2050" s="33" t="str">
        <x:v>{"Data":"dom., 27 de set. de 2026","Cliques":"0","Visualizações públicas do YouTube":"0","Shorts":"—","Custo":"R$ 0,00"}</x:v>
      </x:c>
    </x:row>
    <x:row r="2051" ht="24" customHeight="1">
      <x:c r="A2051" s="32" t="str">
        <x:v>F093</x:v>
      </x:c>
      <x:c r="B2051" s="32" t="str">
        <x:v>C08</x:v>
      </x:c>
      <x:c r="C2051" s="32" t="n">
        <x:v>28</x:v>
      </x:c>
      <x:c r="D2051" s="33" t="str">
        <x:v>{"Data":"seg., 28 de set. de 2026","Cliques":"0","Visualizações públicas do YouTube":"0","Shorts":"—","Custo":"R$ 0,00"}</x:v>
      </x:c>
    </x:row>
    <x:row r="2052" ht="24" customHeight="1">
      <x:c r="A2052" s="32" t="str">
        <x:v>F093</x:v>
      </x:c>
      <x:c r="B2052" s="32" t="str">
        <x:v>C08</x:v>
      </x:c>
      <x:c r="C2052" s="32" t="n">
        <x:v>29</x:v>
      </x:c>
      <x:c r="D2052" s="33" t="str">
        <x:v>{"Data":"ter., 29 de set. de 2026","Cliques":"0","Visualizações públicas do YouTube":"0","Shorts":"—","Custo":"R$ 0,00"}</x:v>
      </x:c>
    </x:row>
    <x:row r="2053" ht="24" customHeight="1">
      <x:c r="A2053" s="32" t="str">
        <x:v>F093</x:v>
      </x:c>
      <x:c r="B2053" s="32" t="str">
        <x:v>C08</x:v>
      </x:c>
      <x:c r="C2053" s="32" t="n">
        <x:v>30</x:v>
      </x:c>
      <x:c r="D2053" s="33" t="str">
        <x:v>{"Data":"qua., 30 de set. de 2026","Cliques":"0","Visualizações públicas do YouTube":"0","Shorts":"—","Custo":"R$ 0,00"}</x:v>
      </x:c>
    </x:row>
    <x:row r="2054" ht="24" customHeight="1">
      <x:c r="A2054" s="32" t="str">
        <x:v>F093</x:v>
      </x:c>
      <x:c r="B2054" s="32" t="str">
        <x:v>C08</x:v>
      </x:c>
      <x:c r="C2054" s="32" t="n">
        <x:v>31</x:v>
      </x:c>
      <x:c r="D2054" s="33" t="str">
        <x:v>{"Data":"qui., 1 de out. de 2026","Cliques":"0","Visualizações públicas do YouTube":"0","Shorts":"—","Custo":"R$ 0,00"}</x:v>
      </x:c>
    </x:row>
    <x:row r="2055" ht="24" customHeight="1">
      <x:c r="A2055" s="32" t="str">
        <x:v>F093</x:v>
      </x:c>
      <x:c r="B2055" s="32" t="str">
        <x:v>C08</x:v>
      </x:c>
      <x:c r="C2055" s="32" t="n">
        <x:v>32</x:v>
      </x:c>
      <x:c r="D2055" s="33" t="str">
        <x:v>{"Data":"sex., 2 de out. de 2026","Cliques":"0","Visualizações públicas do YouTube":"0","Shorts":"—","Custo":"R$ 0,00"}</x:v>
      </x:c>
    </x:row>
    <x:row r="2056" ht="24" customHeight="1">
      <x:c r="A2056" s="32" t="str">
        <x:v>F093</x:v>
      </x:c>
      <x:c r="B2056" s="32" t="str">
        <x:v>C08</x:v>
      </x:c>
      <x:c r="C2056" s="32" t="n">
        <x:v>33</x:v>
      </x:c>
      <x:c r="D2056" s="33" t="str">
        <x:v>{"Data":"sáb., 3 de out. de 2026","Cliques":"0","Visualizações públicas do YouTube":"0","Shorts":"—","Custo":"R$ 0,00"}</x:v>
      </x:c>
    </x:row>
    <x:row r="2057" ht="24" customHeight="1">
      <x:c r="A2057" s="32" t="str">
        <x:v>F093</x:v>
      </x:c>
      <x:c r="B2057" s="32" t="str">
        <x:v>C08</x:v>
      </x:c>
      <x:c r="C2057" s="32" t="n">
        <x:v>34</x:v>
      </x:c>
      <x:c r="D2057" s="33" t="str">
        <x:v>{"Data":"dom., 4 de out. de 2026","Cliques":"0","Visualizações públicas do YouTube":"0","Shorts":"—","Custo":"R$ 0,00"}</x:v>
      </x:c>
    </x:row>
    <x:row r="2058" ht="24" customHeight="1">
      <x:c r="A2058" s="32" t="str">
        <x:v>F093</x:v>
      </x:c>
      <x:c r="B2058" s="32" t="str">
        <x:v>C08</x:v>
      </x:c>
      <x:c r="C2058" s="32" t="n">
        <x:v>35</x:v>
      </x:c>
      <x:c r="D2058" s="33" t="str">
        <x:v>{"Data":"seg., 5 de out. de 2026","Cliques":"0","Visualizações públicas do YouTube":"0","Shorts":"—","Custo":"R$ 0,00"}</x:v>
      </x:c>
    </x:row>
    <x:row r="2059" ht="24" customHeight="1">
      <x:c r="A2059" s="32" t="str">
        <x:v>F093</x:v>
      </x:c>
      <x:c r="B2059" s="32" t="str">
        <x:v>C08</x:v>
      </x:c>
      <x:c r="C2059" s="32" t="n">
        <x:v>36</x:v>
      </x:c>
      <x:c r="D2059" s="33" t="str">
        <x:v>{"Data":"ter., 6 de out. de 2026","Cliques":"0","Visualizações públicas do YouTube":"0","Shorts":"—","Custo":"R$ 0,00"}</x:v>
      </x:c>
    </x:row>
    <x:row r="2060" ht="24" customHeight="1">
      <x:c r="A2060" s="32" t="str">
        <x:v>F093</x:v>
      </x:c>
      <x:c r="B2060" s="32" t="str">
        <x:v>C08</x:v>
      </x:c>
      <x:c r="C2060" s="32" t="n">
        <x:v>37</x:v>
      </x:c>
      <x:c r="D2060" s="33" t="str">
        <x:v>{"Data":"qua., 7 de out. de 2026","Cliques":"8","Visualizações públicas do YouTube":"757","Shorts":"0,00%","Custo":"R$ 15,03"}</x:v>
      </x:c>
    </x:row>
    <x:row r="2061" ht="24" customHeight="1">
      <x:c r="A2061" s="32" t="str">
        <x:v>F093</x:v>
      </x:c>
      <x:c r="B2061" s="32" t="str">
        <x:v>C08</x:v>
      </x:c>
      <x:c r="C2061" s="32" t="n">
        <x:v>38</x:v>
      </x:c>
      <x:c r="D2061" s="33" t="str">
        <x:v>{"Data":"qui., 8 de out. de 2026","Cliques":"10","Visualizações públicas do YouTube":"1.659","Shorts":"0,39%","Custo":"R$ 15,68"}</x:v>
      </x:c>
    </x:row>
    <x:row r="2062" ht="24" customHeight="1">
      <x:c r="A2062" s="32" t="str">
        <x:v>F093</x:v>
      </x:c>
      <x:c r="B2062" s="32" t="str">
        <x:v>C08</x:v>
      </x:c>
      <x:c r="C2062" s="32" t="n">
        <x:v>39</x:v>
      </x:c>
      <x:c r="D2062" s="33" t="str">
        <x:v>{"Data":"sex., 9 de out. de 2026","Cliques":"2","Visualizações públicas do YouTube":"3.341","Shorts":"0,88%","Custo":"R$ 15,85"}</x:v>
      </x:c>
    </x:row>
    <x:row r="2063" ht="24" customHeight="1">
      <x:c r="A2063" s="32" t="str">
        <x:v>F093</x:v>
      </x:c>
      <x:c r="B2063" s="32" t="str">
        <x:v>C08</x:v>
      </x:c>
      <x:c r="C2063" s="32" t="n">
        <x:v>40</x:v>
      </x:c>
      <x:c r="D2063" s="33" t="str">
        <x:v>{"Data":"sáb., 10 de out. de 2026","Cliques":"3","Visualizações públicas do YouTube":"2.633","Shorts":"0,00%","Custo":"R$ 15,71"}</x:v>
      </x:c>
    </x:row>
    <x:row r="2064" ht="24" customHeight="1">
      <x:c r="A2064" s="32" t="str">
        <x:v>F093</x:v>
      </x:c>
      <x:c r="B2064" s="32" t="str">
        <x:v>C08</x:v>
      </x:c>
      <x:c r="C2064" s="32" t="n">
        <x:v>41</x:v>
      </x:c>
      <x:c r="D2064" s="33" t="str">
        <x:v>{"Data":"dom., 11 de out. de 2026","Cliques":"5","Visualizações públicas do YouTube":"2.558","Shorts":"0,35%","Custo":"R$ 15,66"}</x:v>
      </x:c>
    </x:row>
    <x:row r="2065" ht="24" customHeight="1">
      <x:c r="A2065" s="32" t="str">
        <x:v>F093</x:v>
      </x:c>
      <x:c r="B2065" s="32" t="str">
        <x:v>C08</x:v>
      </x:c>
      <x:c r="C2065" s="32" t="n">
        <x:v>42</x:v>
      </x:c>
      <x:c r="D2065" s="33" t="str">
        <x:v>{"Data":"seg., 12 de out. de 2026","Cliques":"9","Visualizações públicas do YouTube":"2.780","Shorts":"0,00%","Custo":"R$ 15,70"}</x:v>
      </x:c>
    </x:row>
    <x:row r="2066" ht="24" customHeight="1">
      <x:c r="A2066" s="32" t="str">
        <x:v>F093</x:v>
      </x:c>
      <x:c r="B2066" s="32" t="str">
        <x:v>C08</x:v>
      </x:c>
      <x:c r="C2066" s="32" t="n">
        <x:v>43</x:v>
      </x:c>
      <x:c r="D2066" s="33" t="str">
        <x:v>{"Data":"ter., 13 de out. de 2026","Cliques":"8","Visualizações públicas do YouTube":"2.687","Shorts":"0,00%","Custo":"R$ 15,58"}</x:v>
      </x:c>
    </x:row>
    <x:row r="2067" ht="24" customHeight="1">
      <x:c r="A2067" s="32" t="str">
        <x:v>F093</x:v>
      </x:c>
      <x:c r="B2067" s="32" t="str">
        <x:v>C08</x:v>
      </x:c>
      <x:c r="C2067" s="32" t="n">
        <x:v>44</x:v>
      </x:c>
      <x:c r="D2067" s="33" t="str">
        <x:v>{"Data":"qua., 14 de out. de 2026","Cliques":"4","Visualizações públicas do YouTube":"515","Shorts":"0,00%","Custo":"R$ 3,81"}</x:v>
      </x:c>
    </x:row>
    <x:row r="2068" ht="24" customHeight="1">
      <x:c r="A2068" s="32" t="str">
        <x:v>F094</x:v>
      </x:c>
      <x:c r="B2068" s="32" t="str">
        <x:v>C08</x:v>
      </x:c>
      <x:c r="C2068" s="32" t="n">
        <x:v>1</x:v>
      </x:c>
      <x:c r="D2068" s="33" t="str">
        <x:v>{"Data":"ter., 1 de set. de 2026","Impr.":"0","Visualizações públicas do YouTube":"0","Custo":"R$ 0,00","Cliques":"0"}</x:v>
      </x:c>
    </x:row>
    <x:row r="2069" ht="24" customHeight="1">
      <x:c r="A2069" s="32" t="str">
        <x:v>F094</x:v>
      </x:c>
      <x:c r="B2069" s="32" t="str">
        <x:v>C08</x:v>
      </x:c>
      <x:c r="C2069" s="32" t="n">
        <x:v>2</x:v>
      </x:c>
      <x:c r="D2069" s="33" t="str">
        <x:v>{"Data":"qua., 2 de set. de 2026","Impr.":"0","Visualizações públicas do YouTube":"0","Custo":"R$ 0,00","Cliques":"0"}</x:v>
      </x:c>
    </x:row>
    <x:row r="2070" ht="24" customHeight="1">
      <x:c r="A2070" s="32" t="str">
        <x:v>F094</x:v>
      </x:c>
      <x:c r="B2070" s="32" t="str">
        <x:v>C08</x:v>
      </x:c>
      <x:c r="C2070" s="32" t="n">
        <x:v>3</x:v>
      </x:c>
      <x:c r="D2070" s="33" t="str">
        <x:v>{"Data":"qui., 3 de set. de 2026","Impr.":"0","Visualizações públicas do YouTube":"0","Custo":"R$ 0,00","Cliques":"0"}</x:v>
      </x:c>
    </x:row>
    <x:row r="2071" ht="24" customHeight="1">
      <x:c r="A2071" s="32" t="str">
        <x:v>F094</x:v>
      </x:c>
      <x:c r="B2071" s="32" t="str">
        <x:v>C08</x:v>
      </x:c>
      <x:c r="C2071" s="32" t="n">
        <x:v>4</x:v>
      </x:c>
      <x:c r="D2071" s="33" t="str">
        <x:v>{"Data":"sex., 4 de set. de 2026","Impr.":"0","Visualizações públicas do YouTube":"0","Custo":"R$ 0,00","Cliques":"0"}</x:v>
      </x:c>
    </x:row>
    <x:row r="2072" ht="24" customHeight="1">
      <x:c r="A2072" s="32" t="str">
        <x:v>F094</x:v>
      </x:c>
      <x:c r="B2072" s="32" t="str">
        <x:v>C08</x:v>
      </x:c>
      <x:c r="C2072" s="32" t="n">
        <x:v>5</x:v>
      </x:c>
      <x:c r="D2072" s="33" t="str">
        <x:v>{"Data":"sáb., 5 de set. de 2026","Impr.":"0","Visualizações públicas do YouTube":"0","Custo":"R$ 0,00","Cliques":"0"}</x:v>
      </x:c>
    </x:row>
    <x:row r="2073" ht="24" customHeight="1">
      <x:c r="A2073" s="32" t="str">
        <x:v>F094</x:v>
      </x:c>
      <x:c r="B2073" s="32" t="str">
        <x:v>C08</x:v>
      </x:c>
      <x:c r="C2073" s="32" t="n">
        <x:v>6</x:v>
      </x:c>
      <x:c r="D2073" s="33" t="str">
        <x:v>{"Data":"dom., 6 de set. de 2026","Impr.":"0","Visualizações públicas do YouTube":"0","Custo":"R$ 0,00","Cliques":"0"}</x:v>
      </x:c>
    </x:row>
    <x:row r="2074" ht="24" customHeight="1">
      <x:c r="A2074" s="32" t="str">
        <x:v>F094</x:v>
      </x:c>
      <x:c r="B2074" s="32" t="str">
        <x:v>C08</x:v>
      </x:c>
      <x:c r="C2074" s="32" t="n">
        <x:v>7</x:v>
      </x:c>
      <x:c r="D2074" s="33" t="str">
        <x:v>{"Data":"seg., 7 de set. de 2026","Impr.":"0","Visualizações públicas do YouTube":"0","Custo":"R$ 0,00","Cliques":"0"}</x:v>
      </x:c>
    </x:row>
    <x:row r="2075" ht="24" customHeight="1">
      <x:c r="A2075" s="32" t="str">
        <x:v>F094</x:v>
      </x:c>
      <x:c r="B2075" s="32" t="str">
        <x:v>C08</x:v>
      </x:c>
      <x:c r="C2075" s="32" t="n">
        <x:v>8</x:v>
      </x:c>
      <x:c r="D2075" s="33" t="str">
        <x:v>{"Data":"ter., 8 de set. de 2026","Impr.":"0","Visualizações públicas do YouTube":"0","Custo":"R$ 0,00","Cliques":"0"}</x:v>
      </x:c>
    </x:row>
    <x:row r="2076" ht="24" customHeight="1">
      <x:c r="A2076" s="32" t="str">
        <x:v>F094</x:v>
      </x:c>
      <x:c r="B2076" s="32" t="str">
        <x:v>C08</x:v>
      </x:c>
      <x:c r="C2076" s="32" t="n">
        <x:v>9</x:v>
      </x:c>
      <x:c r="D2076" s="33" t="str">
        <x:v>{"Data":"qua., 9 de set. de 2026","Impr.":"0","Visualizações públicas do YouTube":"0","Custo":"R$ 0,00","Cliques":"0"}</x:v>
      </x:c>
    </x:row>
    <x:row r="2077" ht="24" customHeight="1">
      <x:c r="A2077" s="32" t="str">
        <x:v>F094</x:v>
      </x:c>
      <x:c r="B2077" s="32" t="str">
        <x:v>C08</x:v>
      </x:c>
      <x:c r="C2077" s="32" t="n">
        <x:v>10</x:v>
      </x:c>
      <x:c r="D2077" s="33" t="str">
        <x:v>{"Data":"qui., 10 de set. de 2026","Impr.":"0","Visualizações públicas do YouTube":"0","Custo":"R$ 0,00","Cliques":"0"}</x:v>
      </x:c>
    </x:row>
    <x:row r="2078" ht="24" customHeight="1">
      <x:c r="A2078" s="32" t="str">
        <x:v>F094</x:v>
      </x:c>
      <x:c r="B2078" s="32" t="str">
        <x:v>C08</x:v>
      </x:c>
      <x:c r="C2078" s="32" t="n">
        <x:v>11</x:v>
      </x:c>
      <x:c r="D2078" s="33" t="str">
        <x:v>{"Data":"sex., 11 de set. de 2026","Impr.":"0","Visualizações públicas do YouTube":"0","Custo":"R$ 0,00","Cliques":"0"}</x:v>
      </x:c>
    </x:row>
    <x:row r="2079" ht="24" customHeight="1">
      <x:c r="A2079" s="32" t="str">
        <x:v>F094</x:v>
      </x:c>
      <x:c r="B2079" s="32" t="str">
        <x:v>C08</x:v>
      </x:c>
      <x:c r="C2079" s="32" t="n">
        <x:v>12</x:v>
      </x:c>
      <x:c r="D2079" s="33" t="str">
        <x:v>{"Data":"sáb., 12 de set. de 2026","Impr.":"0","Visualizações públicas do YouTube":"0","Custo":"R$ 0,00","Cliques":"0"}</x:v>
      </x:c>
    </x:row>
    <x:row r="2080" ht="24" customHeight="1">
      <x:c r="A2080" s="32" t="str">
        <x:v>F094</x:v>
      </x:c>
      <x:c r="B2080" s="32" t="str">
        <x:v>C08</x:v>
      </x:c>
      <x:c r="C2080" s="32" t="n">
        <x:v>13</x:v>
      </x:c>
      <x:c r="D2080" s="33" t="str">
        <x:v>{"Data":"dom., 13 de set. de 2026","Impr.":"0","Visualizações públicas do YouTube":"0","Custo":"R$ 0,00","Cliques":"0"}</x:v>
      </x:c>
    </x:row>
    <x:row r="2081" ht="24" customHeight="1">
      <x:c r="A2081" s="32" t="str">
        <x:v>F094</x:v>
      </x:c>
      <x:c r="B2081" s="32" t="str">
        <x:v>C08</x:v>
      </x:c>
      <x:c r="C2081" s="32" t="n">
        <x:v>14</x:v>
      </x:c>
      <x:c r="D2081" s="33" t="str">
        <x:v>{"Data":"seg., 14 de set. de 2026","Impr.":"0","Visualizações públicas do YouTube":"0","Custo":"R$ 0,00","Cliques":"0"}</x:v>
      </x:c>
    </x:row>
    <x:row r="2082" ht="24" customHeight="1">
      <x:c r="A2082" s="32" t="str">
        <x:v>F094</x:v>
      </x:c>
      <x:c r="B2082" s="32" t="str">
        <x:v>C08</x:v>
      </x:c>
      <x:c r="C2082" s="32" t="n">
        <x:v>15</x:v>
      </x:c>
      <x:c r="D2082" s="33" t="str">
        <x:v>{"Data":"ter., 15 de set. de 2026","Impr.":"0","Visualizações públicas do YouTube":"0","Custo":"R$ 0,00","Cliques":"0"}</x:v>
      </x:c>
    </x:row>
    <x:row r="2083" ht="24" customHeight="1">
      <x:c r="A2083" s="32" t="str">
        <x:v>F094</x:v>
      </x:c>
      <x:c r="B2083" s="32" t="str">
        <x:v>C08</x:v>
      </x:c>
      <x:c r="C2083" s="32" t="n">
        <x:v>16</x:v>
      </x:c>
      <x:c r="D2083" s="33" t="str">
        <x:v>{"Data":"qua., 16 de set. de 2026","Impr.":"0","Visualizações públicas do YouTube":"0","Custo":"R$ 0,00","Cliques":"0"}</x:v>
      </x:c>
    </x:row>
    <x:row r="2084" ht="24" customHeight="1">
      <x:c r="A2084" s="32" t="str">
        <x:v>F094</x:v>
      </x:c>
      <x:c r="B2084" s="32" t="str">
        <x:v>C08</x:v>
      </x:c>
      <x:c r="C2084" s="32" t="n">
        <x:v>17</x:v>
      </x:c>
      <x:c r="D2084" s="33" t="str">
        <x:v>{"Data":"qui., 17 de set. de 2026","Impr.":"0","Visualizações públicas do YouTube":"0","Custo":"R$ 0,00","Cliques":"0"}</x:v>
      </x:c>
    </x:row>
    <x:row r="2085" ht="24" customHeight="1">
      <x:c r="A2085" s="32" t="str">
        <x:v>F094</x:v>
      </x:c>
      <x:c r="B2085" s="32" t="str">
        <x:v>C08</x:v>
      </x:c>
      <x:c r="C2085" s="32" t="n">
        <x:v>18</x:v>
      </x:c>
      <x:c r="D2085" s="33" t="str">
        <x:v>{"Data":"sex., 18 de set. de 2026","Impr.":"0","Visualizações públicas do YouTube":"0","Custo":"R$ 0,00","Cliques":"0"}</x:v>
      </x:c>
    </x:row>
    <x:row r="2086" ht="24" customHeight="1">
      <x:c r="A2086" s="32" t="str">
        <x:v>F094</x:v>
      </x:c>
      <x:c r="B2086" s="32" t="str">
        <x:v>C08</x:v>
      </x:c>
      <x:c r="C2086" s="32" t="n">
        <x:v>19</x:v>
      </x:c>
      <x:c r="D2086" s="33" t="str">
        <x:v>{"Data":"sáb., 19 de set. de 2026","Impr.":"0","Visualizações públicas do YouTube":"0","Custo":"R$ 0,00","Cliques":"0"}</x:v>
      </x:c>
    </x:row>
    <x:row r="2087" ht="24" customHeight="1">
      <x:c r="A2087" s="32" t="str">
        <x:v>F094</x:v>
      </x:c>
      <x:c r="B2087" s="32" t="str">
        <x:v>C08</x:v>
      </x:c>
      <x:c r="C2087" s="32" t="n">
        <x:v>20</x:v>
      </x:c>
      <x:c r="D2087" s="33" t="str">
        <x:v>{"Data":"dom., 20 de set. de 2026","Impr.":"0","Visualizações públicas do YouTube":"0","Custo":"R$ 0,00","Cliques":"0"}</x:v>
      </x:c>
    </x:row>
    <x:row r="2088" ht="24" customHeight="1">
      <x:c r="A2088" s="32" t="str">
        <x:v>F094</x:v>
      </x:c>
      <x:c r="B2088" s="32" t="str">
        <x:v>C08</x:v>
      </x:c>
      <x:c r="C2088" s="32" t="n">
        <x:v>21</x:v>
      </x:c>
      <x:c r="D2088" s="33" t="str">
        <x:v>{"Data":"seg., 21 de set. de 2026","Impr.":"0","Visualizações públicas do YouTube":"0","Custo":"R$ 0,00","Cliques":"0"}</x:v>
      </x:c>
    </x:row>
    <x:row r="2089" ht="24" customHeight="1">
      <x:c r="A2089" s="32" t="str">
        <x:v>F094</x:v>
      </x:c>
      <x:c r="B2089" s="32" t="str">
        <x:v>C08</x:v>
      </x:c>
      <x:c r="C2089" s="32" t="n">
        <x:v>22</x:v>
      </x:c>
      <x:c r="D2089" s="33" t="str">
        <x:v>{"Data":"ter., 22 de set. de 2026","Impr.":"0","Visualizações públicas do YouTube":"0","Custo":"R$ 0,00","Cliques":"0"}</x:v>
      </x:c>
    </x:row>
    <x:row r="2090" ht="24" customHeight="1">
      <x:c r="A2090" s="32" t="str">
        <x:v>F094</x:v>
      </x:c>
      <x:c r="B2090" s="32" t="str">
        <x:v>C08</x:v>
      </x:c>
      <x:c r="C2090" s="32" t="n">
        <x:v>23</x:v>
      </x:c>
      <x:c r="D2090" s="33" t="str">
        <x:v>{"Data":"qua., 23 de set. de 2026","Impr.":"0","Visualizações públicas do YouTube":"0","Custo":"R$ 0,00","Cliques":"0"}</x:v>
      </x:c>
    </x:row>
    <x:row r="2091" ht="24" customHeight="1">
      <x:c r="A2091" s="32" t="str">
        <x:v>F094</x:v>
      </x:c>
      <x:c r="B2091" s="32" t="str">
        <x:v>C08</x:v>
      </x:c>
      <x:c r="C2091" s="32" t="n">
        <x:v>24</x:v>
      </x:c>
      <x:c r="D2091" s="33" t="str">
        <x:v>{"Data":"qui., 24 de set. de 2026","Impr.":"0","Visualizações públicas do YouTube":"0","Custo":"R$ 0,00","Cliques":"0"}</x:v>
      </x:c>
    </x:row>
    <x:row r="2092" ht="24" customHeight="1">
      <x:c r="A2092" s="32" t="str">
        <x:v>F094</x:v>
      </x:c>
      <x:c r="B2092" s="32" t="str">
        <x:v>C08</x:v>
      </x:c>
      <x:c r="C2092" s="32" t="n">
        <x:v>25</x:v>
      </x:c>
      <x:c r="D2092" s="33" t="str">
        <x:v>{"Data":"sex., 25 de set. de 2026","Impr.":"0","Visualizações públicas do YouTube":"0","Custo":"R$ 0,00","Cliques":"0"}</x:v>
      </x:c>
    </x:row>
    <x:row r="2093" ht="24" customHeight="1">
      <x:c r="A2093" s="32" t="str">
        <x:v>F094</x:v>
      </x:c>
      <x:c r="B2093" s="32" t="str">
        <x:v>C08</x:v>
      </x:c>
      <x:c r="C2093" s="32" t="n">
        <x:v>26</x:v>
      </x:c>
      <x:c r="D2093" s="33" t="str">
        <x:v>{"Data":"sáb., 26 de set. de 2026","Impr.":"0","Visualizações públicas do YouTube":"0","Custo":"R$ 0,00","Cliques":"0"}</x:v>
      </x:c>
    </x:row>
    <x:row r="2094" ht="24" customHeight="1">
      <x:c r="A2094" s="32" t="str">
        <x:v>F094</x:v>
      </x:c>
      <x:c r="B2094" s="32" t="str">
        <x:v>C08</x:v>
      </x:c>
      <x:c r="C2094" s="32" t="n">
        <x:v>27</x:v>
      </x:c>
      <x:c r="D2094" s="33" t="str">
        <x:v>{"Data":"dom., 27 de set. de 2026","Impr.":"0","Visualizações públicas do YouTube":"0","Custo":"R$ 0,00","Cliques":"0"}</x:v>
      </x:c>
    </x:row>
    <x:row r="2095" ht="24" customHeight="1">
      <x:c r="A2095" s="32" t="str">
        <x:v>F094</x:v>
      </x:c>
      <x:c r="B2095" s="32" t="str">
        <x:v>C08</x:v>
      </x:c>
      <x:c r="C2095" s="32" t="n">
        <x:v>28</x:v>
      </x:c>
      <x:c r="D2095" s="33" t="str">
        <x:v>{"Data":"seg., 28 de set. de 2026","Impr.":"0","Visualizações públicas do YouTube":"0","Custo":"R$ 0,00","Cliques":"0"}</x:v>
      </x:c>
    </x:row>
    <x:row r="2096" ht="24" customHeight="1">
      <x:c r="A2096" s="32" t="str">
        <x:v>F094</x:v>
      </x:c>
      <x:c r="B2096" s="32" t="str">
        <x:v>C08</x:v>
      </x:c>
      <x:c r="C2096" s="32" t="n">
        <x:v>29</x:v>
      </x:c>
      <x:c r="D2096" s="33" t="str">
        <x:v>{"Data":"ter., 29 de set. de 2026","Impr.":"0","Visualizações públicas do YouTube":"0","Custo":"R$ 0,00","Cliques":"0"}</x:v>
      </x:c>
    </x:row>
    <x:row r="2097" ht="24" customHeight="1">
      <x:c r="A2097" s="32" t="str">
        <x:v>F094</x:v>
      </x:c>
      <x:c r="B2097" s="32" t="str">
        <x:v>C08</x:v>
      </x:c>
      <x:c r="C2097" s="32" t="n">
        <x:v>30</x:v>
      </x:c>
      <x:c r="D2097" s="33" t="str">
        <x:v>{"Data":"qua., 30 de set. de 2026","Impr.":"0","Visualizações públicas do YouTube":"0","Custo":"R$ 0,00","Cliques":"0"}</x:v>
      </x:c>
    </x:row>
    <x:row r="2098" ht="24" customHeight="1">
      <x:c r="A2098" s="32" t="str">
        <x:v>F094</x:v>
      </x:c>
      <x:c r="B2098" s="32" t="str">
        <x:v>C08</x:v>
      </x:c>
      <x:c r="C2098" s="32" t="n">
        <x:v>31</x:v>
      </x:c>
      <x:c r="D2098" s="33" t="str">
        <x:v>{"Data":"qui., 1 de out. de 2026","Impr.":"0","Visualizações públicas do YouTube":"0","Custo":"R$ 0,00","Cliques":"0"}</x:v>
      </x:c>
    </x:row>
    <x:row r="2099" ht="24" customHeight="1">
      <x:c r="A2099" s="32" t="str">
        <x:v>F094</x:v>
      </x:c>
      <x:c r="B2099" s="32" t="str">
        <x:v>C08</x:v>
      </x:c>
      <x:c r="C2099" s="32" t="n">
        <x:v>32</x:v>
      </x:c>
      <x:c r="D2099" s="33" t="str">
        <x:v>{"Data":"sex., 2 de out. de 2026","Impr.":"0","Visualizações públicas do YouTube":"0","Custo":"R$ 0,00","Cliques":"0"}</x:v>
      </x:c>
    </x:row>
    <x:row r="2100" ht="24" customHeight="1">
      <x:c r="A2100" s="32" t="str">
        <x:v>F094</x:v>
      </x:c>
      <x:c r="B2100" s="32" t="str">
        <x:v>C08</x:v>
      </x:c>
      <x:c r="C2100" s="32" t="n">
        <x:v>33</x:v>
      </x:c>
      <x:c r="D2100" s="33" t="str">
        <x:v>{"Data":"sáb., 3 de out. de 2026","Impr.":"0","Visualizações públicas do YouTube":"0","Custo":"R$ 0,00","Cliques":"0"}</x:v>
      </x:c>
    </x:row>
    <x:row r="2101" ht="24" customHeight="1">
      <x:c r="A2101" s="32" t="str">
        <x:v>F094</x:v>
      </x:c>
      <x:c r="B2101" s="32" t="str">
        <x:v>C08</x:v>
      </x:c>
      <x:c r="C2101" s="32" t="n">
        <x:v>34</x:v>
      </x:c>
      <x:c r="D2101" s="33" t="str">
        <x:v>{"Data":"dom., 4 de out. de 2026","Impr.":"0","Visualizações públicas do YouTube":"0","Custo":"R$ 0,00","Cliques":"0"}</x:v>
      </x:c>
    </x:row>
    <x:row r="2102" ht="24" customHeight="1">
      <x:c r="A2102" s="32" t="str">
        <x:v>F094</x:v>
      </x:c>
      <x:c r="B2102" s="32" t="str">
        <x:v>C08</x:v>
      </x:c>
      <x:c r="C2102" s="32" t="n">
        <x:v>35</x:v>
      </x:c>
      <x:c r="D2102" s="33" t="str">
        <x:v>{"Data":"seg., 5 de out. de 2026","Impr.":"0","Visualizações públicas do YouTube":"0","Custo":"R$ 0,00","Cliques":"0"}</x:v>
      </x:c>
    </x:row>
    <x:row r="2103" ht="24" customHeight="1">
      <x:c r="A2103" s="32" t="str">
        <x:v>F094</x:v>
      </x:c>
      <x:c r="B2103" s="32" t="str">
        <x:v>C08</x:v>
      </x:c>
      <x:c r="C2103" s="32" t="n">
        <x:v>36</x:v>
      </x:c>
      <x:c r="D2103" s="33" t="str">
        <x:v>{"Data":"ter., 6 de out. de 2026","Impr.":"0","Visualizações públicas do YouTube":"0","Custo":"R$ 0,00","Cliques":"0"}</x:v>
      </x:c>
    </x:row>
    <x:row r="2104" ht="24" customHeight="1">
      <x:c r="A2104" s="32" t="str">
        <x:v>F094</x:v>
      </x:c>
      <x:c r="B2104" s="32" t="str">
        <x:v>C08</x:v>
      </x:c>
      <x:c r="C2104" s="32" t="n">
        <x:v>37</x:v>
      </x:c>
      <x:c r="D2104" s="33" t="str">
        <x:v>{"Data":"qua., 7 de out. de 2026","Impr.":"4.257","Visualizações públicas do YouTube":"757","Custo":"R$ 15,03","Cliques":"8"}</x:v>
      </x:c>
    </x:row>
    <x:row r="2105" ht="24" customHeight="1">
      <x:c r="A2105" s="32" t="str">
        <x:v>F094</x:v>
      </x:c>
      <x:c r="B2105" s="32" t="str">
        <x:v>C08</x:v>
      </x:c>
      <x:c r="C2105" s="32" t="n">
        <x:v>38</x:v>
      </x:c>
      <x:c r="D2105" s="33" t="str">
        <x:v>{"Data":"qui., 8 de out. de 2026","Impr.":"6.178","Visualizações públicas do YouTube":"1.659","Custo":"R$ 15,68","Cliques":"10"}</x:v>
      </x:c>
    </x:row>
    <x:row r="2106" ht="24" customHeight="1">
      <x:c r="A2106" s="32" t="str">
        <x:v>F094</x:v>
      </x:c>
      <x:c r="B2106" s="32" t="str">
        <x:v>C08</x:v>
      </x:c>
      <x:c r="C2106" s="32" t="n">
        <x:v>39</x:v>
      </x:c>
      <x:c r="D2106" s="33" t="str">
        <x:v>{"Data":"sex., 9 de out. de 2026","Impr.":"6.214","Visualizações públicas do YouTube":"3.341","Custo":"R$ 15,85","Cliques":"2"}</x:v>
      </x:c>
    </x:row>
    <x:row r="2107" ht="24" customHeight="1">
      <x:c r="A2107" s="32" t="str">
        <x:v>F094</x:v>
      </x:c>
      <x:c r="B2107" s="32" t="str">
        <x:v>C08</x:v>
      </x:c>
      <x:c r="C2107" s="32" t="n">
        <x:v>40</x:v>
      </x:c>
      <x:c r="D2107" s="33" t="str">
        <x:v>{"Data":"sáb., 10 de out. de 2026","Impr.":"5.989","Visualizações públicas do YouTube":"2.633","Custo":"R$ 15,71","Cliques":"3"}</x:v>
      </x:c>
    </x:row>
    <x:row r="2108" ht="24" customHeight="1">
      <x:c r="A2108" s="32" t="str">
        <x:v>F094</x:v>
      </x:c>
      <x:c r="B2108" s="32" t="str">
        <x:v>C08</x:v>
      </x:c>
      <x:c r="C2108" s="32" t="n">
        <x:v>41</x:v>
      </x:c>
      <x:c r="D2108" s="33" t="str">
        <x:v>{"Data":"dom., 11 de out. de 2026","Impr.":"6.137","Visualizações públicas do YouTube":"2.558","Custo":"R$ 15,66","Cliques":"5"}</x:v>
      </x:c>
    </x:row>
    <x:row r="2109" ht="24" customHeight="1">
      <x:c r="A2109" s="32" t="str">
        <x:v>F094</x:v>
      </x:c>
      <x:c r="B2109" s="32" t="str">
        <x:v>C08</x:v>
      </x:c>
      <x:c r="C2109" s="32" t="n">
        <x:v>42</x:v>
      </x:c>
      <x:c r="D2109" s="33" t="str">
        <x:v>{"Data":"seg., 12 de out. de 2026","Impr.":"6.686","Visualizações públicas do YouTube":"2.780","Custo":"R$ 15,70","Cliques":"9"}</x:v>
      </x:c>
    </x:row>
    <x:row r="2110" ht="24" customHeight="1">
      <x:c r="A2110" s="32" t="str">
        <x:v>F094</x:v>
      </x:c>
      <x:c r="B2110" s="32" t="str">
        <x:v>C08</x:v>
      </x:c>
      <x:c r="C2110" s="32" t="n">
        <x:v>43</x:v>
      </x:c>
      <x:c r="D2110" s="33" t="str">
        <x:v>{"Data":"ter., 13 de out. de 2026","Impr.":"6.883","Visualizações públicas do YouTube":"2.687","Custo":"R$ 15,58","Cliques":"8"}</x:v>
      </x:c>
    </x:row>
    <x:row r="2111" ht="24" customHeight="1">
      <x:c r="A2111" s="32" t="str">
        <x:v>F094</x:v>
      </x:c>
      <x:c r="B2111" s="32" t="str">
        <x:v>C08</x:v>
      </x:c>
      <x:c r="C2111" s="32" t="n">
        <x:v>44</x:v>
      </x:c>
      <x:c r="D2111" s="33" t="str">
        <x:v>{"Data":"qua., 14 de out. de 2026","Impr.":"1.752","Visualizações públicas do YouTube":"515","Custo":"R$ 3,81","Cliques":"4"}</x:v>
      </x:c>
    </x:row>
    <x:row r="2112" ht="159" customHeight="1">
      <x:c r="A2112" s="32" t="str">
        <x:v>F095</x:v>
      </x:c>
      <x:c r="B2112" s="32" t="str">
        <x:v>C08</x:v>
      </x:c>
      <x:c r="C2112" s="32" t="n">
        <x:v>1</x:v>
      </x:c>
      <x:c r="D2112" s="33" t="str">
        <x:v>{"Status do anúncio":"Ativado","URL final":"https://www.cooperja.com.br/cacarola","URLs de beacon":" --","Título":" --","Título longo 1":"Tudo é feito em família","Título longo 2":" --","Título longo 3":" --","Título longo 4":" --","Título longo 5":" --","Título 1":" --","Título 2":" --","Título 3":" --","Título 4":" --","Título 5":" --","Descrição 1":"Amor Cultivado","Descrição 2":" --","Descrição 3":" --","Descrição 4":" --","Descrição 5":" --","Código do logotipo":"397701685159","Nome da empresa":"Alimentos Caçarola","Texto de call-to-action":" --","Texto de call-to-action 1":" --","Texto de call-to-action 2":" --","Texto de call-to-action 3":" --","Texto de call-to-action 4":" --","Texto de call-to-action 5":" --","Título da call-to-action":" --","ID do vídeo":"428213214076","Banner complementar":" --","Nome do anúncio":"VT 04 - Tudo é feito em família | Amor Cultivado","ad.display_url":" --","Caminho 1":" --","Caminho 2":" --","URL final para dispositivos móveis":"","Modelo de rastreamento":" --","Sufixo do URL final":" --","Parâmetro personalizado":"","Grupo de anúncios":"Vídeo - Alcance eficiente - 07/10 = Região SC","Status":"Qualificado","Motivos do status":"","Tipo de anúncio":"Anúncio responsivo em vídeo","Impr.":"44.115","Visualizações do TrueView":"123","Código da moeda":"BRL","CPM médio":"2,56","Custo":"113,07","Vídeo":"https://www.youtube.com/watch?v=GBjGLoh5gTA","Taxa de conv.":"0,00%","Conversões":"0,00","Custo / conv.":"0,00"}</x:v>
      </x:c>
    </x:row>
    <x:row r="2113" ht="144" customHeight="1">
      <x:c r="A2113" s="32" t="str">
        <x:v>F095</x:v>
      </x:c>
      <x:c r="B2113" s="32" t="str">
        <x:v>C08</x:v>
      </x:c>
      <x:c r="C2113" s="32" t="n">
        <x:v>2</x:v>
      </x:c>
      <x:c r="D2113" s="33" t="str">
        <x:v>{"Status do anúncio":"Total: Todos os anúncios, exceto os removidos","URL final":"","URLs de beacon":" --","Título":" --","Título longo 1":" --","Título longo 2":" --","Título longo 3":" --","Título longo 4":" --","Título longo 5":" --","Título 1":" --","Título 2":" --","Título 3":" --","Título 4":" --","Título 5":" --","Descrição 1":" --","Descrição 2":" --","Descrição 3":" --","Descrição 4":" --","Descrição 5":" --","Código do logotipo":" --","Nome da empresa":" --","Texto de call-to-action":" --","Texto de call-to-action 1":" --","Texto de call-to-action 2":" --","Texto de call-to-action 3":" --","Texto de call-to-action 4":" --","Texto de call-to-action 5":" --","Título da call-to-action":" --","ID do vídeo":" --","Banner complementar":" --","Nome do anúncio":" --","ad.display_url":" --","Caminho 1":" --","Caminho 2":" --","URL final para dispositivos móveis":"","Modelo de rastreamento":" --","Sufixo do URL final":" --","Parâmetro personalizado":" --","Grupo de anúncios":" --","Status":" --","Motivos do status":"","Tipo de anúncio":" --","Impr.":"44.112","Visualizações do TrueView":"123","Código da moeda":"BRL","CPM médio":"2,56","Custo":"113,06","Vídeo":" --","Taxa de conv.":"0,00%","Conversões":"0,00","Custo / conv.":"0,00"}</x:v>
      </x:c>
    </x:row>
    <x:row r="2114" ht="129" customHeight="1">
      <x:c r="A2114" s="32" t="str">
        <x:v>F095</x:v>
      </x:c>
      <x:c r="B2114" s="32" t="str">
        <x:v>C08</x:v>
      </x:c>
      <x:c r="C2114" s="32" t="n">
        <x:v>3</x:v>
      </x:c>
      <x:c r="D2114" s="33" t="str">
        <x:v>{"Status do anúncio":"Total: Campanha","URL final":"","URLs de beacon":"","Título":"","Título longo 1":"","Título longo 2":"","Título longo 3":"","Título longo 4":"","Título longo 5":"","Título 1":"","Título 2":"","Título 3":"","Título 4":"","Título 5":"","Descrição 1":"","Descrição 2":"","Descrição 3":"","Descrição 4":"","Descrição 5":"","Código do logotipo":"","Nome da empresa":"","Texto de call-to-action":"","Texto de call-to-action 1":"","Texto de call-to-action 2":"","Texto de call-to-action 3":"","Texto de call-to-action 4":"","Texto de call-to-action 5":"","Título da call-to-action":"","ID do vídeo":"","Banner complementar":"","Nome do anúncio":"","ad.display_url":"","Caminho 1":"","Caminho 2":"","URL final para dispositivos móveis":"","Modelo de rastreamento":"","Sufixo do URL final":"","Parâmetro personalizado":"","Grupo de anúncios":"","Status":"","Motivos do status":"","Tipo de anúncio":"","Impr.":"44.115","Visualizações do TrueView":"123","Código da moeda":"BRL","CPM médio":"2,56","Custo":"113,07","Vídeo":"","Taxa de conv.":"0,00%","Conversões":"0,00","Custo / conv.":"0,00"}</x:v>
      </x:c>
    </x:row>
    <x:row r="2115" ht="69" customHeight="1">
      <x:c r="A2115" s="32" t="str">
        <x:v>F096</x:v>
      </x:c>
      <x:c r="B2115" s="32" t="str">
        <x:v>C08</x:v>
      </x:c>
      <x:c r="C2115" s="32" t="n">
        <x:v>1</x:v>
      </x:c>
      <x:c r="D2115" s="33" t="str">
        <x:v>{"Status da campanha":"Ativada","Campanha":"[TRON] - YouTube 04 -  VT 5 Seg - {Reg SC} - 07/10","Orçamento":"15,00","Nome do orçamento":" --","Tipo de orçamento":"Diário","Código da moeda":"BRL","Status":"Qualificado (limitado)","Motivos do status":"limitado pelo orçamento","Pontuação de otimização":"76,15","Subtipo da campanha":"Alcance eficiente","Tipo de campanha":"Vídeo","Usuários exclusivos":"38.079","Impr.":"44.112","Visualizações do TrueView":"123","CPM médio":"2,56","CPV médio do TrueView":"0,30","Custo":"113,06","Marcações com \"Gostei\"":"0","Comentários":"0","Shares":"0"}</x:v>
      </x:c>
    </x:row>
    <x:row r="2116" ht="69" customHeight="1">
      <x:c r="A2116" s="32" t="str">
        <x:v>F096</x:v>
      </x:c>
      <x:c r="B2116" s="32" t="str">
        <x:v>C08</x:v>
      </x:c>
      <x:c r="C2116" s="32" t="n">
        <x:v>2</x:v>
      </x:c>
      <x:c r="D2116" s="33" t="str">
        <x:v>{"Status da campanha":"Total: Campanhas","Campanha":" --","Orçamento":" --","Nome do orçamento":" --","Tipo de orçamento":" --","Código da moeda":"BRL","Status":" --","Motivos do status":"","Pontuação de otimização":" --","Subtipo da campanha":"Padrão","Tipo de campanha":" --","Usuários exclusivos":"38.082","Impr.":"44.112","Visualizações do TrueView":"123","CPM médio":"2,56","CPV médio do TrueView":"0,30","Custo":"113,06","Marcações com \"Gostei\"":"0","Comentários":"0","Shares":"0"}</x:v>
      </x:c>
    </x:row>
    <x:row r="2117" ht="54" customHeight="1">
      <x:c r="A2117" s="32" t="str">
        <x:v>F096</x:v>
      </x:c>
      <x:c r="B2117" s="32" t="str">
        <x:v>C08</x:v>
      </x:c>
      <x:c r="C2117" s="32" t="n">
        <x:v>3</x:v>
      </x:c>
      <x:c r="D2117" s="33" t="str">
        <x:v>{"Status da campanha":"Total: Campanha","Campanha":"","Orçamento":"","Nome do orçamento":"","Tipo de orçamento":"","Código da moeda":"BRL","Status":"","Motivos do status":"","Pontuação de otimização":"","Subtipo da campanha":"","Tipo de campanha":"","Usuários exclusivos":"38.082","Impr.":"44.112","Visualizações do TrueView":"123","CPM médio":"2,56","CPV médio do TrueView":"0,30","Custo":"113,06","Marcações com \"Gostei\"":"0","Comentários":"0","Shares":"0"}</x:v>
      </x:c>
    </x:row>
    <x:row r="2118" ht="54" customHeight="1">
      <x:c r="A2118" s="32" t="str">
        <x:v>F097</x:v>
      </x:c>
      <x:c r="B2118" s="32" t="str">
        <x:v>C08</x:v>
      </x:c>
      <x:c r="C2118" s="32" t="n">
        <x:v>1</x:v>
      </x:c>
      <x:c r="D2118" s="33" t="str">
        <x:v>{"Dispositivo":"Computadores","Nível":"Campanha","Campanha":"[TRON] - YouTube 04 -  VT 5 Seg - {Reg SC} - 07/10","Grupo de anúncios":" --","Ajuste de lance":" --","Aj. de lance do grupo de anúncios":"Nenhum","Impr.":"2.413","Visualizações do TrueView":"11","Taxa de visualização do TrueView":"0,69%","Código da moeda":"BRL","CPM médio":"2,61","Custo":"6,29","Taxa de conv.":"0,00%","Conversões":"0,00","Custo / conv.":"0,00"}</x:v>
      </x:c>
    </x:row>
    <x:row r="2119" ht="54" customHeight="1">
      <x:c r="A2119" s="32" t="str">
        <x:v>F097</x:v>
      </x:c>
      <x:c r="B2119" s="32" t="str">
        <x:v>C08</x:v>
      </x:c>
      <x:c r="C2119" s="32" t="n">
        <x:v>2</x:v>
      </x:c>
      <x:c r="D2119" s="33" t="str">
        <x:v>{"Dispositivo":"Tablets","Nível":"Campanha","Campanha":"[TRON] - YouTube 04 -  VT 5 Seg - {Reg SC} - 07/10","Grupo de anúncios":" --","Ajuste de lance":" --","Aj. de lance do grupo de anúncios":"Nenhum","Impr.":"954","Visualizações do TrueView":"5","Taxa de visualização do TrueView":"0,71%","Código da moeda":"BRL","CPM médio":"1,85","Custo":"1,77","Taxa de conv.":"0,00%","Conversões":"0,00","Custo / conv.":"0,00"}</x:v>
      </x:c>
    </x:row>
    <x:row r="2120" ht="54" customHeight="1">
      <x:c r="A2120" s="32" t="str">
        <x:v>F097</x:v>
      </x:c>
      <x:c r="B2120" s="32" t="str">
        <x:v>C08</x:v>
      </x:c>
      <x:c r="C2120" s="32" t="n">
        <x:v>3</x:v>
      </x:c>
      <x:c r="D2120" s="33" t="str">
        <x:v>{"Dispositivo":"Smartphones","Nível":"Campanha","Campanha":"[TRON] - YouTube 04 -  VT 5 Seg - {Reg SC} - 07/10","Grupo de anúncios":" --","Ajuste de lance":" --","Aj. de lance do grupo de anúncios":"Nenhum","Impr.":"20.337","Visualizações do TrueView":"11","Taxa de visualização do TrueView":"0,06%","Código da moeda":"BRL","CPM médio":"1,79","Custo":"36,32","Taxa de conv.":"0,00%","Conversões":"0,00","Custo / conv.":"0,00"}</x:v>
      </x:c>
    </x:row>
    <x:row r="2121" ht="54" customHeight="1">
      <x:c r="A2121" s="32" t="str">
        <x:v>F097</x:v>
      </x:c>
      <x:c r="B2121" s="32" t="str">
        <x:v>C08</x:v>
      </x:c>
      <x:c r="C2121" s="32" t="n">
        <x:v>4</x:v>
      </x:c>
      <x:c r="D2121" s="33" t="str">
        <x:v>{"Dispositivo":"Telas de TV","Nível":"Campanha","Campanha":"[TRON] - YouTube 04 -  VT 5 Seg - {Reg SC} - 07/10","Grupo de anúncios":" --","Ajuste de lance":" --","Aj. de lance do grupo de anúncios":"Nenhum","Impr.":"20.408","Visualizações do TrueView":"96","Taxa de visualização do TrueView":"4,22%","Código da moeda":"BRL","CPM médio":"3,37","Custo":"68,67","Taxa de conv.":"0,00%","Conversões":"0,00","Custo / conv.":"0,00"}</x:v>
      </x:c>
    </x:row>
    <x:row r="2122" ht="54" customHeight="1">
      <x:c r="A2122" s="32" t="str">
        <x:v>F097</x:v>
      </x:c>
      <x:c r="B2122" s="32" t="str">
        <x:v>C08</x:v>
      </x:c>
      <x:c r="C2122" s="32" t="n">
        <x:v>5</x:v>
      </x:c>
      <x:c r="D2122" s="33" t="str">
        <x:v>{"Dispositivo":"Total: Campanha","Nível":"","Campanha":"","Grupo de anúncios":"","Ajuste de lance":"","Aj. de lance do grupo de anúncios":"","Impr.":"44.112","Visualizações do TrueView":"123","Taxa de visualização do TrueView":"0,56%","Código da moeda":"BRL","CPM médio":"2,56","Custo":"113,06","Taxa de conv.":"0,00%","Conversões":"0,00","Custo / conv.":"0,00"}</x:v>
      </x:c>
    </x:row>
    <x:row r="2123" ht="69" customHeight="1">
      <x:c r="A2123" s="32" t="str">
        <x:v>F098</x:v>
      </x:c>
      <x:c r="B2123" s="32" t="str">
        <x:v>C08</x:v>
      </x:c>
      <x:c r="C2123" s="32" t="n">
        <x:v>1</x:v>
      </x:c>
      <x:c r="D2123" s="33" t="str">
        <x:v>{"Status do grupo de anúncios":"Ativado","Grupo de anúncios":"Vídeo - Alcance eficiente - 07/10 = Região SC","Status":"Qualificado","Motivos do status":"desconhecido","Código da moeda":"BRL","CPM desejado":"5,00","Subtipo da campanha":"Alcance eficiente","Tipo de grupo de anúncios":"Anúncio responsivo em vídeo","Impr.":"44.112","Visualizações do TrueView":"123","CPM médio":"2,56","Custo":"113,06","Inclusões de marca":"[]","Taxa de conv.":"0,00%","Conversões":"0,00","Custo / conv.":"0,00"}</x:v>
      </x:c>
    </x:row>
    <x:row r="2124" ht="54" customHeight="1">
      <x:c r="A2124" s="32" t="str">
        <x:v>F098</x:v>
      </x:c>
      <x:c r="B2124" s="32" t="str">
        <x:v>C08</x:v>
      </x:c>
      <x:c r="C2124" s="32" t="n">
        <x:v>2</x:v>
      </x:c>
      <x:c r="D2124" s="33" t="str">
        <x:v>{"Status do grupo de anúncios":"Total: Grupos de anúncios","Grupo de anúncios":"","Status":"","Motivos do status":"","Código da moeda":"BRL","CPM desejado":"","Subtipo da campanha":"","Tipo de grupo de anúncios":"","Impr.":"44.112","Visualizações do TrueView":"123","CPM médio":"2,56","Custo":"113,06","Inclusões de marca":"","Taxa de conv.":"0,00%","Conversões":"0,00","Custo / conv.":"0,00"}</x:v>
      </x:c>
    </x:row>
    <x:row r="2125" ht="54" customHeight="1">
      <x:c r="A2125" s="32" t="str">
        <x:v>F098</x:v>
      </x:c>
      <x:c r="B2125" s="32" t="str">
        <x:v>C08</x:v>
      </x:c>
      <x:c r="C2125" s="32" t="n">
        <x:v>3</x:v>
      </x:c>
      <x:c r="D2125" s="33" t="str">
        <x:v>{"Status do grupo de anúncios":"Total: Campanha","Grupo de anúncios":"","Status":"","Motivos do status":"","Código da moeda":"BRL","CPM desejado":"","Subtipo da campanha":"","Tipo de grupo de anúncios":"","Impr.":"44.112","Visualizações do TrueView":"123","CPM médio":"2,56","Custo":"113,06","Inclusões de marca":"","Taxa de conv.":"0,00%","Conversões":"0,00","Custo / conv.":"0,00"}</x:v>
      </x:c>
    </x:row>
    <x:row r="2126" ht="54" customHeight="1">
      <x:c r="A2126" s="32" t="str">
        <x:v>F099</x:v>
      </x:c>
      <x:c r="B2126" s="32" t="str">
        <x:v>C08</x:v>
      </x:c>
      <x:c r="C2126" s="32" t="n">
        <x:v>1</x:v>
      </x:c>
      <x:c r="D2126" s="33" t="str">
        <x:v>{"Local das lojas":"Supermercado Cooperja - Balneário Gaivota","address_line_1":"Av. Santa Catarina","address_line_2":" --","city":"Balneário Gaivota","country_code":"BR","phone_number":" +55 48 3583-0315","postal_code":"88955-000","province":"Santa Catarina","Alcance do local (impressões)":"0","Visitas à loja":"0","Cliques de chamada":"0","Como chegar":"0","Visitas ao site":"0"}</x:v>
      </x:c>
    </x:row>
    <x:row r="2127" ht="54" customHeight="1">
      <x:c r="A2127" s="32" t="str">
        <x:v>F099</x:v>
      </x:c>
      <x:c r="B2127" s="32" t="str">
        <x:v>C08</x:v>
      </x:c>
      <x:c r="C2127" s="32" t="n">
        <x:v>2</x:v>
      </x:c>
      <x:c r="D2127" s="33" t="str">
        <x:v>{"Local das lojas":"Supermercado Cooperja - Santa Rosa do Sul","address_line_1":"Rua Manoel Idalino Pereira, 505 - Quadra 70","address_line_2":" --","city":"Santa Rosa do Sul","country_code":"BR","phone_number":" +55 48 3534-1202","postal_code":"88965-000","province":"Santa Catarina","Alcance do local (impressões)":"0","Visitas à loja":"0","Cliques de chamada":"0","Como chegar":"0","Visitas ao site":"0"}</x:v>
      </x:c>
    </x:row>
    <x:row r="2128" ht="54" customHeight="1">
      <x:c r="A2128" s="32" t="str">
        <x:v>F099</x:v>
      </x:c>
      <x:c r="B2128" s="32" t="str">
        <x:v>C08</x:v>
      </x:c>
      <x:c r="C2128" s="32" t="n">
        <x:v>3</x:v>
      </x:c>
      <x:c r="D2128" s="33" t="str">
        <x:v>{"Local das lojas":"Centro de Distribuição Cooperja - Supermercados","address_line_1":"Rua Dr. Nereu Ramos","address_line_2":"Rod. José Tiscoski, 1162","city":"Jacinto Machado","country_code":"BR","phone_number":" +55 48 3535-1074","postal_code":"88950-000","province":"Santa Catarina","Alcance do local (impressões)":"8","Visitas à loja":"0","Cliques de chamada":"0","Como chegar":"0","Visitas ao site":"0"}</x:v>
      </x:c>
    </x:row>
    <x:row r="2129" ht="54" customHeight="1">
      <x:c r="A2129" s="32" t="str">
        <x:v>F099</x:v>
      </x:c>
      <x:c r="B2129" s="32" t="str">
        <x:v>C08</x:v>
      </x:c>
      <x:c r="C2129" s="32" t="n">
        <x:v>4</x:v>
      </x:c>
      <x:c r="D2129" s="33" t="str">
        <x:v>{"Local das lojas":"Supermercado Cooperja - Três Cachoeiras","address_line_1":"Av. Inácio José Schaefer","address_line_2":" --","city":"Três Cachoeiras","country_code":"BR","phone_number":" +55 51 99676-4364","postal_code":"95580-000","province":"Rio Grande do Sul","Alcance do local (impressões)":"0","Visitas à loja":"0","Cliques de chamada":"0","Como chegar":"0","Visitas ao site":"0"}</x:v>
      </x:c>
    </x:row>
    <x:row r="2130" ht="54" customHeight="1">
      <x:c r="A2130" s="32" t="str">
        <x:v>F099</x:v>
      </x:c>
      <x:c r="B2130" s="32" t="str">
        <x:v>C08</x:v>
      </x:c>
      <x:c r="C2130" s="32" t="n">
        <x:v>5</x:v>
      </x:c>
      <x:c r="D2130" s="33" t="str">
        <x:v>{"Local das lojas":"Supermercado Cooperja","address_line_1":"Avenida Padre Herval Fontanella, 1369","address_line_2":" --","city":"Jacinto Machado","country_code":"BR","phone_number":" +55 48 3535-6000","postal_code":"88950-000","province":"Santa Catarina","Alcance do local (impressões)":"0","Visitas à loja":"0","Cliques de chamada":"0","Como chegar":"0","Visitas ao site":"0"}</x:v>
      </x:c>
    </x:row>
    <x:row r="2131" ht="54" customHeight="1">
      <x:c r="A2131" s="32" t="str">
        <x:v>F099</x:v>
      </x:c>
      <x:c r="B2131" s="32" t="str">
        <x:v>C08</x:v>
      </x:c>
      <x:c r="C2131" s="32" t="n">
        <x:v>6</x:v>
      </x:c>
      <x:c r="D2131" s="33" t="str">
        <x:v>{"Local das lojas":"Supermercado Cooperja","address_line_1":"R. Padre Humberto Oening, 471","address_line_2":" --","city":"Praia Grande","country_code":"BR","phone_number":" +55 48 3532-6000","postal_code":"88990-000","province":"Santa Catarina","Alcance do local (impressões)":"0","Visitas à loja":"0","Cliques de chamada":"0","Como chegar":"0","Visitas ao site":"0"}</x:v>
      </x:c>
    </x:row>
  </x:sheetData>
  <x:pageMargins left="0.7" right="0.7" top="0.75" bottom="0.75" header="0.3" footer="0.3"/>
  <x:tableParts count="1">
    <x:tablePart xmlns:r="http://schemas.openxmlformats.org/officeDocument/2006/relationships" r:id="R1f94a75b09e14864"/>
  </x:tableParts>
</x:worksheet>
</file>